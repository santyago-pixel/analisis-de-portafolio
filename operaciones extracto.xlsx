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Operaciones" sheetId="1" r:id="rId4"/>
    <sheet name="Precios" sheetId="2" r:id="rId5"/>
  </sheets>
</workbook>
</file>

<file path=xl/sharedStrings.xml><?xml version="1.0" encoding="utf-8"?>
<sst xmlns="http://schemas.openxmlformats.org/spreadsheetml/2006/main" uniqueCount="49">
  <si>
    <t>Fecha</t>
  </si>
  <si>
    <t>Operacion</t>
  </si>
  <si>
    <t>Tipo de activo</t>
  </si>
  <si>
    <t>Activo</t>
  </si>
  <si>
    <t>Nominales</t>
  </si>
  <si>
    <t>Precio</t>
  </si>
  <si>
    <t>Valor USD</t>
  </si>
  <si>
    <t>Precio ARS</t>
  </si>
  <si>
    <t>Valor ARS</t>
  </si>
  <si>
    <t>Deposito cash</t>
  </si>
  <si>
    <t>Retiro Cash</t>
  </si>
  <si>
    <t>Invertido</t>
  </si>
  <si>
    <t xml:space="preserve">Compra </t>
  </si>
  <si>
    <t>Lecaps</t>
  </si>
  <si>
    <t>AL29</t>
  </si>
  <si>
    <t>Retiro/Ingreso</t>
  </si>
  <si>
    <t>Venta</t>
  </si>
  <si>
    <t>CER</t>
  </si>
  <si>
    <t>AL30</t>
  </si>
  <si>
    <t>Compra</t>
  </si>
  <si>
    <t>Soberano USD</t>
  </si>
  <si>
    <t>Dividendos</t>
  </si>
  <si>
    <t>AL35</t>
  </si>
  <si>
    <t>AL41</t>
  </si>
  <si>
    <t>Amortización</t>
  </si>
  <si>
    <t>GD35</t>
  </si>
  <si>
    <t>Cupon</t>
  </si>
  <si>
    <t>GD29</t>
  </si>
  <si>
    <t>GD30</t>
  </si>
  <si>
    <t>GD38</t>
  </si>
  <si>
    <t>GD41</t>
  </si>
  <si>
    <t>GD46</t>
  </si>
  <si>
    <t>AE38</t>
  </si>
  <si>
    <t>BPA7</t>
  </si>
  <si>
    <t>BPOB7</t>
  </si>
  <si>
    <t>BPC7</t>
  </si>
  <si>
    <t>BPD7</t>
  </si>
  <si>
    <t>BPJ5</t>
  </si>
  <si>
    <t>BPY26</t>
  </si>
  <si>
    <t>PNXCO</t>
  </si>
  <si>
    <t>TTC9</t>
  </si>
  <si>
    <t>BPC7C</t>
  </si>
  <si>
    <t>BPD7C</t>
  </si>
  <si>
    <t>BPJ5C</t>
  </si>
  <si>
    <t>BPY6C</t>
  </si>
  <si>
    <t>BPO8</t>
  </si>
  <si>
    <t>BPO8C</t>
  </si>
  <si>
    <t>ARS</t>
  </si>
  <si>
    <t>Precio Actual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</si>
</sst>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&quot;-&quot;mmm&quot;-&quot;yy"/>
    <numFmt numFmtId="60" formatCode="0.0000"/>
  </numFmts>
  <fonts count="4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sz val="11"/>
      <color indexed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/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8"/>
      </right>
      <top style="thin">
        <color indexed="10"/>
      </top>
      <bottom/>
      <diagonal/>
    </border>
    <border>
      <left style="thin">
        <color indexed="8"/>
      </left>
      <right style="thin">
        <color indexed="8"/>
      </right>
      <top style="thin">
        <color indexed="10"/>
      </top>
      <bottom/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/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59" fontId="0" fillId="3" borderId="8" applyNumberFormat="1" applyFont="1" applyFill="1" applyBorder="1" applyAlignment="1" applyProtection="0">
      <alignment vertical="bottom"/>
    </xf>
    <xf numFmtId="49" fontId="0" borderId="9" applyNumberFormat="1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fillId="3" borderId="11" applyNumberFormat="0" applyFont="1" applyFill="1" applyBorder="1" applyAlignment="1" applyProtection="0">
      <alignment vertical="bottom"/>
    </xf>
    <xf numFmtId="0" fontId="0" borderId="9" applyNumberFormat="1" applyFont="1" applyFill="0" applyBorder="1" applyAlignment="1" applyProtection="0">
      <alignment vertical="bottom"/>
    </xf>
    <xf numFmtId="1" fontId="0" fillId="3" borderId="8" applyNumberFormat="1" applyFont="1" applyFill="1" applyBorder="1" applyAlignment="1" applyProtection="0">
      <alignment vertical="bottom"/>
    </xf>
    <xf numFmtId="2" fontId="0" borderId="6" applyNumberFormat="1" applyFont="1" applyFill="0" applyBorder="1" applyAlignment="1" applyProtection="0">
      <alignment vertical="bottom"/>
    </xf>
    <xf numFmtId="14" fontId="0" borderId="7" applyNumberFormat="1" applyFont="1" applyFill="0" applyBorder="1" applyAlignment="1" applyProtection="0">
      <alignment vertical="bottom"/>
    </xf>
    <xf numFmtId="2" fontId="0" borderId="7" applyNumberFormat="1" applyFont="1" applyFill="0" applyBorder="1" applyAlignment="1" applyProtection="0">
      <alignment vertical="bottom"/>
    </xf>
    <xf numFmtId="59" fontId="0" fillId="3" borderId="12" applyNumberFormat="1" applyFont="1" applyFill="1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0" fontId="0" borderId="7" applyNumberFormat="1" applyFont="1" applyFill="0" applyBorder="1" applyAlignment="1" applyProtection="0">
      <alignment vertical="bottom"/>
    </xf>
    <xf numFmtId="2" fontId="0" fillId="3" borderId="7" applyNumberFormat="1" applyFont="1" applyFill="1" applyBorder="1" applyAlignment="1" applyProtection="0">
      <alignment vertical="bottom"/>
    </xf>
    <xf numFmtId="2" fontId="0" fillId="3" borderId="7" applyNumberFormat="1" applyFont="1" applyFill="1" applyBorder="1" applyAlignment="1" applyProtection="0">
      <alignment vertical="bottom" wrapText="1"/>
    </xf>
    <xf numFmtId="2" fontId="0" fillId="3" borderId="12" applyNumberFormat="1" applyFont="1" applyFill="1" applyBorder="1" applyAlignment="1" applyProtection="0">
      <alignment vertical="bottom" wrapText="1"/>
    </xf>
    <xf numFmtId="2" fontId="0" fillId="3" borderId="13" applyNumberFormat="1" applyFont="1" applyFill="1" applyBorder="1" applyAlignment="1" applyProtection="0">
      <alignment vertical="bottom" wrapText="1"/>
    </xf>
    <xf numFmtId="2" fontId="0" fillId="3" borderId="6" applyNumberFormat="1" applyFont="1" applyFill="1" applyBorder="1" applyAlignment="1" applyProtection="0">
      <alignment vertical="bottom" wrapText="1"/>
    </xf>
    <xf numFmtId="1" fontId="0" fillId="3" borderId="12" applyNumberFormat="1" applyFont="1" applyFill="1" applyBorder="1" applyAlignment="1" applyProtection="0">
      <alignment vertical="bottom" wrapText="1"/>
    </xf>
    <xf numFmtId="0" fontId="0" fillId="3" borderId="7" applyNumberFormat="0" applyFont="1" applyFill="1" applyBorder="1" applyAlignment="1" applyProtection="0">
      <alignment vertical="bottom"/>
    </xf>
    <xf numFmtId="60" fontId="0" borderId="6" applyNumberFormat="1" applyFont="1" applyFill="0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 wrapText="1"/>
    </xf>
    <xf numFmtId="0" fontId="0" fillId="3" borderId="12" applyNumberFormat="0" applyFont="1" applyFill="1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fillId="3" borderId="13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7" applyNumberFormat="1" applyFont="1" applyFill="0" applyBorder="1" applyAlignment="1" applyProtection="0">
      <alignment vertical="bottom"/>
    </xf>
    <xf numFmtId="0" fontId="3" borderId="7" applyNumberFormat="1" applyFont="1" applyFill="0" applyBorder="1" applyAlignment="1" applyProtection="0">
      <alignment vertical="bottom"/>
    </xf>
    <xf numFmtId="1" fontId="3" borderId="7" applyNumberFormat="1" applyFont="1" applyFill="0" applyBorder="1" applyAlignment="1" applyProtection="0">
      <alignment vertical="bottom"/>
    </xf>
    <xf numFmtId="0" fontId="3" borderId="7" applyNumberFormat="0" applyFont="1" applyFill="0" applyBorder="1" applyAlignment="1" applyProtection="0">
      <alignment vertical="bottom"/>
    </xf>
    <xf numFmtId="10" fontId="0" borderId="7" applyNumberFormat="1" applyFont="1" applyFill="0" applyBorder="1" applyAlignment="1" applyProtection="0">
      <alignment vertical="bottom"/>
    </xf>
    <xf numFmtId="1" fontId="0" borderId="7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8d8d8"/>
      <rgbColor rgb="ffaaaaaa"/>
      <rgbColor rgb="ffffffff"/>
      <rgbColor rgb="ff86939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W61"/>
  <sheetViews>
    <sheetView workbookViewId="0" showGridLines="0" defaultGridColor="1"/>
  </sheetViews>
  <sheetFormatPr defaultColWidth="8.83333" defaultRowHeight="15" customHeight="1" outlineLevelRow="0" outlineLevelCol="0"/>
  <cols>
    <col min="1" max="1" width="14.1719" style="1" customWidth="1"/>
    <col min="2" max="2" width="13.8516" style="1" customWidth="1"/>
    <col min="3" max="3" width="14.3516" style="1" customWidth="1"/>
    <col min="4" max="4" width="14.1719" style="1" customWidth="1"/>
    <col min="5" max="5" width="15.6719" style="1" customWidth="1"/>
    <col min="6" max="6" width="13.8516" style="1" customWidth="1"/>
    <col min="7" max="7" width="15.5" style="1" customWidth="1"/>
    <col min="8" max="8" width="12.1719" style="1" customWidth="1"/>
    <col min="9" max="9" width="14.1719" style="1" customWidth="1"/>
    <col min="10" max="10" width="6.5" style="1" customWidth="1"/>
    <col min="11" max="13" width="14.1719" style="1" customWidth="1"/>
    <col min="14" max="14" width="8.85156" style="1" customWidth="1"/>
    <col min="15" max="15" width="10.8516" style="1" customWidth="1"/>
    <col min="16" max="16" width="13.6719" style="1" customWidth="1"/>
    <col min="17" max="17" width="13.3516" style="1" customWidth="1"/>
    <col min="18" max="18" width="12.8516" style="1" customWidth="1"/>
    <col min="19" max="19" width="14.5" style="1" customWidth="1"/>
    <col min="20" max="21" width="8.85156" style="1" customWidth="1"/>
    <col min="22" max="22" width="13.3516" style="1" customWidth="1"/>
    <col min="23" max="23" width="12.8516" style="1" customWidth="1"/>
    <col min="24" max="16384" width="8.85156" style="1" customWidth="1"/>
  </cols>
  <sheetData>
    <row r="1" ht="16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5">
        <v>8</v>
      </c>
      <c r="J1" s="6"/>
      <c r="K1" t="s" s="3">
        <v>9</v>
      </c>
      <c r="L1" t="s" s="4">
        <v>10</v>
      </c>
      <c r="M1" t="s" s="5">
        <v>11</v>
      </c>
      <c r="N1" s="7"/>
      <c r="O1" s="8"/>
      <c r="P1" s="8"/>
      <c r="Q1" s="8"/>
      <c r="R1" t="s" s="9">
        <v>12</v>
      </c>
      <c r="S1" s="8"/>
      <c r="T1" t="s" s="9">
        <v>13</v>
      </c>
      <c r="U1" s="8"/>
      <c r="V1" t="s" s="9">
        <v>14</v>
      </c>
      <c r="W1" s="8"/>
    </row>
    <row r="2" ht="18" customHeight="1">
      <c r="A2" s="10">
        <v>45580</v>
      </c>
      <c r="B2" t="s" s="11">
        <v>15</v>
      </c>
      <c r="C2" s="12"/>
      <c r="D2" s="12"/>
      <c r="E2" s="12"/>
      <c r="F2" s="12"/>
      <c r="G2" s="13"/>
      <c r="H2" s="13"/>
      <c r="I2" s="14"/>
      <c r="J2" s="15"/>
      <c r="K2" s="16">
        <v>150000</v>
      </c>
      <c r="L2" s="12"/>
      <c r="M2" s="17">
        <f>K2-L2</f>
        <v>150000</v>
      </c>
      <c r="N2" s="18"/>
      <c r="O2" s="19"/>
      <c r="P2" s="20"/>
      <c r="Q2" s="8"/>
      <c r="R2" t="s" s="9">
        <v>16</v>
      </c>
      <c r="S2" s="8"/>
      <c r="T2" t="s" s="9">
        <v>17</v>
      </c>
      <c r="U2" s="8"/>
      <c r="V2" t="s" s="9">
        <v>18</v>
      </c>
      <c r="W2" s="8"/>
    </row>
    <row r="3" ht="16" customHeight="1">
      <c r="A3" s="21">
        <v>45581</v>
      </c>
      <c r="B3" t="s" s="22">
        <v>19</v>
      </c>
      <c r="C3" t="s" s="9">
        <v>20</v>
      </c>
      <c r="D3" t="s" s="9">
        <v>18</v>
      </c>
      <c r="E3" s="23">
        <v>1000</v>
      </c>
      <c r="F3" s="23">
        <v>63.26</v>
      </c>
      <c r="G3" s="24">
        <f>F3*E3</f>
        <v>63260</v>
      </c>
      <c r="H3" s="25">
        <f>F3*VLOOKUP(A3,'Precios'!$A$3:$AA$601,27)</f>
        <v>72369.44</v>
      </c>
      <c r="I3" s="26">
        <f>G3*VLOOKUP(A3,'Precios'!$A$3:$AA$601,27)</f>
        <v>72369440</v>
      </c>
      <c r="J3" s="27"/>
      <c r="K3" s="28"/>
      <c r="L3" s="25"/>
      <c r="M3" s="29">
        <f>M2+K3-L3</f>
        <v>150000</v>
      </c>
      <c r="N3" s="18"/>
      <c r="O3" s="19"/>
      <c r="P3" s="20"/>
      <c r="Q3" s="8"/>
      <c r="R3" t="s" s="9">
        <v>21</v>
      </c>
      <c r="S3" s="8"/>
      <c r="T3" t="s" s="9">
        <v>20</v>
      </c>
      <c r="U3" s="8"/>
      <c r="V3" t="s" s="9">
        <v>22</v>
      </c>
      <c r="W3" s="8"/>
    </row>
    <row r="4" ht="16" customHeight="1">
      <c r="A4" s="21">
        <v>45581</v>
      </c>
      <c r="B4" t="s" s="22">
        <v>19</v>
      </c>
      <c r="C4" t="s" s="9">
        <v>20</v>
      </c>
      <c r="D4" t="s" s="9">
        <v>23</v>
      </c>
      <c r="E4" s="23">
        <v>900</v>
      </c>
      <c r="F4" s="23">
        <v>52.7</v>
      </c>
      <c r="G4" s="24">
        <f>F4*E4</f>
        <v>47430</v>
      </c>
      <c r="H4" s="25">
        <f>F4*VLOOKUP(A4,'Precios'!$A$3:$AA$601,27)</f>
        <v>60288.8</v>
      </c>
      <c r="I4" s="26">
        <f>G4*VLOOKUP(A4,'Precios'!$A$3:$AA$601,27)</f>
        <v>54259920</v>
      </c>
      <c r="J4" s="27"/>
      <c r="K4" s="28"/>
      <c r="L4" s="25"/>
      <c r="M4" s="29">
        <f>M3+K4-L4</f>
        <v>150000</v>
      </c>
      <c r="N4" s="7"/>
      <c r="O4" s="20"/>
      <c r="P4" s="8"/>
      <c r="Q4" s="8"/>
      <c r="R4" t="s" s="9">
        <v>24</v>
      </c>
      <c r="S4" s="8"/>
      <c r="T4" s="8"/>
      <c r="U4" s="8"/>
      <c r="V4" s="8"/>
      <c r="W4" s="8"/>
    </row>
    <row r="5" ht="16" customHeight="1">
      <c r="A5" s="21">
        <v>45585</v>
      </c>
      <c r="B5" t="s" s="22">
        <v>16</v>
      </c>
      <c r="C5" t="s" s="9">
        <v>20</v>
      </c>
      <c r="D5" t="s" s="9">
        <v>23</v>
      </c>
      <c r="E5" s="23">
        <v>400</v>
      </c>
      <c r="F5" s="23">
        <v>52.7</v>
      </c>
      <c r="G5" s="24">
        <f>F5*E5</f>
        <v>21080</v>
      </c>
      <c r="H5" s="25">
        <f>F5*VLOOKUP(A5,'Precios'!$A$3:$AA$601,27)</f>
        <v>60394.2</v>
      </c>
      <c r="I5" s="26">
        <f>G5*VLOOKUP(A5,'Precios'!$A$3:$AA$601,27)</f>
        <v>24157680</v>
      </c>
      <c r="J5" s="27"/>
      <c r="K5" s="28"/>
      <c r="L5" s="25"/>
      <c r="M5" s="29">
        <f>M4+K5-L5</f>
        <v>150000</v>
      </c>
      <c r="N5" s="7"/>
      <c r="O5" s="19"/>
      <c r="P5" s="8"/>
      <c r="Q5" s="8"/>
      <c r="R5" t="s" s="9">
        <v>15</v>
      </c>
      <c r="S5" s="8"/>
      <c r="T5" s="8"/>
      <c r="U5" s="8"/>
      <c r="V5" s="8"/>
      <c r="W5" s="8"/>
    </row>
    <row r="6" ht="16" customHeight="1">
      <c r="A6" s="21">
        <v>45582</v>
      </c>
      <c r="B6" t="s" s="22">
        <v>19</v>
      </c>
      <c r="C6" t="s" s="9">
        <v>20</v>
      </c>
      <c r="D6" t="s" s="9">
        <v>25</v>
      </c>
      <c r="E6" s="23">
        <v>200</v>
      </c>
      <c r="F6" s="23">
        <v>50</v>
      </c>
      <c r="G6" s="24">
        <f>F6*E6</f>
        <v>10000</v>
      </c>
      <c r="H6" s="25">
        <f>F6*VLOOKUP(A6,'Precios'!$A$3:$AA$601,27)</f>
        <v>57250</v>
      </c>
      <c r="I6" s="26">
        <f>G6*VLOOKUP(A6,'Precios'!$A$3:$AA$601,27)</f>
        <v>11450000</v>
      </c>
      <c r="J6" s="27"/>
      <c r="K6" s="28"/>
      <c r="L6" s="25"/>
      <c r="M6" s="29">
        <f>M5+K6-L6</f>
        <v>150000</v>
      </c>
      <c r="N6" s="7"/>
      <c r="O6" s="19"/>
      <c r="P6" s="20"/>
      <c r="Q6" s="8"/>
      <c r="R6" s="8"/>
      <c r="S6" s="8"/>
      <c r="T6" s="8"/>
      <c r="U6" s="8"/>
      <c r="V6" s="8"/>
      <c r="W6" s="8"/>
    </row>
    <row r="7" ht="16" customHeight="1">
      <c r="A7" s="21">
        <v>45583</v>
      </c>
      <c r="B7" t="s" s="22">
        <v>19</v>
      </c>
      <c r="C7" t="s" s="9">
        <v>20</v>
      </c>
      <c r="D7" t="s" s="9">
        <v>23</v>
      </c>
      <c r="E7" s="23">
        <v>100</v>
      </c>
      <c r="F7" s="23">
        <v>52.7</v>
      </c>
      <c r="G7" s="24">
        <f>F7*E7</f>
        <v>5270</v>
      </c>
      <c r="H7" s="25">
        <f>F7*VLOOKUP(A7,'Precios'!$A$3:$AA$601,27)</f>
        <v>60394.2</v>
      </c>
      <c r="I7" s="26">
        <f>G7*VLOOKUP(A7,'Precios'!$A$3:$AA$601,27)</f>
        <v>6039420</v>
      </c>
      <c r="J7" s="27"/>
      <c r="K7" s="28"/>
      <c r="L7" s="25"/>
      <c r="M7" s="29">
        <f>M6+K7-L7</f>
        <v>150000</v>
      </c>
      <c r="N7" s="7"/>
      <c r="O7" s="8"/>
      <c r="P7" s="8"/>
      <c r="Q7" s="8"/>
      <c r="R7" s="8"/>
      <c r="S7" s="8"/>
      <c r="T7" s="8"/>
      <c r="U7" s="8"/>
      <c r="V7" s="8"/>
      <c r="W7" s="8"/>
    </row>
    <row r="8" ht="16" customHeight="1">
      <c r="A8" s="21">
        <v>45584</v>
      </c>
      <c r="B8" t="s" s="22">
        <v>16</v>
      </c>
      <c r="C8" t="s" s="9">
        <v>20</v>
      </c>
      <c r="D8" t="s" s="9">
        <v>23</v>
      </c>
      <c r="E8" s="23">
        <v>600</v>
      </c>
      <c r="F8" s="23">
        <v>52.7</v>
      </c>
      <c r="G8" s="24">
        <f>F8*E8</f>
        <v>31620</v>
      </c>
      <c r="H8" s="25">
        <f>F8*VLOOKUP(A8,'Precios'!$A$3:$AA$601,27)</f>
        <v>60394.2</v>
      </c>
      <c r="I8" s="26">
        <f>G8*VLOOKUP(A8,'Precios'!$A$3:$AA$601,27)</f>
        <v>36236520</v>
      </c>
      <c r="J8" s="27"/>
      <c r="K8" s="28"/>
      <c r="L8" s="25"/>
      <c r="M8" s="29">
        <f>M7+K8-L8</f>
        <v>150000</v>
      </c>
      <c r="N8" s="7"/>
      <c r="O8" s="8"/>
      <c r="P8" s="8"/>
      <c r="Q8" s="8"/>
      <c r="R8" s="8"/>
      <c r="S8" s="8"/>
      <c r="T8" s="8"/>
      <c r="U8" s="8"/>
      <c r="V8" s="8"/>
      <c r="W8" s="8"/>
    </row>
    <row r="9" ht="16" customHeight="1">
      <c r="A9" s="21">
        <v>45665</v>
      </c>
      <c r="B9" t="s" s="22">
        <v>24</v>
      </c>
      <c r="C9" t="s" s="9">
        <v>20</v>
      </c>
      <c r="D9" t="s" s="9">
        <v>18</v>
      </c>
      <c r="E9" s="8"/>
      <c r="F9" s="8"/>
      <c r="G9" s="24">
        <v>8000</v>
      </c>
      <c r="H9" s="25">
        <f>F9*VLOOKUP(A9,'Precios'!$A$3:$AA$601,27)</f>
        <v>0</v>
      </c>
      <c r="I9" s="26">
        <f>G9*VLOOKUP(A9,'Precios'!$A$3:$AA$601,27)</f>
        <v>9584000</v>
      </c>
      <c r="J9" s="27"/>
      <c r="K9" s="28"/>
      <c r="L9" s="25"/>
      <c r="M9" s="29">
        <f>M8+K9-L9</f>
        <v>150000</v>
      </c>
      <c r="N9" s="7"/>
      <c r="O9" s="8"/>
      <c r="P9" s="8"/>
      <c r="Q9" s="8"/>
      <c r="R9" s="8"/>
      <c r="S9" s="8"/>
      <c r="T9" s="8"/>
      <c r="U9" s="8"/>
      <c r="V9" s="8"/>
      <c r="W9" s="8"/>
    </row>
    <row r="10" ht="16" customHeight="1">
      <c r="A10" s="21">
        <v>45665</v>
      </c>
      <c r="B10" t="s" s="22">
        <v>24</v>
      </c>
      <c r="C10" t="s" s="9">
        <v>20</v>
      </c>
      <c r="D10" t="s" s="9">
        <v>25</v>
      </c>
      <c r="E10" s="8"/>
      <c r="F10" s="8"/>
      <c r="G10" s="24">
        <v>8000</v>
      </c>
      <c r="H10" s="25">
        <f>F10*VLOOKUP(A10,'Precios'!$A$3:$AA$601,27)</f>
        <v>0</v>
      </c>
      <c r="I10" s="26">
        <f>G10*VLOOKUP(A10,'Precios'!$A$3:$AA$601,27)</f>
        <v>9584000</v>
      </c>
      <c r="J10" s="27"/>
      <c r="K10" s="28"/>
      <c r="L10" s="25"/>
      <c r="M10" s="29">
        <f>M9+K10-L10</f>
        <v>150000</v>
      </c>
      <c r="N10" s="7"/>
      <c r="O10" s="8"/>
      <c r="P10" s="8"/>
      <c r="Q10" s="8"/>
      <c r="R10" s="8"/>
      <c r="S10" s="8"/>
      <c r="T10" s="8"/>
      <c r="U10" s="8"/>
      <c r="V10" s="8"/>
      <c r="W10" s="8"/>
    </row>
    <row r="11" ht="16" customHeight="1">
      <c r="A11" s="21">
        <v>45665</v>
      </c>
      <c r="B11" t="s" s="22">
        <v>15</v>
      </c>
      <c r="C11" s="8"/>
      <c r="D11" s="8"/>
      <c r="E11" s="8"/>
      <c r="F11" s="8"/>
      <c r="G11" s="30"/>
      <c r="H11" s="25"/>
      <c r="I11" s="26"/>
      <c r="J11" s="27"/>
      <c r="K11" s="28"/>
      <c r="L11" s="25">
        <v>16000</v>
      </c>
      <c r="M11" s="29">
        <f>M10+K11-L11</f>
        <v>134000</v>
      </c>
      <c r="N11" s="7"/>
      <c r="O11" s="8"/>
      <c r="P11" s="8"/>
      <c r="Q11" s="8"/>
      <c r="R11" s="8"/>
      <c r="S11" s="8"/>
      <c r="T11" s="8"/>
      <c r="U11" s="8"/>
      <c r="V11" s="8"/>
      <c r="W11" s="8"/>
    </row>
    <row r="12" ht="16" customHeight="1">
      <c r="A12" s="21">
        <v>45665</v>
      </c>
      <c r="B12" t="s" s="22">
        <v>26</v>
      </c>
      <c r="C12" t="s" s="9">
        <v>20</v>
      </c>
      <c r="D12" t="s" s="9">
        <v>18</v>
      </c>
      <c r="E12" s="8"/>
      <c r="F12" s="8"/>
      <c r="G12" s="24">
        <v>375</v>
      </c>
      <c r="H12" s="25">
        <f>F12*VLOOKUP(A12,'Precios'!$A$3:$AA$601,27)</f>
        <v>0</v>
      </c>
      <c r="I12" s="26">
        <f>G12*VLOOKUP(A12,'Precios'!$A$3:$AA$601,27)</f>
        <v>449250</v>
      </c>
      <c r="J12" s="27"/>
      <c r="K12" s="28"/>
      <c r="L12" s="25"/>
      <c r="M12" s="29">
        <f>M11+K12-L12</f>
        <v>134000</v>
      </c>
      <c r="N12" s="7"/>
      <c r="O12" s="19"/>
      <c r="P12" s="8"/>
      <c r="Q12" s="8"/>
      <c r="R12" s="8"/>
      <c r="S12" s="8"/>
      <c r="T12" s="8"/>
      <c r="U12" s="8"/>
      <c r="V12" s="8"/>
      <c r="W12" s="8"/>
    </row>
    <row r="13" ht="16" customHeight="1">
      <c r="A13" s="21">
        <v>45665</v>
      </c>
      <c r="B13" t="s" s="22">
        <v>19</v>
      </c>
      <c r="C13" t="s" s="9">
        <v>20</v>
      </c>
      <c r="D13" t="s" s="9">
        <v>23</v>
      </c>
      <c r="E13" s="23">
        <v>300</v>
      </c>
      <c r="F13" s="23">
        <v>54</v>
      </c>
      <c r="G13" s="24">
        <f>E13*F13</f>
        <v>16200</v>
      </c>
      <c r="H13" s="25">
        <f>F13*VLOOKUP(A13,'Precios'!$A$3:$AA$601,27)</f>
        <v>64692</v>
      </c>
      <c r="I13" s="26">
        <f>G13*VLOOKUP(A13,'Precios'!$A$3:$AA$601,27)</f>
        <v>19407600</v>
      </c>
      <c r="J13" s="27"/>
      <c r="K13" s="28"/>
      <c r="L13" s="25"/>
      <c r="M13" s="29">
        <f>M12+K13-L13</f>
        <v>134000</v>
      </c>
      <c r="N13" s="7"/>
      <c r="O13" s="8"/>
      <c r="P13" s="8"/>
      <c r="Q13" s="8"/>
      <c r="R13" s="8"/>
      <c r="S13" s="8"/>
      <c r="T13" s="8"/>
      <c r="U13" s="8"/>
      <c r="V13" s="8"/>
      <c r="W13" s="8"/>
    </row>
    <row r="14" ht="16" customHeight="1">
      <c r="A14" s="21">
        <v>45667</v>
      </c>
      <c r="B14" t="s" s="22">
        <v>16</v>
      </c>
      <c r="C14" t="s" s="9">
        <v>20</v>
      </c>
      <c r="D14" t="s" s="9">
        <v>18</v>
      </c>
      <c r="E14" s="23">
        <v>1000</v>
      </c>
      <c r="F14" s="23">
        <v>68.5</v>
      </c>
      <c r="G14" s="24">
        <f>F14*E14</f>
        <v>68500</v>
      </c>
      <c r="H14" s="25">
        <f>F14*VLOOKUP(A14,'Precios'!$A$3:$AA$601,27)</f>
        <v>82200</v>
      </c>
      <c r="I14" s="26">
        <f>G14*VLOOKUP(A14,'Precios'!$A$3:$AA$601,27)</f>
        <v>82200000</v>
      </c>
      <c r="J14" s="27"/>
      <c r="K14" s="28"/>
      <c r="L14" s="25"/>
      <c r="M14" s="29">
        <f>M13+K14-L14</f>
        <v>134000</v>
      </c>
      <c r="N14" s="7"/>
      <c r="O14" s="8"/>
      <c r="P14" s="8"/>
      <c r="Q14" s="8"/>
      <c r="R14" s="8"/>
      <c r="S14" s="8"/>
      <c r="T14" s="8"/>
      <c r="U14" s="8"/>
      <c r="V14" s="8"/>
      <c r="W14" s="8"/>
    </row>
    <row r="15" ht="16" customHeight="1">
      <c r="A15" s="21">
        <v>45669</v>
      </c>
      <c r="B15" t="s" s="22">
        <v>19</v>
      </c>
      <c r="C15" t="s" s="9">
        <v>20</v>
      </c>
      <c r="D15" t="s" s="9">
        <v>14</v>
      </c>
      <c r="E15" s="23">
        <v>1000</v>
      </c>
      <c r="F15" s="23">
        <v>68.5</v>
      </c>
      <c r="G15" s="24">
        <f>F15*E15</f>
        <v>68500</v>
      </c>
      <c r="H15" s="25">
        <f>F15*VLOOKUP(A15,'Precios'!$A$3:$AA$601,27)</f>
        <v>82200</v>
      </c>
      <c r="I15" s="26">
        <f>G15*VLOOKUP(A15,'Precios'!$A$3:$AA$601,27)</f>
        <v>82200000</v>
      </c>
      <c r="J15" s="27"/>
      <c r="K15" s="28"/>
      <c r="L15" s="25"/>
      <c r="M15" s="29">
        <f>M14+K15-L15</f>
        <v>134000</v>
      </c>
      <c r="N15" s="7"/>
      <c r="O15" s="8"/>
      <c r="P15" s="8"/>
      <c r="Q15" s="8"/>
      <c r="R15" s="8"/>
      <c r="S15" s="8"/>
      <c r="T15" s="8"/>
      <c r="U15" s="8"/>
      <c r="V15" s="8"/>
      <c r="W15" s="8"/>
    </row>
    <row r="16" ht="16" customHeight="1">
      <c r="A16" s="21">
        <v>45669</v>
      </c>
      <c r="B16" t="s" s="22">
        <v>16</v>
      </c>
      <c r="C16" t="s" s="9">
        <v>20</v>
      </c>
      <c r="D16" t="s" s="9">
        <v>14</v>
      </c>
      <c r="E16" s="23">
        <v>1000</v>
      </c>
      <c r="F16" s="23">
        <v>68.5</v>
      </c>
      <c r="G16" s="24">
        <f>F16*E16</f>
        <v>68500</v>
      </c>
      <c r="H16" s="25">
        <f>F16*VLOOKUP(A16,'Precios'!$A$3:$AA$601,27)</f>
        <v>82200</v>
      </c>
      <c r="I16" s="26">
        <f>G16*VLOOKUP(A16,'Precios'!$A$3:$AA$601,27)</f>
        <v>82200000</v>
      </c>
      <c r="J16" s="27"/>
      <c r="K16" s="28"/>
      <c r="L16" s="25"/>
      <c r="M16" s="29">
        <f>M15+K16-L16</f>
        <v>134000</v>
      </c>
      <c r="N16" s="7"/>
      <c r="O16" s="8"/>
      <c r="P16" s="8"/>
      <c r="Q16" s="8"/>
      <c r="R16" s="8"/>
      <c r="S16" s="8"/>
      <c r="T16" s="8"/>
      <c r="U16" s="8"/>
      <c r="V16" s="8"/>
      <c r="W16" s="8"/>
    </row>
    <row r="17" ht="16" customHeight="1">
      <c r="A17" s="21">
        <v>45698</v>
      </c>
      <c r="B17" t="s" s="22">
        <v>19</v>
      </c>
      <c r="C17" t="s" s="9">
        <v>20</v>
      </c>
      <c r="D17" t="s" s="9">
        <v>18</v>
      </c>
      <c r="E17" s="23">
        <v>200</v>
      </c>
      <c r="F17" s="23">
        <v>64.7</v>
      </c>
      <c r="G17" s="24">
        <f>F17*E17</f>
        <v>12940</v>
      </c>
      <c r="H17" s="25">
        <f>F17*VLOOKUP(A17,'Precios'!$A$3:$AA$601,27)</f>
        <v>78998.7</v>
      </c>
      <c r="I17" s="26">
        <f>G17*VLOOKUP(A17,'Precios'!$A$3:$AA$601,27)</f>
        <v>15799740</v>
      </c>
      <c r="J17" s="27"/>
      <c r="K17" s="28"/>
      <c r="L17" s="25"/>
      <c r="M17" s="29">
        <f>M16+K17-L17</f>
        <v>134000</v>
      </c>
      <c r="N17" s="7"/>
      <c r="O17" s="8"/>
      <c r="P17" s="8"/>
      <c r="Q17" s="8"/>
      <c r="R17" s="8"/>
      <c r="S17" s="8"/>
      <c r="T17" s="8"/>
      <c r="U17" s="8"/>
      <c r="V17" s="8"/>
      <c r="W17" s="8"/>
    </row>
    <row r="18" ht="16" customHeight="1">
      <c r="A18" s="21">
        <v>45846</v>
      </c>
      <c r="B18" t="s" s="22">
        <v>24</v>
      </c>
      <c r="C18" t="s" s="9">
        <v>20</v>
      </c>
      <c r="D18" t="s" s="9">
        <v>18</v>
      </c>
      <c r="E18" s="8"/>
      <c r="F18" s="8"/>
      <c r="G18" s="24">
        <v>1600</v>
      </c>
      <c r="H18" s="25">
        <f>F18*VLOOKUP(A18,'Precios'!$A$3:$AA$601,27)</f>
        <v>0</v>
      </c>
      <c r="I18" s="26">
        <f>G18*VLOOKUP(A18,'Precios'!$A$3:$AA$601,27)</f>
        <v>2107200</v>
      </c>
      <c r="J18" s="27"/>
      <c r="K18" s="28"/>
      <c r="L18" s="25"/>
      <c r="M18" s="29">
        <f>M17+K18-L18</f>
        <v>134000</v>
      </c>
      <c r="N18" s="31"/>
      <c r="O18" s="8"/>
      <c r="P18" s="8"/>
      <c r="Q18" s="8"/>
      <c r="R18" s="8"/>
      <c r="S18" s="8"/>
      <c r="T18" s="8"/>
      <c r="U18" s="8"/>
      <c r="V18" s="8"/>
      <c r="W18" s="8"/>
    </row>
    <row r="19" ht="16" customHeight="1">
      <c r="A19" s="21">
        <v>45846</v>
      </c>
      <c r="B19" t="s" s="22">
        <v>15</v>
      </c>
      <c r="C19" s="8"/>
      <c r="D19" s="8"/>
      <c r="E19" s="8"/>
      <c r="F19" s="8"/>
      <c r="G19" s="30"/>
      <c r="H19" s="25"/>
      <c r="I19" s="26"/>
      <c r="J19" s="27"/>
      <c r="K19" s="28"/>
      <c r="L19" s="25">
        <v>1600</v>
      </c>
      <c r="M19" s="29">
        <f>M18+K19-L19</f>
        <v>132400</v>
      </c>
      <c r="N19" s="31"/>
      <c r="O19" s="8"/>
      <c r="P19" s="8"/>
      <c r="Q19" s="8"/>
      <c r="R19" s="8"/>
      <c r="S19" s="8"/>
      <c r="T19" s="8"/>
      <c r="U19" s="8"/>
      <c r="V19" s="8"/>
      <c r="W19" s="8"/>
    </row>
    <row r="20" ht="16" customHeight="1">
      <c r="A20" s="21">
        <v>45846</v>
      </c>
      <c r="B20" t="s" s="22">
        <v>26</v>
      </c>
      <c r="C20" t="s" s="9">
        <v>20</v>
      </c>
      <c r="D20" t="s" s="9">
        <v>18</v>
      </c>
      <c r="E20" s="8"/>
      <c r="F20" s="8"/>
      <c r="G20" s="24">
        <v>75</v>
      </c>
      <c r="H20" s="25">
        <f>F20*VLOOKUP(A20,'Precios'!$A$3:$AA$601,27)</f>
        <v>0</v>
      </c>
      <c r="I20" s="26">
        <f>G20*VLOOKUP(A20,'Precios'!$A$3:$AA$601,27)</f>
        <v>98775</v>
      </c>
      <c r="J20" s="27"/>
      <c r="K20" s="28"/>
      <c r="L20" s="25"/>
      <c r="M20" s="29">
        <f>M19+K20-L20</f>
        <v>132400</v>
      </c>
      <c r="N20" s="7"/>
      <c r="O20" s="8"/>
      <c r="P20" s="8"/>
      <c r="Q20" s="8"/>
      <c r="R20" s="8"/>
      <c r="S20" s="8"/>
      <c r="T20" s="8"/>
      <c r="U20" s="8"/>
      <c r="V20" s="8"/>
      <c r="W20" s="8"/>
    </row>
    <row r="21" ht="16" customHeight="1">
      <c r="A21" s="21">
        <v>45846</v>
      </c>
      <c r="B21" t="s" s="22">
        <v>26</v>
      </c>
      <c r="C21" t="s" s="9">
        <v>20</v>
      </c>
      <c r="D21" t="s" s="9">
        <v>23</v>
      </c>
      <c r="E21" s="8"/>
      <c r="F21" s="8"/>
      <c r="G21" s="24">
        <f>1575/2</f>
        <v>787.5</v>
      </c>
      <c r="H21" s="25">
        <f>F21*VLOOKUP(A21,'Precios'!$A$3:$AA$601,27)</f>
        <v>0</v>
      </c>
      <c r="I21" s="26">
        <f>G21*VLOOKUP(A21,'Precios'!$A$3:$AA$601,27)</f>
        <v>1037137.5</v>
      </c>
      <c r="J21" s="27"/>
      <c r="K21" s="28"/>
      <c r="L21" s="25"/>
      <c r="M21" s="29">
        <f>M20+K21-L21</f>
        <v>132400</v>
      </c>
      <c r="N21" s="7"/>
      <c r="O21" s="8"/>
      <c r="P21" s="8"/>
      <c r="Q21" s="8"/>
      <c r="R21" s="8"/>
      <c r="S21" s="8"/>
      <c r="T21" s="8"/>
      <c r="U21" s="8"/>
      <c r="V21" s="8"/>
      <c r="W21" s="8"/>
    </row>
    <row r="22" ht="16" customHeight="1">
      <c r="A22" s="21">
        <v>45847</v>
      </c>
      <c r="B22" t="s" s="22">
        <v>19</v>
      </c>
      <c r="C22" t="s" s="9">
        <v>20</v>
      </c>
      <c r="D22" t="s" s="9">
        <v>23</v>
      </c>
      <c r="E22" s="23">
        <v>300</v>
      </c>
      <c r="F22" s="23">
        <v>59</v>
      </c>
      <c r="G22" s="24">
        <f>F22*E22</f>
        <v>17700</v>
      </c>
      <c r="H22" s="25">
        <f>F22*VLOOKUP(A22,'Precios'!$A$3:$AA$601,27)</f>
        <v>77703</v>
      </c>
      <c r="I22" s="26">
        <f>G22*VLOOKUP(A22,'Precios'!$A$3:$AA$601,27)</f>
        <v>23310900</v>
      </c>
      <c r="J22" s="27"/>
      <c r="K22" s="28"/>
      <c r="L22" s="25"/>
      <c r="M22" s="29">
        <f>M21+K22-L22</f>
        <v>132400</v>
      </c>
      <c r="N22" s="7"/>
      <c r="O22" s="8"/>
      <c r="P22" s="8"/>
      <c r="Q22" s="8"/>
      <c r="R22" s="8"/>
      <c r="S22" s="8"/>
      <c r="T22" s="8"/>
      <c r="U22" s="8"/>
      <c r="V22" s="8"/>
      <c r="W22" s="8"/>
    </row>
    <row r="23" ht="16" customHeight="1">
      <c r="A23" s="21">
        <v>45848</v>
      </c>
      <c r="B23" t="s" s="22">
        <v>19</v>
      </c>
      <c r="C23" t="s" s="9">
        <v>20</v>
      </c>
      <c r="D23" t="s" s="9">
        <v>18</v>
      </c>
      <c r="E23" s="23">
        <v>600</v>
      </c>
      <c r="F23" s="23">
        <v>60.7</v>
      </c>
      <c r="G23" s="24">
        <f>F23*E23</f>
        <v>36420</v>
      </c>
      <c r="H23" s="25">
        <f>F23*VLOOKUP(A23,'Precios'!$A$3:$AA$601,27)</f>
        <v>80002.600000000006</v>
      </c>
      <c r="I23" s="26">
        <f>G23*VLOOKUP(A23,'Precios'!$A$3:$AA$601,27)</f>
        <v>48001560</v>
      </c>
      <c r="J23" s="27"/>
      <c r="K23" s="28"/>
      <c r="L23" s="25"/>
      <c r="M23" s="29">
        <f>M22+K23-L23</f>
        <v>132400</v>
      </c>
      <c r="N23" s="7"/>
      <c r="O23" s="8"/>
      <c r="P23" s="8"/>
      <c r="Q23" s="8"/>
      <c r="R23" s="8"/>
      <c r="S23" s="8"/>
      <c r="T23" s="8"/>
      <c r="U23" s="8"/>
      <c r="V23" s="8"/>
      <c r="W23" s="8"/>
    </row>
    <row r="24" ht="16" customHeight="1">
      <c r="A24" s="21">
        <v>45863</v>
      </c>
      <c r="B24" t="s" s="22">
        <v>15</v>
      </c>
      <c r="C24" s="8"/>
      <c r="D24" s="8"/>
      <c r="E24" s="8"/>
      <c r="F24" s="8"/>
      <c r="G24" s="30"/>
      <c r="H24" s="25"/>
      <c r="I24" s="26"/>
      <c r="J24" s="27"/>
      <c r="K24" s="28"/>
      <c r="L24" s="25">
        <v>10000</v>
      </c>
      <c r="M24" s="29">
        <f>M23+K24-L24</f>
        <v>122400</v>
      </c>
      <c r="N24" s="7"/>
      <c r="O24" s="8"/>
      <c r="P24" s="8"/>
      <c r="Q24" s="8"/>
      <c r="R24" s="8"/>
      <c r="S24" s="8"/>
      <c r="T24" s="8"/>
      <c r="U24" s="8"/>
      <c r="V24" s="8"/>
      <c r="W24" s="8"/>
    </row>
    <row r="25" ht="16" customHeight="1">
      <c r="A25" s="21">
        <v>45879</v>
      </c>
      <c r="B25" t="s" s="22">
        <v>16</v>
      </c>
      <c r="C25" t="s" s="9">
        <v>20</v>
      </c>
      <c r="D25" t="s" s="9">
        <v>18</v>
      </c>
      <c r="E25" s="23">
        <v>800</v>
      </c>
      <c r="F25" s="23">
        <v>58</v>
      </c>
      <c r="G25" s="24">
        <f>F25*E25</f>
        <v>46400</v>
      </c>
      <c r="H25" s="25">
        <f>F25*VLOOKUP(A25,'Precios'!$A$3:$AA$601,27)</f>
        <v>77662</v>
      </c>
      <c r="I25" s="26">
        <f>G25*VLOOKUP(A25,'Precios'!$A$3:$AA$601,27)</f>
        <v>62129600</v>
      </c>
      <c r="J25" s="27"/>
      <c r="K25" s="28"/>
      <c r="L25" s="25"/>
      <c r="M25" s="29">
        <f>M24+K25-L25</f>
        <v>122400</v>
      </c>
      <c r="N25" s="7"/>
      <c r="O25" s="8"/>
      <c r="P25" s="8"/>
      <c r="Q25" s="8"/>
      <c r="R25" s="8"/>
      <c r="S25" s="8"/>
      <c r="T25" s="8"/>
      <c r="U25" s="8"/>
      <c r="V25" s="8"/>
      <c r="W25" s="32"/>
    </row>
    <row r="26" ht="16" customHeight="1">
      <c r="A26" s="21">
        <v>45910</v>
      </c>
      <c r="B26" t="s" s="22">
        <v>19</v>
      </c>
      <c r="C26" t="s" s="9">
        <v>20</v>
      </c>
      <c r="D26" t="s" s="9">
        <v>22</v>
      </c>
      <c r="E26" s="23">
        <v>400</v>
      </c>
      <c r="F26" s="23">
        <v>55</v>
      </c>
      <c r="G26" s="24">
        <f>F26*E26</f>
        <v>22000</v>
      </c>
      <c r="H26" s="25">
        <f>F26*VLOOKUP(A26,'Precios'!$A$3:$AA$601,27)</f>
        <v>74855</v>
      </c>
      <c r="I26" s="26">
        <f>G26*VLOOKUP(A26,'Precios'!$A$3:$AA$601,27)</f>
        <v>29942000</v>
      </c>
      <c r="J26" s="27"/>
      <c r="K26" s="28"/>
      <c r="L26" s="25"/>
      <c r="M26" s="29">
        <f>M25+K26-L26</f>
        <v>122400</v>
      </c>
      <c r="N26" s="7"/>
      <c r="O26" s="8"/>
      <c r="P26" s="8"/>
      <c r="Q26" s="8"/>
      <c r="R26" s="8"/>
      <c r="S26" s="8"/>
      <c r="T26" s="8"/>
      <c r="U26" s="8"/>
      <c r="V26" s="8"/>
      <c r="W26" s="8"/>
    </row>
    <row r="27" ht="16" customHeight="1">
      <c r="A27" s="21">
        <v>45912</v>
      </c>
      <c r="B27" t="s" s="22">
        <v>16</v>
      </c>
      <c r="C27" t="s" s="9">
        <v>20</v>
      </c>
      <c r="D27" t="s" s="9">
        <v>22</v>
      </c>
      <c r="E27" s="23">
        <v>200</v>
      </c>
      <c r="F27" s="23">
        <v>54</v>
      </c>
      <c r="G27" s="24">
        <f>F27*E27</f>
        <v>10800</v>
      </c>
      <c r="H27" s="25">
        <f>F27*VLOOKUP(A27,'Precios'!$A$3:$AA$601,27)</f>
        <v>73602</v>
      </c>
      <c r="I27" s="26">
        <f>G27*VLOOKUP(A27,'Precios'!$A$3:$AA$601,27)</f>
        <v>14720400</v>
      </c>
      <c r="J27" s="27"/>
      <c r="K27" s="28"/>
      <c r="L27" s="25"/>
      <c r="M27" s="29">
        <f>M26+K27-L27</f>
        <v>122400</v>
      </c>
      <c r="N27" s="7"/>
      <c r="O27" s="8"/>
      <c r="P27" s="8"/>
      <c r="Q27" s="8"/>
      <c r="R27" s="8"/>
      <c r="S27" s="8"/>
      <c r="T27" s="8"/>
      <c r="U27" s="8"/>
      <c r="V27" s="8"/>
      <c r="W27" s="8"/>
    </row>
    <row r="28" ht="16" customHeight="1">
      <c r="A28" s="21">
        <v>45912</v>
      </c>
      <c r="B28" t="s" s="22">
        <v>15</v>
      </c>
      <c r="C28" s="8"/>
      <c r="D28" s="8"/>
      <c r="E28" s="8"/>
      <c r="F28" s="8"/>
      <c r="G28" s="30"/>
      <c r="H28" s="25"/>
      <c r="I28" s="26"/>
      <c r="J28" s="27"/>
      <c r="K28" s="28"/>
      <c r="L28" s="25">
        <v>5000</v>
      </c>
      <c r="M28" s="29">
        <f>M27+K28-L28</f>
        <v>117400</v>
      </c>
      <c r="N28" s="7"/>
      <c r="O28" s="8"/>
      <c r="P28" s="8"/>
      <c r="Q28" s="8"/>
      <c r="R28" s="8"/>
      <c r="S28" s="8"/>
      <c r="T28" s="8"/>
      <c r="U28" s="8"/>
      <c r="V28" s="8"/>
      <c r="W28" s="8"/>
    </row>
    <row r="29" ht="16" customHeight="1">
      <c r="A29" s="21">
        <v>45913</v>
      </c>
      <c r="B29" t="s" s="22">
        <v>19</v>
      </c>
      <c r="C29" t="s" s="9">
        <v>20</v>
      </c>
      <c r="D29" t="s" s="9">
        <v>23</v>
      </c>
      <c r="E29" s="23">
        <v>300</v>
      </c>
      <c r="F29" s="23">
        <v>50</v>
      </c>
      <c r="G29" s="24">
        <f>F29*E29</f>
        <v>15000</v>
      </c>
      <c r="H29" s="25">
        <f>F29*VLOOKUP(A29,'Precios'!$A$3:$AA$601,27)</f>
        <v>68150</v>
      </c>
      <c r="I29" s="26">
        <f>G29*VLOOKUP(A29,'Precios'!$A$3:$AA$601,27)</f>
        <v>20445000</v>
      </c>
      <c r="J29" s="27"/>
      <c r="K29" s="28"/>
      <c r="L29" s="25"/>
      <c r="M29" s="29">
        <f>M28+K29-L29</f>
        <v>117400</v>
      </c>
      <c r="N29" s="7"/>
      <c r="O29" s="8"/>
      <c r="P29" s="8"/>
      <c r="Q29" s="8"/>
      <c r="R29" s="8"/>
      <c r="S29" s="8"/>
      <c r="T29" s="8"/>
      <c r="U29" s="8"/>
      <c r="V29" s="8"/>
      <c r="W29" s="8"/>
    </row>
    <row r="30" ht="16" customHeight="1">
      <c r="A30" s="21">
        <v>45914</v>
      </c>
      <c r="B30" t="s" s="22">
        <v>24</v>
      </c>
      <c r="C30" t="s" s="9">
        <v>20</v>
      </c>
      <c r="D30" t="s" s="9">
        <v>23</v>
      </c>
      <c r="E30" s="8"/>
      <c r="F30" s="8"/>
      <c r="G30" s="24">
        <v>5000</v>
      </c>
      <c r="H30" s="25">
        <f>F30*VLOOKUP(A30,'Precios'!$A$3:$AA$601,27)</f>
        <v>0</v>
      </c>
      <c r="I30" s="26">
        <f>G30*VLOOKUP(A30,'Precios'!$A$3:$AA$601,27)</f>
        <v>6815000</v>
      </c>
      <c r="J30" s="27"/>
      <c r="K30" s="28"/>
      <c r="L30" s="25"/>
      <c r="M30" s="29">
        <f>M29+K30-L30</f>
        <v>117400</v>
      </c>
      <c r="N30" s="7"/>
      <c r="O30" s="8"/>
      <c r="P30" s="8"/>
      <c r="Q30" s="8"/>
      <c r="R30" s="8"/>
      <c r="S30" s="8"/>
      <c r="T30" s="8"/>
      <c r="U30" s="8"/>
      <c r="V30" s="8"/>
      <c r="W30" s="8"/>
    </row>
    <row r="31" ht="16" customHeight="1">
      <c r="A31" s="33"/>
      <c r="B31" s="7"/>
      <c r="C31" s="8"/>
      <c r="D31" s="8"/>
      <c r="E31" s="8"/>
      <c r="F31" s="8"/>
      <c r="G31" s="30"/>
      <c r="H31" s="30"/>
      <c r="I31" s="34"/>
      <c r="J31" s="35"/>
      <c r="K31" s="7"/>
      <c r="L31" s="8"/>
      <c r="M31" s="33"/>
      <c r="N31" s="7"/>
      <c r="O31" s="8"/>
      <c r="P31" s="8"/>
      <c r="Q31" s="8"/>
      <c r="R31" s="8"/>
      <c r="S31" s="8"/>
      <c r="T31" s="8"/>
      <c r="U31" s="8"/>
      <c r="V31" s="8"/>
      <c r="W31" s="8"/>
    </row>
    <row r="32" ht="16" customHeight="1">
      <c r="A32" s="33"/>
      <c r="B32" s="7"/>
      <c r="C32" s="8"/>
      <c r="D32" s="8"/>
      <c r="E32" s="8"/>
      <c r="F32" s="8"/>
      <c r="G32" s="30"/>
      <c r="H32" s="30"/>
      <c r="I32" s="34"/>
      <c r="J32" s="35"/>
      <c r="K32" s="7"/>
      <c r="L32" s="8"/>
      <c r="M32" s="33"/>
      <c r="N32" s="7"/>
      <c r="O32" s="8"/>
      <c r="P32" s="8"/>
      <c r="Q32" s="8"/>
      <c r="R32" s="8"/>
      <c r="S32" s="8"/>
      <c r="T32" s="8"/>
      <c r="U32" s="8"/>
      <c r="V32" s="8"/>
      <c r="W32" s="8"/>
    </row>
    <row r="33" ht="16" customHeight="1">
      <c r="A33" s="33"/>
      <c r="B33" s="7"/>
      <c r="C33" s="8"/>
      <c r="D33" s="8"/>
      <c r="E33" s="8"/>
      <c r="F33" s="8"/>
      <c r="G33" s="30"/>
      <c r="H33" s="30"/>
      <c r="I33" s="34"/>
      <c r="J33" s="35"/>
      <c r="K33" s="7"/>
      <c r="L33" s="8"/>
      <c r="M33" s="33"/>
      <c r="N33" s="7"/>
      <c r="O33" s="8"/>
      <c r="P33" s="8"/>
      <c r="Q33" s="8"/>
      <c r="R33" s="8"/>
      <c r="S33" s="8"/>
      <c r="T33" s="8"/>
      <c r="U33" s="8"/>
      <c r="V33" s="8"/>
      <c r="W33" s="8"/>
    </row>
    <row r="34" ht="16" customHeight="1">
      <c r="A34" s="33"/>
      <c r="B34" s="7"/>
      <c r="C34" s="8"/>
      <c r="D34" s="8"/>
      <c r="E34" s="8"/>
      <c r="F34" s="8"/>
      <c r="G34" s="30"/>
      <c r="H34" s="30"/>
      <c r="I34" s="34"/>
      <c r="J34" s="35"/>
      <c r="K34" s="7"/>
      <c r="L34" s="8"/>
      <c r="M34" s="33"/>
      <c r="N34" s="7"/>
      <c r="O34" s="8"/>
      <c r="P34" s="8"/>
      <c r="Q34" s="8"/>
      <c r="R34" s="8"/>
      <c r="S34" s="8"/>
      <c r="T34" s="8"/>
      <c r="U34" s="8"/>
      <c r="V34" s="8"/>
      <c r="W34" s="8"/>
    </row>
    <row r="35" ht="16" customHeight="1">
      <c r="A35" s="33"/>
      <c r="B35" s="7"/>
      <c r="C35" s="8"/>
      <c r="D35" s="8"/>
      <c r="E35" s="8"/>
      <c r="F35" s="8"/>
      <c r="G35" s="30"/>
      <c r="H35" s="30"/>
      <c r="I35" s="34"/>
      <c r="J35" s="35"/>
      <c r="K35" s="7"/>
      <c r="L35" s="8"/>
      <c r="M35" s="33"/>
      <c r="N35" s="7"/>
      <c r="O35" s="8"/>
      <c r="P35" s="8"/>
      <c r="Q35" s="8"/>
      <c r="R35" s="8"/>
      <c r="S35" s="8"/>
      <c r="T35" s="8"/>
      <c r="U35" s="8"/>
      <c r="V35" s="8"/>
      <c r="W35" s="8"/>
    </row>
    <row r="36" ht="16" customHeight="1">
      <c r="A36" s="33"/>
      <c r="B36" s="7"/>
      <c r="C36" s="8"/>
      <c r="D36" s="8"/>
      <c r="E36" s="8"/>
      <c r="F36" s="8"/>
      <c r="G36" s="30"/>
      <c r="H36" s="30"/>
      <c r="I36" s="34"/>
      <c r="J36" s="35"/>
      <c r="K36" s="7"/>
      <c r="L36" s="8"/>
      <c r="M36" s="33"/>
      <c r="N36" s="7"/>
      <c r="O36" s="8"/>
      <c r="P36" s="8"/>
      <c r="Q36" s="8"/>
      <c r="R36" s="8"/>
      <c r="S36" s="8"/>
      <c r="T36" s="8"/>
      <c r="U36" s="8"/>
      <c r="V36" s="8"/>
      <c r="W36" s="8"/>
    </row>
    <row r="37" ht="16" customHeight="1">
      <c r="A37" s="33"/>
      <c r="B37" s="7"/>
      <c r="C37" s="8"/>
      <c r="D37" s="8"/>
      <c r="E37" s="8"/>
      <c r="F37" s="8"/>
      <c r="G37" s="30"/>
      <c r="H37" s="30"/>
      <c r="I37" s="34"/>
      <c r="J37" s="35"/>
      <c r="K37" s="7"/>
      <c r="L37" s="8"/>
      <c r="M37" s="33"/>
      <c r="N37" s="7"/>
      <c r="O37" s="8"/>
      <c r="P37" s="8"/>
      <c r="Q37" s="8"/>
      <c r="R37" s="8"/>
      <c r="S37" s="8"/>
      <c r="T37" s="8"/>
      <c r="U37" s="8"/>
      <c r="V37" s="8"/>
      <c r="W37" s="8"/>
    </row>
    <row r="38" ht="16" customHeight="1">
      <c r="A38" s="33"/>
      <c r="B38" s="7"/>
      <c r="C38" s="8"/>
      <c r="D38" s="8"/>
      <c r="E38" s="8"/>
      <c r="F38" s="8"/>
      <c r="G38" s="30"/>
      <c r="H38" s="30"/>
      <c r="I38" s="34"/>
      <c r="J38" s="35"/>
      <c r="K38" s="7"/>
      <c r="L38" s="8"/>
      <c r="M38" s="33"/>
      <c r="N38" s="7"/>
      <c r="O38" s="8"/>
      <c r="P38" s="8"/>
      <c r="Q38" s="8"/>
      <c r="R38" s="8"/>
      <c r="S38" s="8"/>
      <c r="T38" s="8"/>
      <c r="U38" s="8"/>
      <c r="V38" s="8"/>
      <c r="W38" s="8"/>
    </row>
    <row r="39" ht="16" customHeight="1">
      <c r="A39" s="33"/>
      <c r="B39" s="7"/>
      <c r="C39" s="8"/>
      <c r="D39" s="8"/>
      <c r="E39" s="8"/>
      <c r="F39" s="8"/>
      <c r="G39" s="30"/>
      <c r="H39" s="30"/>
      <c r="I39" s="34"/>
      <c r="J39" s="35"/>
      <c r="K39" s="7"/>
      <c r="L39" s="8"/>
      <c r="M39" s="33"/>
      <c r="N39" s="7"/>
      <c r="O39" s="8"/>
      <c r="P39" s="8"/>
      <c r="Q39" s="8"/>
      <c r="R39" s="8"/>
      <c r="S39" s="8"/>
      <c r="T39" s="8"/>
      <c r="U39" s="8"/>
      <c r="V39" s="8"/>
      <c r="W39" s="8"/>
    </row>
    <row r="40" ht="16" customHeight="1">
      <c r="A40" s="33"/>
      <c r="B40" s="7"/>
      <c r="C40" s="8"/>
      <c r="D40" s="8"/>
      <c r="E40" s="8"/>
      <c r="F40" s="8"/>
      <c r="G40" s="30"/>
      <c r="H40" s="30"/>
      <c r="I40" s="34"/>
      <c r="J40" s="35"/>
      <c r="K40" s="7"/>
      <c r="L40" s="8"/>
      <c r="M40" s="33"/>
      <c r="N40" s="7"/>
      <c r="O40" s="8"/>
      <c r="P40" s="8"/>
      <c r="Q40" s="8"/>
      <c r="R40" s="8"/>
      <c r="S40" s="8"/>
      <c r="T40" s="8"/>
      <c r="U40" s="8"/>
      <c r="V40" s="8"/>
      <c r="W40" s="8"/>
    </row>
    <row r="41" ht="16" customHeight="1">
      <c r="A41" s="33"/>
      <c r="B41" s="7"/>
      <c r="C41" s="8"/>
      <c r="D41" s="8"/>
      <c r="E41" s="8"/>
      <c r="F41" s="8"/>
      <c r="G41" s="30"/>
      <c r="H41" s="30"/>
      <c r="I41" s="34"/>
      <c r="J41" s="35"/>
      <c r="K41" s="7"/>
      <c r="L41" s="8"/>
      <c r="M41" s="33"/>
      <c r="N41" s="7"/>
      <c r="O41" s="8"/>
      <c r="P41" s="8"/>
      <c r="Q41" s="8"/>
      <c r="R41" s="8"/>
      <c r="S41" s="8"/>
      <c r="T41" s="8"/>
      <c r="U41" s="8"/>
      <c r="V41" s="8"/>
      <c r="W41" s="8"/>
    </row>
    <row r="42" ht="16" customHeight="1">
      <c r="A42" s="33"/>
      <c r="B42" s="7"/>
      <c r="C42" s="8"/>
      <c r="D42" s="8"/>
      <c r="E42" s="8"/>
      <c r="F42" s="8"/>
      <c r="G42" s="30"/>
      <c r="H42" s="30"/>
      <c r="I42" s="34"/>
      <c r="J42" s="35"/>
      <c r="K42" s="7"/>
      <c r="L42" s="8"/>
      <c r="M42" s="33"/>
      <c r="N42" s="7"/>
      <c r="O42" s="8"/>
      <c r="P42" s="8"/>
      <c r="Q42" s="8"/>
      <c r="R42" s="8"/>
      <c r="S42" s="8"/>
      <c r="T42" s="8"/>
      <c r="U42" s="8"/>
      <c r="V42" s="8"/>
      <c r="W42" s="8"/>
    </row>
    <row r="43" ht="16" customHeight="1">
      <c r="A43" s="33"/>
      <c r="B43" s="7"/>
      <c r="C43" s="8"/>
      <c r="D43" s="8"/>
      <c r="E43" s="8"/>
      <c r="F43" s="8"/>
      <c r="G43" s="30"/>
      <c r="H43" s="30"/>
      <c r="I43" s="34"/>
      <c r="J43" s="35"/>
      <c r="K43" s="7"/>
      <c r="L43" s="8"/>
      <c r="M43" s="33"/>
      <c r="N43" s="7"/>
      <c r="O43" s="8"/>
      <c r="P43" s="8"/>
      <c r="Q43" s="8"/>
      <c r="R43" s="8"/>
      <c r="S43" s="8"/>
      <c r="T43" s="8"/>
      <c r="U43" s="8"/>
      <c r="V43" s="8"/>
      <c r="W43" s="8"/>
    </row>
    <row r="44" ht="16" customHeight="1">
      <c r="A44" s="33"/>
      <c r="B44" s="7"/>
      <c r="C44" s="8"/>
      <c r="D44" s="8"/>
      <c r="E44" s="8"/>
      <c r="F44" s="8"/>
      <c r="G44" s="30"/>
      <c r="H44" s="30"/>
      <c r="I44" s="34"/>
      <c r="J44" s="35"/>
      <c r="K44" s="7"/>
      <c r="L44" s="8"/>
      <c r="M44" s="33"/>
      <c r="N44" s="7"/>
      <c r="O44" s="8"/>
      <c r="P44" s="8"/>
      <c r="Q44" s="8"/>
      <c r="R44" s="8"/>
      <c r="S44" s="8"/>
      <c r="T44" s="8"/>
      <c r="U44" s="8"/>
      <c r="V44" s="8"/>
      <c r="W44" s="8"/>
    </row>
    <row r="45" ht="16" customHeight="1">
      <c r="A45" s="33"/>
      <c r="B45" s="7"/>
      <c r="C45" s="8"/>
      <c r="D45" s="8"/>
      <c r="E45" s="8"/>
      <c r="F45" s="8"/>
      <c r="G45" s="30"/>
      <c r="H45" s="30"/>
      <c r="I45" s="34"/>
      <c r="J45" s="35"/>
      <c r="K45" s="7"/>
      <c r="L45" s="8"/>
      <c r="M45" s="33"/>
      <c r="N45" s="7"/>
      <c r="O45" s="8"/>
      <c r="P45" s="8"/>
      <c r="Q45" s="8"/>
      <c r="R45" s="8"/>
      <c r="S45" s="8"/>
      <c r="T45" s="8"/>
      <c r="U45" s="8"/>
      <c r="V45" s="8"/>
      <c r="W45" s="8"/>
    </row>
    <row r="46" ht="16" customHeight="1">
      <c r="A46" s="33"/>
      <c r="B46" s="7"/>
      <c r="C46" s="8"/>
      <c r="D46" s="8"/>
      <c r="E46" s="8"/>
      <c r="F46" s="8"/>
      <c r="G46" s="30"/>
      <c r="H46" s="30"/>
      <c r="I46" s="34"/>
      <c r="J46" s="35"/>
      <c r="K46" s="7"/>
      <c r="L46" s="8"/>
      <c r="M46" s="33"/>
      <c r="N46" s="7"/>
      <c r="O46" s="8"/>
      <c r="P46" s="8"/>
      <c r="Q46" s="8"/>
      <c r="R46" s="8"/>
      <c r="S46" s="8"/>
      <c r="T46" s="8"/>
      <c r="U46" s="8"/>
      <c r="V46" s="8"/>
      <c r="W46" s="8"/>
    </row>
    <row r="47" ht="16" customHeight="1">
      <c r="A47" s="33"/>
      <c r="B47" s="7"/>
      <c r="C47" s="8"/>
      <c r="D47" s="8"/>
      <c r="E47" s="8"/>
      <c r="F47" s="8"/>
      <c r="G47" s="30"/>
      <c r="H47" s="30"/>
      <c r="I47" s="34"/>
      <c r="J47" s="35"/>
      <c r="K47" s="7"/>
      <c r="L47" s="8"/>
      <c r="M47" s="33"/>
      <c r="N47" s="7"/>
      <c r="O47" s="8"/>
      <c r="P47" s="8"/>
      <c r="Q47" s="8"/>
      <c r="R47" s="8"/>
      <c r="S47" s="8"/>
      <c r="T47" s="8"/>
      <c r="U47" s="8"/>
      <c r="V47" s="8"/>
      <c r="W47" s="8"/>
    </row>
    <row r="48" ht="16" customHeight="1">
      <c r="A48" s="33"/>
      <c r="B48" s="7"/>
      <c r="C48" s="8"/>
      <c r="D48" s="8"/>
      <c r="E48" s="8"/>
      <c r="F48" s="8"/>
      <c r="G48" s="30"/>
      <c r="H48" s="30"/>
      <c r="I48" s="34"/>
      <c r="J48" s="35"/>
      <c r="K48" s="7"/>
      <c r="L48" s="8"/>
      <c r="M48" s="33"/>
      <c r="N48" s="7"/>
      <c r="O48" s="8"/>
      <c r="P48" s="8"/>
      <c r="Q48" s="8"/>
      <c r="R48" s="8"/>
      <c r="S48" s="8"/>
      <c r="T48" s="8"/>
      <c r="U48" s="8"/>
      <c r="V48" s="8"/>
      <c r="W48" s="8"/>
    </row>
    <row r="49" ht="16" customHeight="1">
      <c r="A49" s="33"/>
      <c r="B49" s="7"/>
      <c r="C49" s="8"/>
      <c r="D49" s="8"/>
      <c r="E49" s="8"/>
      <c r="F49" s="8"/>
      <c r="G49" s="30"/>
      <c r="H49" s="30"/>
      <c r="I49" s="34"/>
      <c r="J49" s="35"/>
      <c r="K49" s="7"/>
      <c r="L49" s="8"/>
      <c r="M49" s="33"/>
      <c r="N49" s="7"/>
      <c r="O49" s="8"/>
      <c r="P49" s="8"/>
      <c r="Q49" s="8"/>
      <c r="R49" s="8"/>
      <c r="S49" s="8"/>
      <c r="T49" s="8"/>
      <c r="U49" s="8"/>
      <c r="V49" s="8"/>
      <c r="W49" s="8"/>
    </row>
    <row r="50" ht="16" customHeight="1">
      <c r="A50" s="33"/>
      <c r="B50" s="7"/>
      <c r="C50" s="8"/>
      <c r="D50" s="8"/>
      <c r="E50" s="8"/>
      <c r="F50" s="8"/>
      <c r="G50" s="30"/>
      <c r="H50" s="30"/>
      <c r="I50" s="34"/>
      <c r="J50" s="35"/>
      <c r="K50" s="7"/>
      <c r="L50" s="8"/>
      <c r="M50" s="33"/>
      <c r="N50" s="7"/>
      <c r="O50" s="8"/>
      <c r="P50" s="8"/>
      <c r="Q50" s="8"/>
      <c r="R50" s="8"/>
      <c r="S50" s="8"/>
      <c r="T50" s="8"/>
      <c r="U50" s="8"/>
      <c r="V50" s="8"/>
      <c r="W50" s="8"/>
    </row>
    <row r="51" ht="16" customHeight="1">
      <c r="A51" s="33"/>
      <c r="B51" s="7"/>
      <c r="C51" s="8"/>
      <c r="D51" s="8"/>
      <c r="E51" s="8"/>
      <c r="F51" s="8"/>
      <c r="G51" s="30"/>
      <c r="H51" s="30"/>
      <c r="I51" s="34"/>
      <c r="J51" s="35"/>
      <c r="K51" s="7"/>
      <c r="L51" s="8"/>
      <c r="M51" s="33"/>
      <c r="N51" s="7"/>
      <c r="O51" s="8"/>
      <c r="P51" s="8"/>
      <c r="Q51" s="8"/>
      <c r="R51" s="8"/>
      <c r="S51" s="8"/>
      <c r="T51" s="8"/>
      <c r="U51" s="8"/>
      <c r="V51" s="8"/>
      <c r="W51" s="8"/>
    </row>
    <row r="52" ht="16" customHeight="1">
      <c r="A52" s="33"/>
      <c r="B52" s="7"/>
      <c r="C52" s="8"/>
      <c r="D52" s="8"/>
      <c r="E52" s="8"/>
      <c r="F52" s="8"/>
      <c r="G52" s="30"/>
      <c r="H52" s="30"/>
      <c r="I52" s="34"/>
      <c r="J52" s="35"/>
      <c r="K52" s="7"/>
      <c r="L52" s="8"/>
      <c r="M52" s="33"/>
      <c r="N52" s="7"/>
      <c r="O52" s="8"/>
      <c r="P52" s="8"/>
      <c r="Q52" s="8"/>
      <c r="R52" s="8"/>
      <c r="S52" s="8"/>
      <c r="T52" s="8"/>
      <c r="U52" s="8"/>
      <c r="V52" s="8"/>
      <c r="W52" s="8"/>
    </row>
    <row r="53" ht="16" customHeight="1">
      <c r="A53" s="33"/>
      <c r="B53" s="7"/>
      <c r="C53" s="8"/>
      <c r="D53" s="8"/>
      <c r="E53" s="8"/>
      <c r="F53" s="8"/>
      <c r="G53" s="30"/>
      <c r="H53" s="30"/>
      <c r="I53" s="34"/>
      <c r="J53" s="35"/>
      <c r="K53" s="7"/>
      <c r="L53" s="8"/>
      <c r="M53" s="33"/>
      <c r="N53" s="7"/>
      <c r="O53" s="8"/>
      <c r="P53" s="8"/>
      <c r="Q53" s="8"/>
      <c r="R53" s="8"/>
      <c r="S53" s="8"/>
      <c r="T53" s="8"/>
      <c r="U53" s="8"/>
      <c r="V53" s="8"/>
      <c r="W53" s="8"/>
    </row>
    <row r="54" ht="16" customHeight="1">
      <c r="A54" s="33"/>
      <c r="B54" s="7"/>
      <c r="C54" s="8"/>
      <c r="D54" s="8"/>
      <c r="E54" s="8"/>
      <c r="F54" s="8"/>
      <c r="G54" s="30"/>
      <c r="H54" s="30"/>
      <c r="I54" s="34"/>
      <c r="J54" s="35"/>
      <c r="K54" s="7"/>
      <c r="L54" s="8"/>
      <c r="M54" s="33"/>
      <c r="N54" s="7"/>
      <c r="O54" s="8"/>
      <c r="P54" s="8"/>
      <c r="Q54" s="8"/>
      <c r="R54" s="8"/>
      <c r="S54" s="8"/>
      <c r="T54" s="8"/>
      <c r="U54" s="8"/>
      <c r="V54" s="8"/>
      <c r="W54" s="8"/>
    </row>
    <row r="55" ht="16" customHeight="1">
      <c r="A55" s="33"/>
      <c r="B55" s="7"/>
      <c r="C55" s="8"/>
      <c r="D55" s="8"/>
      <c r="E55" s="8"/>
      <c r="F55" s="8"/>
      <c r="G55" s="30"/>
      <c r="H55" s="30"/>
      <c r="I55" s="34"/>
      <c r="J55" s="35"/>
      <c r="K55" s="7"/>
      <c r="L55" s="8"/>
      <c r="M55" s="33"/>
      <c r="N55" s="7"/>
      <c r="O55" s="8"/>
      <c r="P55" s="8"/>
      <c r="Q55" s="8"/>
      <c r="R55" s="8"/>
      <c r="S55" s="8"/>
      <c r="T55" s="8"/>
      <c r="U55" s="8"/>
      <c r="V55" s="8"/>
      <c r="W55" s="8"/>
    </row>
    <row r="56" ht="16" customHeight="1">
      <c r="A56" s="33"/>
      <c r="B56" s="7"/>
      <c r="C56" s="8"/>
      <c r="D56" s="8"/>
      <c r="E56" s="8"/>
      <c r="F56" s="8"/>
      <c r="G56" s="30"/>
      <c r="H56" s="30"/>
      <c r="I56" s="34"/>
      <c r="J56" s="35"/>
      <c r="K56" s="7"/>
      <c r="L56" s="8"/>
      <c r="M56" s="33"/>
      <c r="N56" s="7"/>
      <c r="O56" s="8"/>
      <c r="P56" s="8"/>
      <c r="Q56" s="8"/>
      <c r="R56" s="8"/>
      <c r="S56" s="8"/>
      <c r="T56" s="8"/>
      <c r="U56" s="8"/>
      <c r="V56" s="8"/>
      <c r="W56" s="8"/>
    </row>
    <row r="57" ht="16" customHeight="1">
      <c r="A57" s="33"/>
      <c r="B57" s="7"/>
      <c r="C57" s="8"/>
      <c r="D57" s="8"/>
      <c r="E57" s="8"/>
      <c r="F57" s="8"/>
      <c r="G57" s="30"/>
      <c r="H57" s="30"/>
      <c r="I57" s="34"/>
      <c r="J57" s="35"/>
      <c r="K57" s="7"/>
      <c r="L57" s="8"/>
      <c r="M57" s="33"/>
      <c r="N57" s="7"/>
      <c r="O57" s="8"/>
      <c r="P57" s="8"/>
      <c r="Q57" s="8"/>
      <c r="R57" s="8"/>
      <c r="S57" s="8"/>
      <c r="T57" s="8"/>
      <c r="U57" s="8"/>
      <c r="V57" s="8"/>
      <c r="W57" s="8"/>
    </row>
    <row r="58" ht="16" customHeight="1">
      <c r="A58" s="33"/>
      <c r="B58" s="7"/>
      <c r="C58" s="8"/>
      <c r="D58" s="8"/>
      <c r="E58" s="8"/>
      <c r="F58" s="8"/>
      <c r="G58" s="30"/>
      <c r="H58" s="30"/>
      <c r="I58" s="34"/>
      <c r="J58" s="35"/>
      <c r="K58" s="7"/>
      <c r="L58" s="8"/>
      <c r="M58" s="33"/>
      <c r="N58" s="7"/>
      <c r="O58" s="8"/>
      <c r="P58" s="8"/>
      <c r="Q58" s="8"/>
      <c r="R58" s="8"/>
      <c r="S58" s="8"/>
      <c r="T58" s="8"/>
      <c r="U58" s="8"/>
      <c r="V58" s="8"/>
      <c r="W58" s="8"/>
    </row>
    <row r="59" ht="16" customHeight="1">
      <c r="A59" s="33"/>
      <c r="B59" s="7"/>
      <c r="C59" s="8"/>
      <c r="D59" s="8"/>
      <c r="E59" s="8"/>
      <c r="F59" s="8"/>
      <c r="G59" s="30"/>
      <c r="H59" s="30"/>
      <c r="I59" s="34"/>
      <c r="J59" s="35"/>
      <c r="K59" s="7"/>
      <c r="L59" s="8"/>
      <c r="M59" s="33"/>
      <c r="N59" s="7"/>
      <c r="O59" s="8"/>
      <c r="P59" s="8"/>
      <c r="Q59" s="8"/>
      <c r="R59" s="8"/>
      <c r="S59" s="8"/>
      <c r="T59" s="8"/>
      <c r="U59" s="8"/>
      <c r="V59" s="8"/>
      <c r="W59" s="8"/>
    </row>
    <row r="60" ht="16" customHeight="1">
      <c r="A60" s="33"/>
      <c r="B60" s="7"/>
      <c r="C60" s="8"/>
      <c r="D60" s="8"/>
      <c r="E60" s="8"/>
      <c r="F60" s="8"/>
      <c r="G60" s="30"/>
      <c r="H60" s="30"/>
      <c r="I60" s="34"/>
      <c r="J60" s="35"/>
      <c r="K60" s="7"/>
      <c r="L60" s="8"/>
      <c r="M60" s="33"/>
      <c r="N60" s="7"/>
      <c r="O60" s="8"/>
      <c r="P60" s="8"/>
      <c r="Q60" s="8"/>
      <c r="R60" s="8"/>
      <c r="S60" s="8"/>
      <c r="T60" s="8"/>
      <c r="U60" s="8"/>
      <c r="V60" s="8"/>
      <c r="W60" s="8"/>
    </row>
    <row r="61" ht="16" customHeight="1">
      <c r="A61" s="33"/>
      <c r="B61" s="7"/>
      <c r="C61" s="8"/>
      <c r="D61" s="8"/>
      <c r="E61" s="8"/>
      <c r="F61" s="8"/>
      <c r="G61" s="30"/>
      <c r="H61" s="30"/>
      <c r="I61" s="34"/>
      <c r="J61" s="35"/>
      <c r="K61" s="7"/>
      <c r="L61" s="8"/>
      <c r="M61" s="33"/>
      <c r="N61" s="7"/>
      <c r="O61" s="8"/>
      <c r="P61" s="8"/>
      <c r="Q61" s="8"/>
      <c r="R61" s="8"/>
      <c r="S61" s="8"/>
      <c r="T61" s="8"/>
      <c r="U61" s="8"/>
      <c r="V61" s="8"/>
      <c r="W61" s="8"/>
    </row>
  </sheetData>
  <dataValidations count="4">
    <dataValidation type="list" allowBlank="1" showInputMessage="1" showErrorMessage="1" sqref="B1">
      <formula1>"Compra ,Venta,Dividendos,Amortización,Retiro/Ingreso,Operacion"</formula1>
    </dataValidation>
    <dataValidation type="list" allowBlank="1" showInputMessage="1" showErrorMessage="1" sqref="B3:B4 B6:B7 B13 B15 B17 B22:B23 B26 B29">
      <formula1>"Compra ,Venta,Dividendos,Amortización,Retiro/Ingreso,Compra"</formula1>
    </dataValidation>
    <dataValidation type="list" allowBlank="1" showInputMessage="1" showErrorMessage="1" sqref="B5 B8:B11 B14 B16 B18:B19 B24:B25 B27:B28 B30:B38">
      <formula1>"Compra ,Venta,Dividendos,Amortización,Retiro/Ingreso"</formula1>
    </dataValidation>
    <dataValidation type="list" allowBlank="1" showInputMessage="1" showErrorMessage="1" sqref="B12 B20:B21">
      <formula1>"Compra ,Venta,Dividendos,Amortización,Retiro/Ingreso,Cupon"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AB601"/>
  <sheetViews>
    <sheetView workbookViewId="0" showGridLines="0" defaultGridColor="1"/>
  </sheetViews>
  <sheetFormatPr defaultColWidth="8.83333" defaultRowHeight="15" customHeight="1" outlineLevelRow="0" outlineLevelCol="0"/>
  <cols>
    <col min="1" max="1" width="14.8516" style="36" customWidth="1"/>
    <col min="2" max="2" width="14.5" style="36" customWidth="1"/>
    <col min="3" max="3" width="19.8516" style="36" customWidth="1"/>
    <col min="4" max="8" width="8.85156" style="36" customWidth="1"/>
    <col min="9" max="9" width="9.5" style="36" customWidth="1"/>
    <col min="10" max="28" width="8.85156" style="36" customWidth="1"/>
    <col min="29" max="16384" width="8.85156" style="36" customWidth="1"/>
  </cols>
  <sheetData>
    <row r="1" ht="16" customHeight="1">
      <c r="A1" t="s" s="9">
        <v>0</v>
      </c>
      <c r="B1" t="s" s="9">
        <v>27</v>
      </c>
      <c r="C1" t="s" s="9">
        <v>28</v>
      </c>
      <c r="D1" t="s" s="9">
        <v>25</v>
      </c>
      <c r="E1" t="s" s="9">
        <v>29</v>
      </c>
      <c r="F1" t="s" s="9">
        <v>30</v>
      </c>
      <c r="G1" t="s" s="9">
        <v>31</v>
      </c>
      <c r="H1" t="s" s="9">
        <v>14</v>
      </c>
      <c r="I1" t="s" s="9">
        <v>18</v>
      </c>
      <c r="J1" t="s" s="9">
        <v>22</v>
      </c>
      <c r="K1" t="s" s="9">
        <v>32</v>
      </c>
      <c r="L1" t="s" s="9">
        <v>23</v>
      </c>
      <c r="M1" t="s" s="9">
        <v>33</v>
      </c>
      <c r="N1" t="s" s="9">
        <v>34</v>
      </c>
      <c r="O1" t="s" s="9">
        <v>35</v>
      </c>
      <c r="P1" t="s" s="9">
        <v>36</v>
      </c>
      <c r="Q1" t="s" s="9">
        <v>37</v>
      </c>
      <c r="R1" t="s" s="9">
        <v>38</v>
      </c>
      <c r="S1" t="s" s="9">
        <v>39</v>
      </c>
      <c r="T1" t="s" s="9">
        <v>40</v>
      </c>
      <c r="U1" t="s" s="9">
        <v>41</v>
      </c>
      <c r="V1" t="s" s="9">
        <v>42</v>
      </c>
      <c r="W1" t="s" s="9">
        <v>43</v>
      </c>
      <c r="X1" t="s" s="9">
        <v>44</v>
      </c>
      <c r="Y1" t="s" s="9">
        <v>45</v>
      </c>
      <c r="Z1" t="s" s="9">
        <v>46</v>
      </c>
      <c r="AA1" t="s" s="9">
        <v>47</v>
      </c>
      <c r="AB1" s="8"/>
    </row>
    <row r="2" ht="16" customHeight="1">
      <c r="A2" t="s" s="37">
        <v>48</v>
      </c>
      <c r="B2" s="38">
        <v>60.5</v>
      </c>
      <c r="C2" s="38">
        <v>58.08</v>
      </c>
      <c r="D2" s="38">
        <v>57.62</v>
      </c>
      <c r="E2" s="38">
        <v>62.3</v>
      </c>
      <c r="F2" s="38">
        <v>54.6</v>
      </c>
      <c r="G2" s="38">
        <v>55</v>
      </c>
      <c r="H2" s="38">
        <v>58</v>
      </c>
      <c r="I2" s="38">
        <v>54.84</v>
      </c>
      <c r="J2" s="38">
        <v>54.32</v>
      </c>
      <c r="K2" s="38">
        <v>55.98</v>
      </c>
      <c r="L2" s="38">
        <v>45</v>
      </c>
      <c r="M2" s="39"/>
      <c r="N2" s="38">
        <v>97.59999999999999</v>
      </c>
      <c r="O2" s="38">
        <v>91.5</v>
      </c>
      <c r="P2" s="38">
        <v>89.92</v>
      </c>
      <c r="Q2" s="39"/>
      <c r="R2" s="38">
        <v>101.9</v>
      </c>
      <c r="S2" s="39"/>
      <c r="T2" s="38">
        <v>94.98999999999999</v>
      </c>
      <c r="U2" s="38">
        <v>90.17</v>
      </c>
      <c r="V2" s="38">
        <v>87.83</v>
      </c>
      <c r="W2" s="38">
        <v>0</v>
      </c>
      <c r="X2" s="38">
        <v>99.94</v>
      </c>
      <c r="Y2" s="38">
        <v>67.04000000000001</v>
      </c>
      <c r="Z2" s="38">
        <v>65.67</v>
      </c>
      <c r="AA2" s="38">
        <v>1400</v>
      </c>
      <c r="AB2" s="40"/>
    </row>
    <row r="3" ht="16" customHeight="1">
      <c r="A3" s="19">
        <v>45569</v>
      </c>
      <c r="B3" s="23">
        <f>B4-0.1</f>
        <v>71.40000000000001</v>
      </c>
      <c r="C3" s="23">
        <f>C4-0.1</f>
        <v>63.8</v>
      </c>
      <c r="D3" s="23">
        <f>D4-0.1</f>
        <v>55.71</v>
      </c>
      <c r="E3" s="23">
        <f>E4-0.1</f>
        <v>60.17</v>
      </c>
      <c r="F3" s="23">
        <f>F4-0.1</f>
        <v>51.5</v>
      </c>
      <c r="G3" s="23">
        <f>G4-0.1</f>
        <v>57.92</v>
      </c>
      <c r="H3" s="23">
        <f>H4-0.1</f>
        <v>70.26000000000001</v>
      </c>
      <c r="I3" s="23">
        <f>I4-0.1</f>
        <v>62.06</v>
      </c>
      <c r="J3" s="23">
        <f>J4-0.1</f>
        <v>55.58</v>
      </c>
      <c r="K3" s="23">
        <f>K4-0.1</f>
        <v>57.79</v>
      </c>
      <c r="L3" s="23">
        <f>L4-0.1</f>
        <v>51.5</v>
      </c>
      <c r="M3" s="23">
        <f>M4-0.1</f>
        <v>97.7</v>
      </c>
      <c r="N3" s="23">
        <f>N4-0.1</f>
        <v>92.90000000000001</v>
      </c>
      <c r="O3" s="23">
        <f>O4-0.1</f>
        <v>87.2</v>
      </c>
      <c r="P3" s="23">
        <f>P4-0.1</f>
        <v>86.63</v>
      </c>
      <c r="Q3" s="23">
        <f>Q4-0.1</f>
        <v>73.5</v>
      </c>
      <c r="R3" s="23">
        <f>R4-0.1</f>
        <v>90.56</v>
      </c>
      <c r="S3" s="23">
        <f>S4-0.1</f>
        <v>94.59999999999999</v>
      </c>
      <c r="T3" s="23">
        <f>T4-0.1</f>
        <v>90.55</v>
      </c>
      <c r="U3" s="23">
        <f>U4-0.1</f>
        <v>84.8</v>
      </c>
      <c r="V3" s="23">
        <f>V4-0.1</f>
        <v>83.59999999999999</v>
      </c>
      <c r="W3" s="23">
        <f>W4-0.1</f>
        <v>71.8</v>
      </c>
      <c r="X3" s="23">
        <f>X4-0.1</f>
        <v>88.20999999999999</v>
      </c>
      <c r="Y3" s="8"/>
      <c r="Z3" s="8"/>
      <c r="AA3" s="23">
        <v>1132</v>
      </c>
      <c r="AB3" s="8"/>
    </row>
    <row r="4" ht="16" customHeight="1">
      <c r="A4" s="19">
        <v>45570</v>
      </c>
      <c r="B4" s="23">
        <f>B5-0.1</f>
        <v>71.5</v>
      </c>
      <c r="C4" s="23">
        <f>C5-0.1</f>
        <v>63.9</v>
      </c>
      <c r="D4" s="23">
        <f>D5-0.1</f>
        <v>55.81</v>
      </c>
      <c r="E4" s="23">
        <f>E5-0.1</f>
        <v>60.27</v>
      </c>
      <c r="F4" s="23">
        <f>F5-0.1</f>
        <v>51.6</v>
      </c>
      <c r="G4" s="23">
        <f>G5-0.1</f>
        <v>58.02</v>
      </c>
      <c r="H4" s="23">
        <f>H5-0.1</f>
        <v>70.36</v>
      </c>
      <c r="I4" s="23">
        <f>I5-0.1</f>
        <v>62.16</v>
      </c>
      <c r="J4" s="23">
        <f>J5-0.1</f>
        <v>55.68</v>
      </c>
      <c r="K4" s="23">
        <f>K5-0.1</f>
        <v>57.89</v>
      </c>
      <c r="L4" s="23">
        <f>L5-0.1</f>
        <v>51.6</v>
      </c>
      <c r="M4" s="23">
        <f>M5-0.1</f>
        <v>97.8</v>
      </c>
      <c r="N4" s="23">
        <f>N5-0.1</f>
        <v>93</v>
      </c>
      <c r="O4" s="23">
        <f>O5-0.1</f>
        <v>87.3</v>
      </c>
      <c r="P4" s="23">
        <f>P5-0.1</f>
        <v>86.73</v>
      </c>
      <c r="Q4" s="23">
        <f>Q5-0.1</f>
        <v>73.59999999999999</v>
      </c>
      <c r="R4" s="23">
        <f>R5-0.1</f>
        <v>90.66</v>
      </c>
      <c r="S4" s="23">
        <f>S5-0.1</f>
        <v>94.7</v>
      </c>
      <c r="T4" s="23">
        <f>T5-0.1</f>
        <v>90.65000000000001</v>
      </c>
      <c r="U4" s="23">
        <f>U5-0.1</f>
        <v>84.90000000000001</v>
      </c>
      <c r="V4" s="23">
        <f>V5-0.1</f>
        <v>83.7</v>
      </c>
      <c r="W4" s="23">
        <f>W5-0.1</f>
        <v>71.90000000000001</v>
      </c>
      <c r="X4" s="23">
        <f>X5-0.1</f>
        <v>88.31</v>
      </c>
      <c r="Y4" s="8"/>
      <c r="Z4" s="8"/>
      <c r="AA4" s="23">
        <f>AA3+1</f>
        <v>1133</v>
      </c>
      <c r="AB4" s="8"/>
    </row>
    <row r="5" ht="16" customHeight="1">
      <c r="A5" s="19">
        <v>45571</v>
      </c>
      <c r="B5" s="23">
        <f>B6-0.1</f>
        <v>71.59999999999999</v>
      </c>
      <c r="C5" s="23">
        <f>C6-0.1</f>
        <v>64</v>
      </c>
      <c r="D5" s="23">
        <f>D6-0.1</f>
        <v>55.91</v>
      </c>
      <c r="E5" s="23">
        <f>E6-0.1</f>
        <v>60.37</v>
      </c>
      <c r="F5" s="23">
        <f>F6-0.1</f>
        <v>51.7</v>
      </c>
      <c r="G5" s="23">
        <f>G6-0.1</f>
        <v>58.12</v>
      </c>
      <c r="H5" s="23">
        <f>H6-0.1</f>
        <v>70.45999999999999</v>
      </c>
      <c r="I5" s="23">
        <f>I6-0.1</f>
        <v>62.26</v>
      </c>
      <c r="J5" s="23">
        <f>J6-0.1</f>
        <v>55.78</v>
      </c>
      <c r="K5" s="23">
        <f>K6-0.1</f>
        <v>57.99</v>
      </c>
      <c r="L5" s="23">
        <f>L6-0.1</f>
        <v>51.7</v>
      </c>
      <c r="M5" s="23">
        <f>M6-0.1</f>
        <v>97.90000000000001</v>
      </c>
      <c r="N5" s="23">
        <f>N6-0.1</f>
        <v>93.09999999999999</v>
      </c>
      <c r="O5" s="23">
        <f>O6-0.1</f>
        <v>87.40000000000001</v>
      </c>
      <c r="P5" s="23">
        <f>P6-0.1</f>
        <v>86.83</v>
      </c>
      <c r="Q5" s="23">
        <f>Q6-0.1</f>
        <v>73.7</v>
      </c>
      <c r="R5" s="23">
        <f>R6-0.1</f>
        <v>90.76000000000001</v>
      </c>
      <c r="S5" s="23">
        <f>S6-0.1</f>
        <v>94.8</v>
      </c>
      <c r="T5" s="23">
        <f>T6-0.1</f>
        <v>90.75</v>
      </c>
      <c r="U5" s="23">
        <f>U6-0.1</f>
        <v>85</v>
      </c>
      <c r="V5" s="23">
        <f>V6-0.1</f>
        <v>83.8</v>
      </c>
      <c r="W5" s="23">
        <f>W6-0.1</f>
        <v>72</v>
      </c>
      <c r="X5" s="23">
        <f>X6-0.1</f>
        <v>88.41</v>
      </c>
      <c r="Y5" s="8"/>
      <c r="Z5" s="8"/>
      <c r="AA5" s="23">
        <f>AA4+1</f>
        <v>1134</v>
      </c>
      <c r="AB5" s="8"/>
    </row>
    <row r="6" ht="16" customHeight="1">
      <c r="A6" s="19">
        <v>45572</v>
      </c>
      <c r="B6" s="23">
        <f>B7-0.1</f>
        <v>71.7</v>
      </c>
      <c r="C6" s="23">
        <f>C7-0.1</f>
        <v>64.09999999999999</v>
      </c>
      <c r="D6" s="23">
        <f>D7-0.1</f>
        <v>56.01</v>
      </c>
      <c r="E6" s="23">
        <f>E7-0.1</f>
        <v>60.47</v>
      </c>
      <c r="F6" s="23">
        <f>F7-0.1</f>
        <v>51.8</v>
      </c>
      <c r="G6" s="23">
        <f>G7-0.1</f>
        <v>58.22</v>
      </c>
      <c r="H6" s="23">
        <f>H7-0.1</f>
        <v>70.56</v>
      </c>
      <c r="I6" s="23">
        <f>I7-0.1</f>
        <v>62.36</v>
      </c>
      <c r="J6" s="23">
        <f>J7-0.1</f>
        <v>55.88</v>
      </c>
      <c r="K6" s="23">
        <f>K7-0.1</f>
        <v>58.09</v>
      </c>
      <c r="L6" s="23">
        <f>L7-0.1</f>
        <v>51.8</v>
      </c>
      <c r="M6" s="23">
        <f>M7-0.1</f>
        <v>98</v>
      </c>
      <c r="N6" s="23">
        <f>N7-0.1</f>
        <v>93.2</v>
      </c>
      <c r="O6" s="23">
        <f>O7-0.1</f>
        <v>87.5</v>
      </c>
      <c r="P6" s="23">
        <f>P7-0.1</f>
        <v>86.93000000000001</v>
      </c>
      <c r="Q6" s="23">
        <f>Q7-0.1</f>
        <v>73.8</v>
      </c>
      <c r="R6" s="23">
        <f>R7-0.1</f>
        <v>90.86</v>
      </c>
      <c r="S6" s="23">
        <f>S7-0.1</f>
        <v>94.90000000000001</v>
      </c>
      <c r="T6" s="23">
        <f>T7-0.1</f>
        <v>90.84999999999999</v>
      </c>
      <c r="U6" s="23">
        <f>U7-0.1</f>
        <v>85.09999999999999</v>
      </c>
      <c r="V6" s="23">
        <f>V7-0.1</f>
        <v>83.90000000000001</v>
      </c>
      <c r="W6" s="23">
        <f>W7-0.1</f>
        <v>72.09999999999999</v>
      </c>
      <c r="X6" s="23">
        <f>X7-0.1</f>
        <v>88.51000000000001</v>
      </c>
      <c r="Y6" s="8"/>
      <c r="Z6" s="8"/>
      <c r="AA6" s="23">
        <f>AA5+1</f>
        <v>1135</v>
      </c>
      <c r="AB6" s="8"/>
    </row>
    <row r="7" ht="16" customHeight="1">
      <c r="A7" s="19">
        <v>45573</v>
      </c>
      <c r="B7" s="23">
        <f>B8-0.1</f>
        <v>71.8</v>
      </c>
      <c r="C7" s="23">
        <f>C8-0.1</f>
        <v>64.2</v>
      </c>
      <c r="D7" s="23">
        <f>D8-0.1</f>
        <v>56.11</v>
      </c>
      <c r="E7" s="23">
        <f>E8-0.1</f>
        <v>60.57</v>
      </c>
      <c r="F7" s="23">
        <f>F8-0.1</f>
        <v>51.9</v>
      </c>
      <c r="G7" s="23">
        <f>G8-0.1</f>
        <v>58.32</v>
      </c>
      <c r="H7" s="23">
        <f>H8-0.1</f>
        <v>70.66</v>
      </c>
      <c r="I7" s="23">
        <f>I8-0.1</f>
        <v>62.46</v>
      </c>
      <c r="J7" s="23">
        <f>J8-0.1</f>
        <v>55.98</v>
      </c>
      <c r="K7" s="23">
        <f>K8-0.1</f>
        <v>58.19</v>
      </c>
      <c r="L7" s="23">
        <f>L8-0.1</f>
        <v>51.9</v>
      </c>
      <c r="M7" s="23">
        <f>M8-0.1</f>
        <v>98.09999999999999</v>
      </c>
      <c r="N7" s="23">
        <f>N8-0.1</f>
        <v>93.3</v>
      </c>
      <c r="O7" s="23">
        <f>O8-0.1</f>
        <v>87.59999999999999</v>
      </c>
      <c r="P7" s="23">
        <f>P8-0.1</f>
        <v>87.03</v>
      </c>
      <c r="Q7" s="23">
        <f>Q8-0.1</f>
        <v>73.90000000000001</v>
      </c>
      <c r="R7" s="23">
        <f>R8-0.1</f>
        <v>90.95999999999999</v>
      </c>
      <c r="S7" s="23">
        <f>S8-0.1</f>
        <v>95</v>
      </c>
      <c r="T7" s="23">
        <f>T8-0.1</f>
        <v>90.95</v>
      </c>
      <c r="U7" s="23">
        <f>U8-0.1</f>
        <v>85.2</v>
      </c>
      <c r="V7" s="23">
        <f>V8-0.1</f>
        <v>84</v>
      </c>
      <c r="W7" s="23">
        <f>W8-0.1</f>
        <v>72.2</v>
      </c>
      <c r="X7" s="23">
        <f>X8-0.1</f>
        <v>88.61</v>
      </c>
      <c r="Y7" s="8"/>
      <c r="Z7" s="8"/>
      <c r="AA7" s="23">
        <f>AA6+1</f>
        <v>1136</v>
      </c>
      <c r="AB7" s="8"/>
    </row>
    <row r="8" ht="16" customHeight="1">
      <c r="A8" s="19">
        <v>45574</v>
      </c>
      <c r="B8" s="23">
        <f>B9-0.1</f>
        <v>71.90000000000001</v>
      </c>
      <c r="C8" s="23">
        <f>C9-0.1</f>
        <v>64.3</v>
      </c>
      <c r="D8" s="23">
        <f>D9-0.1</f>
        <v>56.21</v>
      </c>
      <c r="E8" s="23">
        <f>E9-0.1</f>
        <v>60.67</v>
      </c>
      <c r="F8" s="23">
        <f>F9-0.1</f>
        <v>52</v>
      </c>
      <c r="G8" s="23">
        <f>G9-0.1</f>
        <v>58.42</v>
      </c>
      <c r="H8" s="23">
        <f>H9-0.1</f>
        <v>70.76000000000001</v>
      </c>
      <c r="I8" s="23">
        <f>I9-0.1</f>
        <v>62.56</v>
      </c>
      <c r="J8" s="23">
        <f>J9-0.1</f>
        <v>56.08</v>
      </c>
      <c r="K8" s="23">
        <f>K9-0.1</f>
        <v>58.29</v>
      </c>
      <c r="L8" s="23">
        <f>L9-0.1</f>
        <v>52</v>
      </c>
      <c r="M8" s="23">
        <f>M9-0.1</f>
        <v>98.2</v>
      </c>
      <c r="N8" s="23">
        <f>N9-0.1</f>
        <v>93.40000000000001</v>
      </c>
      <c r="O8" s="23">
        <f>O9-0.1</f>
        <v>87.7</v>
      </c>
      <c r="P8" s="23">
        <f>P9-0.1</f>
        <v>87.13</v>
      </c>
      <c r="Q8" s="23">
        <f>Q9-0.1</f>
        <v>74</v>
      </c>
      <c r="R8" s="23">
        <f>R9-0.1</f>
        <v>91.06</v>
      </c>
      <c r="S8" s="23">
        <f>S9-0.1</f>
        <v>95.09999999999999</v>
      </c>
      <c r="T8" s="23">
        <f>T9-0.1</f>
        <v>91.05</v>
      </c>
      <c r="U8" s="23">
        <f>U9-0.1</f>
        <v>85.3</v>
      </c>
      <c r="V8" s="23">
        <f>V9-0.1</f>
        <v>84.09999999999999</v>
      </c>
      <c r="W8" s="23">
        <f>W9-0.1</f>
        <v>72.3</v>
      </c>
      <c r="X8" s="23">
        <f>X9-0.1</f>
        <v>88.70999999999999</v>
      </c>
      <c r="Y8" s="8"/>
      <c r="Z8" s="8"/>
      <c r="AA8" s="23">
        <f>AA7+1</f>
        <v>1137</v>
      </c>
      <c r="AB8" s="8"/>
    </row>
    <row r="9" ht="16" customHeight="1">
      <c r="A9" s="19">
        <v>45575</v>
      </c>
      <c r="B9" s="23">
        <f>B10-0.1</f>
        <v>72</v>
      </c>
      <c r="C9" s="23">
        <f>C10-0.1</f>
        <v>64.40000000000001</v>
      </c>
      <c r="D9" s="23">
        <f>D10-0.1</f>
        <v>56.31</v>
      </c>
      <c r="E9" s="23">
        <f>E10-0.1</f>
        <v>60.77</v>
      </c>
      <c r="F9" s="23">
        <f>F10-0.1</f>
        <v>52.1</v>
      </c>
      <c r="G9" s="23">
        <f>G10-0.1</f>
        <v>58.52</v>
      </c>
      <c r="H9" s="23">
        <f>H10-0.1</f>
        <v>70.86</v>
      </c>
      <c r="I9" s="23">
        <f>I10-0.1</f>
        <v>62.66</v>
      </c>
      <c r="J9" s="23">
        <f>J10-0.1</f>
        <v>56.18</v>
      </c>
      <c r="K9" s="23">
        <f>K10-0.1</f>
        <v>58.39</v>
      </c>
      <c r="L9" s="23">
        <f>L10-0.1</f>
        <v>52.1</v>
      </c>
      <c r="M9" s="23">
        <f>M10-0.1</f>
        <v>98.3</v>
      </c>
      <c r="N9" s="23">
        <f>N10-0.1</f>
        <v>93.5</v>
      </c>
      <c r="O9" s="23">
        <f>O10-0.1</f>
        <v>87.8</v>
      </c>
      <c r="P9" s="23">
        <f>P10-0.1</f>
        <v>87.23</v>
      </c>
      <c r="Q9" s="23">
        <f>Q10-0.1</f>
        <v>74.09999999999999</v>
      </c>
      <c r="R9" s="23">
        <f>R10-0.1</f>
        <v>91.16</v>
      </c>
      <c r="S9" s="23">
        <f>S10-0.1</f>
        <v>95.2</v>
      </c>
      <c r="T9" s="23">
        <f>T10-0.1</f>
        <v>91.15000000000001</v>
      </c>
      <c r="U9" s="23">
        <f>U10-0.1</f>
        <v>85.40000000000001</v>
      </c>
      <c r="V9" s="23">
        <f>V10-0.1</f>
        <v>84.2</v>
      </c>
      <c r="W9" s="23">
        <f>W10-0.1</f>
        <v>72.40000000000001</v>
      </c>
      <c r="X9" s="23">
        <f>X10-0.1</f>
        <v>88.81</v>
      </c>
      <c r="Y9" s="8"/>
      <c r="Z9" s="8"/>
      <c r="AA9" s="23">
        <f>AA8+1</f>
        <v>1138</v>
      </c>
      <c r="AB9" s="8"/>
    </row>
    <row r="10" ht="16" customHeight="1">
      <c r="A10" s="19">
        <v>45576</v>
      </c>
      <c r="B10" s="23">
        <f>B11-0.1</f>
        <v>72.09999999999999</v>
      </c>
      <c r="C10" s="23">
        <f>C11-0.1</f>
        <v>64.5</v>
      </c>
      <c r="D10" s="23">
        <f>D11-0.1</f>
        <v>56.41</v>
      </c>
      <c r="E10" s="23">
        <f>E11-0.1</f>
        <v>60.87</v>
      </c>
      <c r="F10" s="23">
        <f>F11-0.1</f>
        <v>52.2</v>
      </c>
      <c r="G10" s="23">
        <f>G11-0.1</f>
        <v>58.62</v>
      </c>
      <c r="H10" s="23">
        <f>H11-0.1</f>
        <v>70.95999999999999</v>
      </c>
      <c r="I10" s="23">
        <f>I11-0.1</f>
        <v>62.76</v>
      </c>
      <c r="J10" s="23">
        <f>J11-0.1</f>
        <v>56.28</v>
      </c>
      <c r="K10" s="23">
        <f>K11-0.1</f>
        <v>58.49</v>
      </c>
      <c r="L10" s="23">
        <f>L11-0.1</f>
        <v>52.2</v>
      </c>
      <c r="M10" s="23">
        <f>M11-0.1</f>
        <v>98.40000000000001</v>
      </c>
      <c r="N10" s="23">
        <f>N11-0.1</f>
        <v>93.59999999999999</v>
      </c>
      <c r="O10" s="23">
        <f>O11-0.1</f>
        <v>87.90000000000001</v>
      </c>
      <c r="P10" s="23">
        <f>P11-0.1</f>
        <v>87.33</v>
      </c>
      <c r="Q10" s="23">
        <f>Q11-0.1</f>
        <v>74.2</v>
      </c>
      <c r="R10" s="23">
        <f>R11-0.1</f>
        <v>91.26000000000001</v>
      </c>
      <c r="S10" s="23">
        <f>S11-0.1</f>
        <v>95.3</v>
      </c>
      <c r="T10" s="23">
        <f>T11-0.1</f>
        <v>91.25</v>
      </c>
      <c r="U10" s="23">
        <f>U11-0.1</f>
        <v>85.5</v>
      </c>
      <c r="V10" s="23">
        <f>V11-0.1</f>
        <v>84.3</v>
      </c>
      <c r="W10" s="23">
        <f>W11-0.1</f>
        <v>72.5</v>
      </c>
      <c r="X10" s="23">
        <f>X11-0.1</f>
        <v>88.91</v>
      </c>
      <c r="Y10" s="8"/>
      <c r="Z10" s="8"/>
      <c r="AA10" s="23">
        <f>AA9+1</f>
        <v>1139</v>
      </c>
      <c r="AB10" s="8"/>
    </row>
    <row r="11" ht="16" customHeight="1">
      <c r="A11" s="19">
        <v>45577</v>
      </c>
      <c r="B11" s="23">
        <f>B12-0.1</f>
        <v>72.2</v>
      </c>
      <c r="C11" s="23">
        <f>C12-0.1</f>
        <v>64.59999999999999</v>
      </c>
      <c r="D11" s="23">
        <f>D12-0.1</f>
        <v>56.51</v>
      </c>
      <c r="E11" s="23">
        <f>E12-0.1</f>
        <v>60.97</v>
      </c>
      <c r="F11" s="23">
        <f>F12-0.1</f>
        <v>52.3</v>
      </c>
      <c r="G11" s="23">
        <f>G12-0.1</f>
        <v>58.72</v>
      </c>
      <c r="H11" s="23">
        <f>H12-0.1</f>
        <v>71.06</v>
      </c>
      <c r="I11" s="23">
        <f>I12-0.1</f>
        <v>62.86</v>
      </c>
      <c r="J11" s="23">
        <f>J12-0.1</f>
        <v>56.38</v>
      </c>
      <c r="K11" s="23">
        <f>K12-0.1</f>
        <v>58.59</v>
      </c>
      <c r="L11" s="23">
        <f>L12-0.1</f>
        <v>52.3</v>
      </c>
      <c r="M11" s="23">
        <f>M12-0.1</f>
        <v>98.5</v>
      </c>
      <c r="N11" s="23">
        <f>N12-0.1</f>
        <v>93.7</v>
      </c>
      <c r="O11" s="23">
        <f>O12-0.1</f>
        <v>88</v>
      </c>
      <c r="P11" s="23">
        <f>P12-0.1</f>
        <v>87.43000000000001</v>
      </c>
      <c r="Q11" s="23">
        <f>Q12-0.1</f>
        <v>74.3</v>
      </c>
      <c r="R11" s="23">
        <f>R12-0.1</f>
        <v>91.36</v>
      </c>
      <c r="S11" s="23">
        <f>S12-0.1</f>
        <v>95.40000000000001</v>
      </c>
      <c r="T11" s="23">
        <f>T12-0.1</f>
        <v>91.34999999999999</v>
      </c>
      <c r="U11" s="23">
        <f>U12-0.1</f>
        <v>85.59999999999999</v>
      </c>
      <c r="V11" s="23">
        <f>V12-0.1</f>
        <v>84.40000000000001</v>
      </c>
      <c r="W11" s="23">
        <f>W12-0.1</f>
        <v>72.59999999999999</v>
      </c>
      <c r="X11" s="23">
        <f>X12-0.1</f>
        <v>89.01000000000001</v>
      </c>
      <c r="Y11" s="8"/>
      <c r="Z11" s="8"/>
      <c r="AA11" s="23">
        <f>AA10+1</f>
        <v>1140</v>
      </c>
      <c r="AB11" s="8"/>
    </row>
    <row r="12" ht="16" customHeight="1">
      <c r="A12" s="19">
        <v>45578</v>
      </c>
      <c r="B12" s="23">
        <f>B13-0.1</f>
        <v>72.3</v>
      </c>
      <c r="C12" s="23">
        <f>C13-0.1</f>
        <v>64.7</v>
      </c>
      <c r="D12" s="23">
        <f>D13-0.1</f>
        <v>56.61</v>
      </c>
      <c r="E12" s="23">
        <f>E13-0.1</f>
        <v>61.07</v>
      </c>
      <c r="F12" s="23">
        <f>F13-0.1</f>
        <v>52.4</v>
      </c>
      <c r="G12" s="23">
        <f>G13-0.1</f>
        <v>58.82</v>
      </c>
      <c r="H12" s="23">
        <f>H13-0.1</f>
        <v>71.16</v>
      </c>
      <c r="I12" s="23">
        <f>I13-0.1</f>
        <v>62.96</v>
      </c>
      <c r="J12" s="23">
        <f>J13-0.1</f>
        <v>56.48</v>
      </c>
      <c r="K12" s="23">
        <f>K13-0.1</f>
        <v>58.69</v>
      </c>
      <c r="L12" s="23">
        <f>L13-0.1</f>
        <v>52.4</v>
      </c>
      <c r="M12" s="23">
        <f>M13-0.1</f>
        <v>98.59999999999999</v>
      </c>
      <c r="N12" s="23">
        <f>N13-0.1</f>
        <v>93.8</v>
      </c>
      <c r="O12" s="23">
        <f>O13-0.1</f>
        <v>88.09999999999999</v>
      </c>
      <c r="P12" s="23">
        <f>P13-0.1</f>
        <v>87.53</v>
      </c>
      <c r="Q12" s="23">
        <f>Q13-0.1</f>
        <v>74.40000000000001</v>
      </c>
      <c r="R12" s="23">
        <f>R13-0.1</f>
        <v>91.45999999999999</v>
      </c>
      <c r="S12" s="23">
        <f>S13-0.1</f>
        <v>95.5</v>
      </c>
      <c r="T12" s="23">
        <f>T13-0.1</f>
        <v>91.45</v>
      </c>
      <c r="U12" s="23">
        <f>U13-0.1</f>
        <v>85.7</v>
      </c>
      <c r="V12" s="23">
        <f>V13-0.1</f>
        <v>84.5</v>
      </c>
      <c r="W12" s="23">
        <f>W13-0.1</f>
        <v>72.7</v>
      </c>
      <c r="X12" s="23">
        <f>X13-0.1</f>
        <v>89.11</v>
      </c>
      <c r="Y12" s="8"/>
      <c r="Z12" s="8"/>
      <c r="AA12" s="23">
        <f>AA11+1</f>
        <v>1141</v>
      </c>
      <c r="AB12" s="8"/>
    </row>
    <row r="13" ht="16" customHeight="1">
      <c r="A13" s="19">
        <v>45579</v>
      </c>
      <c r="B13" s="23">
        <f>B14-0.1</f>
        <v>72.40000000000001</v>
      </c>
      <c r="C13" s="23">
        <f>C14-0.1</f>
        <v>64.8</v>
      </c>
      <c r="D13" s="23">
        <f>D14-0.1</f>
        <v>56.71</v>
      </c>
      <c r="E13" s="23">
        <f>E14-0.1</f>
        <v>61.17</v>
      </c>
      <c r="F13" s="23">
        <f>F14-0.1</f>
        <v>52.5</v>
      </c>
      <c r="G13" s="23">
        <f>G14-0.1</f>
        <v>58.92</v>
      </c>
      <c r="H13" s="23">
        <f>H14-0.1</f>
        <v>71.26000000000001</v>
      </c>
      <c r="I13" s="23">
        <f>I14-0.1</f>
        <v>63.06</v>
      </c>
      <c r="J13" s="23">
        <f>J14-0.1</f>
        <v>56.58</v>
      </c>
      <c r="K13" s="23">
        <f>K14-0.1</f>
        <v>58.79</v>
      </c>
      <c r="L13" s="23">
        <f>L14-0.1</f>
        <v>52.5</v>
      </c>
      <c r="M13" s="23">
        <f>M14-0.1</f>
        <v>98.7</v>
      </c>
      <c r="N13" s="23">
        <f>N14-0.1</f>
        <v>93.90000000000001</v>
      </c>
      <c r="O13" s="23">
        <f>O14-0.1</f>
        <v>88.2</v>
      </c>
      <c r="P13" s="23">
        <f>P14-0.1</f>
        <v>87.63</v>
      </c>
      <c r="Q13" s="23">
        <f>Q14-0.1</f>
        <v>74.5</v>
      </c>
      <c r="R13" s="23">
        <f>R14-0.1</f>
        <v>91.56</v>
      </c>
      <c r="S13" s="23">
        <f>S14-0.1</f>
        <v>95.59999999999999</v>
      </c>
      <c r="T13" s="23">
        <f>T14-0.1</f>
        <v>91.55</v>
      </c>
      <c r="U13" s="23">
        <f>U14-0.1</f>
        <v>85.8</v>
      </c>
      <c r="V13" s="23">
        <f>V14-0.1</f>
        <v>84.59999999999999</v>
      </c>
      <c r="W13" s="23">
        <f>W14-0.1</f>
        <v>72.8</v>
      </c>
      <c r="X13" s="23">
        <f>X14-0.1</f>
        <v>89.20999999999999</v>
      </c>
      <c r="Y13" s="8"/>
      <c r="Z13" s="8"/>
      <c r="AA13" s="23">
        <f>AA12+1</f>
        <v>1142</v>
      </c>
      <c r="AB13" s="8"/>
    </row>
    <row r="14" ht="16" customHeight="1">
      <c r="A14" s="19">
        <v>45580</v>
      </c>
      <c r="B14" s="23">
        <f>B15-0.1</f>
        <v>72.5</v>
      </c>
      <c r="C14" s="23">
        <f>C15-0.1</f>
        <v>64.90000000000001</v>
      </c>
      <c r="D14" s="23">
        <f>D15-0.1</f>
        <v>56.81</v>
      </c>
      <c r="E14" s="23">
        <f>E15-0.1</f>
        <v>61.27</v>
      </c>
      <c r="F14" s="23">
        <f>F15-0.1</f>
        <v>52.6</v>
      </c>
      <c r="G14" s="23">
        <f>G15-0.1</f>
        <v>59.02</v>
      </c>
      <c r="H14" s="23">
        <f>H15-0.1</f>
        <v>71.36</v>
      </c>
      <c r="I14" s="23">
        <f>I15-0.1</f>
        <v>63.16</v>
      </c>
      <c r="J14" s="23">
        <f>J15-0.1</f>
        <v>56.68</v>
      </c>
      <c r="K14" s="23">
        <f>K15-0.1</f>
        <v>58.89</v>
      </c>
      <c r="L14" s="23">
        <f>L15-0.1</f>
        <v>52.6</v>
      </c>
      <c r="M14" s="23">
        <f>M15-0.1</f>
        <v>98.8</v>
      </c>
      <c r="N14" s="23">
        <f>N15-0.1</f>
        <v>94</v>
      </c>
      <c r="O14" s="23">
        <f>O15-0.1</f>
        <v>88.3</v>
      </c>
      <c r="P14" s="23">
        <f>P15-0.1</f>
        <v>87.73</v>
      </c>
      <c r="Q14" s="23">
        <f>Q15-0.1</f>
        <v>74.59999999999999</v>
      </c>
      <c r="R14" s="23">
        <f>R15-0.1</f>
        <v>91.66</v>
      </c>
      <c r="S14" s="23">
        <f>S15-0.1</f>
        <v>95.7</v>
      </c>
      <c r="T14" s="23">
        <f>T15-0.1</f>
        <v>91.65000000000001</v>
      </c>
      <c r="U14" s="23">
        <f>U15-0.1</f>
        <v>85.90000000000001</v>
      </c>
      <c r="V14" s="23">
        <f>V15-0.1</f>
        <v>84.7</v>
      </c>
      <c r="W14" s="23">
        <f>W15-0.1</f>
        <v>72.90000000000001</v>
      </c>
      <c r="X14" s="23">
        <f>X15-0.1</f>
        <v>89.31</v>
      </c>
      <c r="Y14" s="8"/>
      <c r="Z14" s="8"/>
      <c r="AA14" s="23">
        <f>AA13+1</f>
        <v>1143</v>
      </c>
      <c r="AB14" s="8"/>
    </row>
    <row r="15" ht="16" customHeight="1">
      <c r="A15" s="19">
        <v>45581</v>
      </c>
      <c r="B15" s="23">
        <v>72.59999999999999</v>
      </c>
      <c r="C15" s="23">
        <v>65</v>
      </c>
      <c r="D15" s="23">
        <v>56.91</v>
      </c>
      <c r="E15" s="23">
        <v>61.37</v>
      </c>
      <c r="F15" s="23">
        <v>52.7</v>
      </c>
      <c r="G15" s="23">
        <v>59.12</v>
      </c>
      <c r="H15" s="23">
        <v>71.45999999999999</v>
      </c>
      <c r="I15" s="23">
        <v>63.26</v>
      </c>
      <c r="J15" s="23">
        <v>56.78</v>
      </c>
      <c r="K15" s="23">
        <v>58.99</v>
      </c>
      <c r="L15" s="23">
        <v>52.7</v>
      </c>
      <c r="M15" s="23">
        <v>98.90000000000001</v>
      </c>
      <c r="N15" s="23">
        <v>94.09999999999999</v>
      </c>
      <c r="O15" s="23">
        <v>88.40000000000001</v>
      </c>
      <c r="P15" s="23">
        <v>87.83</v>
      </c>
      <c r="Q15" s="23">
        <v>74.7</v>
      </c>
      <c r="R15" s="23">
        <v>91.76000000000001</v>
      </c>
      <c r="S15" s="23">
        <v>95.8</v>
      </c>
      <c r="T15" s="23">
        <v>91.75</v>
      </c>
      <c r="U15" s="23">
        <v>86</v>
      </c>
      <c r="V15" s="23">
        <v>84.8</v>
      </c>
      <c r="W15" s="23">
        <v>73</v>
      </c>
      <c r="X15" s="23">
        <v>89.41</v>
      </c>
      <c r="Y15" s="8"/>
      <c r="Z15" s="8"/>
      <c r="AA15" s="23">
        <f>AA14+1</f>
        <v>1144</v>
      </c>
      <c r="AB15" s="8"/>
    </row>
    <row r="16" ht="16" customHeight="1">
      <c r="A16" s="19">
        <v>45582</v>
      </c>
      <c r="B16" s="23">
        <v>71.90000000000001</v>
      </c>
      <c r="C16" s="23">
        <v>64.2</v>
      </c>
      <c r="D16" s="23">
        <v>55.65</v>
      </c>
      <c r="E16" s="23">
        <v>60.43</v>
      </c>
      <c r="F16" s="23">
        <v>51.69</v>
      </c>
      <c r="G16" s="23">
        <v>57.3</v>
      </c>
      <c r="H16" s="23">
        <v>69.7</v>
      </c>
      <c r="I16" s="23">
        <v>62.28</v>
      </c>
      <c r="J16" s="23">
        <v>55.2</v>
      </c>
      <c r="K16" s="23">
        <v>58.3</v>
      </c>
      <c r="L16" s="23">
        <v>51.22</v>
      </c>
      <c r="M16" s="23">
        <v>98.5</v>
      </c>
      <c r="N16" s="23">
        <v>93.89</v>
      </c>
      <c r="O16" s="23">
        <v>88.5</v>
      </c>
      <c r="P16" s="23">
        <v>86.7</v>
      </c>
      <c r="Q16" s="23">
        <v>75.3</v>
      </c>
      <c r="R16" s="23">
        <v>91.09999999999999</v>
      </c>
      <c r="S16" s="23">
        <v>95.7</v>
      </c>
      <c r="T16" s="23">
        <v>91.09999999999999</v>
      </c>
      <c r="U16" s="23">
        <v>85.25</v>
      </c>
      <c r="V16" s="23">
        <v>84.34999999999999</v>
      </c>
      <c r="W16" s="23">
        <v>73.25</v>
      </c>
      <c r="X16" s="23">
        <v>88.5</v>
      </c>
      <c r="Y16" s="8"/>
      <c r="Z16" s="8"/>
      <c r="AA16" s="23">
        <f>AA15+1</f>
        <v>1145</v>
      </c>
      <c r="AB16" s="8"/>
    </row>
    <row r="17" ht="16" customHeight="1">
      <c r="A17" s="19">
        <v>45583</v>
      </c>
      <c r="B17" s="23">
        <v>72.59999999999999</v>
      </c>
      <c r="C17" s="23">
        <v>63.9</v>
      </c>
      <c r="D17" s="23">
        <v>56</v>
      </c>
      <c r="E17" s="23">
        <v>60.4</v>
      </c>
      <c r="F17" s="23">
        <v>51.81</v>
      </c>
      <c r="G17" s="23">
        <v>58</v>
      </c>
      <c r="H17" s="23">
        <v>70.40000000000001</v>
      </c>
      <c r="I17" s="23">
        <v>62.12</v>
      </c>
      <c r="J17" s="23">
        <v>55.78</v>
      </c>
      <c r="K17" s="23">
        <v>59</v>
      </c>
      <c r="L17" s="23">
        <v>51</v>
      </c>
      <c r="M17" s="23">
        <v>99</v>
      </c>
      <c r="N17" s="23">
        <v>93.64</v>
      </c>
      <c r="O17" s="23">
        <v>88.98999999999999</v>
      </c>
      <c r="P17" s="23">
        <v>87.31</v>
      </c>
      <c r="Q17" s="23">
        <v>74.94</v>
      </c>
      <c r="R17" s="23">
        <v>90.88</v>
      </c>
      <c r="S17" s="23">
        <v>95.90000000000001</v>
      </c>
      <c r="T17" s="23">
        <v>91.2</v>
      </c>
      <c r="U17" s="23">
        <v>85.86</v>
      </c>
      <c r="V17" s="23">
        <v>84.5</v>
      </c>
      <c r="W17" s="23">
        <v>73.5</v>
      </c>
      <c r="X17" s="23">
        <v>88.3</v>
      </c>
      <c r="Y17" s="8"/>
      <c r="Z17" s="8"/>
      <c r="AA17" s="23">
        <f>AA16+1</f>
        <v>1146</v>
      </c>
      <c r="AB17" s="8"/>
    </row>
    <row r="18" ht="16" customHeight="1">
      <c r="A18" s="19">
        <v>45586</v>
      </c>
      <c r="B18" s="23">
        <v>71.5</v>
      </c>
      <c r="C18" s="23">
        <v>63.66</v>
      </c>
      <c r="D18" s="23">
        <v>55.36</v>
      </c>
      <c r="E18" s="23">
        <v>60.2</v>
      </c>
      <c r="F18" s="23">
        <v>51.35</v>
      </c>
      <c r="G18" s="23">
        <v>58</v>
      </c>
      <c r="H18" s="23">
        <v>69.59999999999999</v>
      </c>
      <c r="I18" s="23">
        <v>61.7</v>
      </c>
      <c r="J18" s="23">
        <v>55.5</v>
      </c>
      <c r="K18" s="23">
        <v>58.6</v>
      </c>
      <c r="L18" s="23">
        <v>51</v>
      </c>
      <c r="M18" s="23">
        <v>98.8</v>
      </c>
      <c r="N18" s="23">
        <v>93.62</v>
      </c>
      <c r="O18" s="23">
        <v>87.81</v>
      </c>
      <c r="P18" s="23">
        <v>86.8</v>
      </c>
      <c r="Q18" s="23">
        <v>75.75</v>
      </c>
      <c r="R18" s="23">
        <v>90.95</v>
      </c>
      <c r="S18" s="23">
        <v>96.40000000000001</v>
      </c>
      <c r="T18" s="23">
        <v>91.2</v>
      </c>
      <c r="U18" s="23">
        <v>85.95</v>
      </c>
      <c r="V18" s="23">
        <v>84.5</v>
      </c>
      <c r="W18" s="23">
        <v>73.5</v>
      </c>
      <c r="X18" s="23">
        <v>88.62</v>
      </c>
      <c r="Y18" s="8"/>
      <c r="Z18" s="8"/>
      <c r="AA18" s="23">
        <f>AA17+1</f>
        <v>1147</v>
      </c>
      <c r="AB18" s="8"/>
    </row>
    <row r="19" ht="16" customHeight="1">
      <c r="A19" s="19">
        <v>45587</v>
      </c>
      <c r="B19" s="23">
        <v>71.90000000000001</v>
      </c>
      <c r="C19" s="23">
        <v>63.55</v>
      </c>
      <c r="D19" s="23">
        <v>54.85</v>
      </c>
      <c r="E19" s="23">
        <v>59.57</v>
      </c>
      <c r="F19" s="23">
        <v>50.8</v>
      </c>
      <c r="G19" s="23">
        <v>57.46</v>
      </c>
      <c r="H19" s="23">
        <v>69.54000000000001</v>
      </c>
      <c r="I19" s="23">
        <v>61.8</v>
      </c>
      <c r="J19" s="23">
        <v>54.67</v>
      </c>
      <c r="K19" s="23">
        <v>58.05</v>
      </c>
      <c r="L19" s="23">
        <v>50.43</v>
      </c>
      <c r="M19" s="23">
        <v>98.3</v>
      </c>
      <c r="N19" s="23">
        <v>93.3</v>
      </c>
      <c r="O19" s="23">
        <v>88.53</v>
      </c>
      <c r="P19" s="23">
        <v>86.79000000000001</v>
      </c>
      <c r="Q19" s="23">
        <v>75.26000000000001</v>
      </c>
      <c r="R19" s="23">
        <v>90.59999999999999</v>
      </c>
      <c r="S19" s="23">
        <v>96.3</v>
      </c>
      <c r="T19" s="23">
        <v>91.25</v>
      </c>
      <c r="U19" s="23">
        <v>86.65000000000001</v>
      </c>
      <c r="V19" s="23">
        <v>84.59999999999999</v>
      </c>
      <c r="W19" s="23">
        <v>74</v>
      </c>
      <c r="X19" s="23">
        <v>88.34999999999999</v>
      </c>
      <c r="Y19" s="8"/>
      <c r="Z19" s="8"/>
      <c r="AA19" s="23">
        <f>AA18+1</f>
        <v>1148</v>
      </c>
      <c r="AB19" s="8"/>
    </row>
    <row r="20" ht="16" customHeight="1">
      <c r="A20" s="19">
        <v>45588</v>
      </c>
      <c r="B20" s="23">
        <v>71.5</v>
      </c>
      <c r="C20" s="23">
        <v>64</v>
      </c>
      <c r="D20" s="23">
        <v>55</v>
      </c>
      <c r="E20" s="23">
        <v>59.59</v>
      </c>
      <c r="F20" s="23">
        <v>51.3</v>
      </c>
      <c r="G20" s="23">
        <v>57.29</v>
      </c>
      <c r="H20" s="23">
        <v>68.84</v>
      </c>
      <c r="I20" s="23">
        <v>61.98</v>
      </c>
      <c r="J20" s="23">
        <v>55</v>
      </c>
      <c r="K20" s="23">
        <v>58.45</v>
      </c>
      <c r="L20" s="23">
        <v>50.4</v>
      </c>
      <c r="M20" s="23">
        <v>98.76000000000001</v>
      </c>
      <c r="N20" s="23">
        <v>93.38</v>
      </c>
      <c r="O20" s="23">
        <v>88.48999999999999</v>
      </c>
      <c r="P20" s="23">
        <v>87</v>
      </c>
      <c r="Q20" s="23">
        <v>76.23</v>
      </c>
      <c r="R20" s="23">
        <v>90.25</v>
      </c>
      <c r="S20" s="23">
        <v>96.75</v>
      </c>
      <c r="T20" s="23">
        <v>91.75</v>
      </c>
      <c r="U20" s="23">
        <v>86.20999999999999</v>
      </c>
      <c r="V20" s="23">
        <v>85</v>
      </c>
      <c r="W20" s="23">
        <v>74.25</v>
      </c>
      <c r="X20" s="23">
        <v>88.25</v>
      </c>
      <c r="Y20" s="8"/>
      <c r="Z20" s="8"/>
      <c r="AA20" s="23">
        <f>AA19+1</f>
        <v>1149</v>
      </c>
      <c r="AB20" s="8"/>
    </row>
    <row r="21" ht="16" customHeight="1">
      <c r="A21" s="19">
        <v>45589</v>
      </c>
      <c r="B21" s="23">
        <v>72.70999999999999</v>
      </c>
      <c r="C21" s="23">
        <v>65.56</v>
      </c>
      <c r="D21" s="23">
        <v>56.3</v>
      </c>
      <c r="E21" s="23">
        <v>60.93</v>
      </c>
      <c r="F21" s="23">
        <v>52.15</v>
      </c>
      <c r="G21" s="23">
        <v>58</v>
      </c>
      <c r="H21" s="23">
        <v>70.77</v>
      </c>
      <c r="I21" s="23">
        <v>63.5</v>
      </c>
      <c r="J21" s="23">
        <v>56.3</v>
      </c>
      <c r="K21" s="23">
        <v>59.3</v>
      </c>
      <c r="L21" s="23">
        <v>51.98</v>
      </c>
      <c r="M21" s="23">
        <v>99.18000000000001</v>
      </c>
      <c r="N21" s="23">
        <v>94.39</v>
      </c>
      <c r="O21" s="23">
        <v>88.61</v>
      </c>
      <c r="P21" s="23">
        <v>87.40000000000001</v>
      </c>
      <c r="Q21" s="23">
        <v>75.75</v>
      </c>
      <c r="R21" s="23">
        <v>91.04000000000001</v>
      </c>
      <c r="S21" s="23">
        <v>96.8</v>
      </c>
      <c r="T21" s="23">
        <v>92.5</v>
      </c>
      <c r="U21" s="23">
        <v>87.25</v>
      </c>
      <c r="V21" s="23">
        <v>85.75</v>
      </c>
      <c r="W21" s="23">
        <v>74.45</v>
      </c>
      <c r="X21" s="23">
        <v>89.2</v>
      </c>
      <c r="Y21" s="8"/>
      <c r="Z21" s="8"/>
      <c r="AA21" s="23">
        <f>AA20+1</f>
        <v>1150</v>
      </c>
      <c r="AB21" s="8"/>
    </row>
    <row r="22" ht="16" customHeight="1">
      <c r="A22" s="19">
        <v>45590</v>
      </c>
      <c r="B22" s="23">
        <v>72.70999999999999</v>
      </c>
      <c r="C22" s="23">
        <v>65.56</v>
      </c>
      <c r="D22" s="23">
        <v>56.3</v>
      </c>
      <c r="E22" s="23">
        <v>60.93</v>
      </c>
      <c r="F22" s="23">
        <v>52.15</v>
      </c>
      <c r="G22" s="23">
        <v>58</v>
      </c>
      <c r="H22" s="23">
        <v>70.77</v>
      </c>
      <c r="I22" s="23">
        <v>63.5</v>
      </c>
      <c r="J22" s="23">
        <v>56.3</v>
      </c>
      <c r="K22" s="23">
        <v>59.3</v>
      </c>
      <c r="L22" s="23">
        <v>51.98</v>
      </c>
      <c r="M22" s="23">
        <v>99.18000000000001</v>
      </c>
      <c r="N22" s="23">
        <v>94.39</v>
      </c>
      <c r="O22" s="23">
        <v>88.61</v>
      </c>
      <c r="P22" s="23">
        <v>87.40000000000001</v>
      </c>
      <c r="Q22" s="23">
        <v>75.75</v>
      </c>
      <c r="R22" s="23">
        <v>91.04000000000001</v>
      </c>
      <c r="S22" s="23">
        <v>96.8</v>
      </c>
      <c r="T22" s="23">
        <v>92.5</v>
      </c>
      <c r="U22" s="23">
        <v>87.25</v>
      </c>
      <c r="V22" s="23">
        <v>85.75</v>
      </c>
      <c r="W22" s="23">
        <v>74.45</v>
      </c>
      <c r="X22" s="23">
        <v>89.2</v>
      </c>
      <c r="Y22" s="8"/>
      <c r="Z22" s="8"/>
      <c r="AA22" s="23">
        <f>AA21+1</f>
        <v>1151</v>
      </c>
      <c r="AB22" s="8"/>
    </row>
    <row r="23" ht="16" customHeight="1">
      <c r="A23" s="19">
        <v>45593</v>
      </c>
      <c r="B23" s="23">
        <v>75.75</v>
      </c>
      <c r="C23" s="23">
        <v>69.05</v>
      </c>
      <c r="D23" s="23">
        <v>59.65</v>
      </c>
      <c r="E23" s="23">
        <v>64</v>
      </c>
      <c r="F23" s="23">
        <v>55.48</v>
      </c>
      <c r="G23" s="23">
        <v>60.99</v>
      </c>
      <c r="H23" s="23">
        <v>74</v>
      </c>
      <c r="I23" s="23">
        <v>67</v>
      </c>
      <c r="J23" s="23">
        <v>59.59</v>
      </c>
      <c r="K23" s="23">
        <v>62.98</v>
      </c>
      <c r="L23" s="23">
        <v>54.83</v>
      </c>
      <c r="M23" s="23">
        <v>100</v>
      </c>
      <c r="N23" s="23">
        <v>95.98999999999999</v>
      </c>
      <c r="O23" s="23">
        <v>91</v>
      </c>
      <c r="P23" s="23">
        <v>89.73999999999999</v>
      </c>
      <c r="Q23" s="23">
        <v>75.5</v>
      </c>
      <c r="R23" s="23">
        <v>92</v>
      </c>
      <c r="S23" s="23">
        <v>97.79000000000001</v>
      </c>
      <c r="T23" s="23">
        <v>93.81</v>
      </c>
      <c r="U23" s="23">
        <v>89</v>
      </c>
      <c r="V23" s="23">
        <v>87.84999999999999</v>
      </c>
      <c r="W23" s="23">
        <v>74</v>
      </c>
      <c r="X23" s="23">
        <v>90.06</v>
      </c>
      <c r="Y23" s="8"/>
      <c r="Z23" s="8"/>
      <c r="AA23" s="23">
        <f>AA22+1</f>
        <v>1152</v>
      </c>
      <c r="AB23" s="8"/>
    </row>
    <row r="24" ht="16" customHeight="1">
      <c r="A24" s="19">
        <v>45594</v>
      </c>
      <c r="B24" s="23">
        <v>74.16</v>
      </c>
      <c r="C24" s="23">
        <v>67.5</v>
      </c>
      <c r="D24" s="23">
        <v>58.7</v>
      </c>
      <c r="E24" s="23">
        <v>64.09999999999999</v>
      </c>
      <c r="F24" s="23">
        <v>54.78</v>
      </c>
      <c r="G24" s="23">
        <v>63</v>
      </c>
      <c r="H24" s="23">
        <v>72</v>
      </c>
      <c r="I24" s="23">
        <v>65.42</v>
      </c>
      <c r="J24" s="23">
        <v>58.9</v>
      </c>
      <c r="K24" s="23">
        <v>61.55</v>
      </c>
      <c r="L24" s="23">
        <v>54.66</v>
      </c>
      <c r="M24" s="23">
        <v>99.2</v>
      </c>
      <c r="N24" s="23">
        <v>95.02</v>
      </c>
      <c r="O24" s="23">
        <v>89.7</v>
      </c>
      <c r="P24" s="23">
        <v>88.84999999999999</v>
      </c>
      <c r="Q24" s="23">
        <v>74</v>
      </c>
      <c r="R24" s="23">
        <v>91.39</v>
      </c>
      <c r="S24" s="23">
        <v>97.08</v>
      </c>
      <c r="T24" s="23">
        <v>93.34999999999999</v>
      </c>
      <c r="U24" s="23">
        <v>88.5</v>
      </c>
      <c r="V24" s="23">
        <v>87.59999999999999</v>
      </c>
      <c r="W24" s="23">
        <v>74</v>
      </c>
      <c r="X24" s="23">
        <v>89.34999999999999</v>
      </c>
      <c r="Y24" s="8"/>
      <c r="Z24" s="8"/>
      <c r="AA24" s="23">
        <f>AA23+1</f>
        <v>1153</v>
      </c>
      <c r="AB24" s="8"/>
    </row>
    <row r="25" ht="16" customHeight="1">
      <c r="A25" s="19">
        <v>45595</v>
      </c>
      <c r="B25" s="23">
        <v>73.84999999999999</v>
      </c>
      <c r="C25" s="23">
        <v>67</v>
      </c>
      <c r="D25" s="23">
        <v>58.4</v>
      </c>
      <c r="E25" s="23">
        <v>63.34</v>
      </c>
      <c r="F25" s="23">
        <v>54.22</v>
      </c>
      <c r="G25" s="23">
        <v>60.56</v>
      </c>
      <c r="H25" s="23">
        <v>71.66</v>
      </c>
      <c r="I25" s="23">
        <v>64.48999999999999</v>
      </c>
      <c r="J25" s="23">
        <v>58.5</v>
      </c>
      <c r="K25" s="23">
        <v>61.72</v>
      </c>
      <c r="L25" s="23">
        <v>54.05</v>
      </c>
      <c r="M25" s="23">
        <v>95.90000000000001</v>
      </c>
      <c r="N25" s="23">
        <v>91.5</v>
      </c>
      <c r="O25" s="23">
        <v>86.5</v>
      </c>
      <c r="P25" s="23">
        <v>86.59</v>
      </c>
      <c r="Q25" s="23">
        <v>66.75</v>
      </c>
      <c r="R25" s="23">
        <v>91.59999999999999</v>
      </c>
      <c r="S25" s="23">
        <v>93.8</v>
      </c>
      <c r="T25" s="23">
        <v>90</v>
      </c>
      <c r="U25" s="23">
        <v>85</v>
      </c>
      <c r="V25" s="23">
        <v>84.2</v>
      </c>
      <c r="W25" s="23">
        <v>66</v>
      </c>
      <c r="X25" s="23">
        <v>89.75</v>
      </c>
      <c r="Y25" s="8"/>
      <c r="Z25" s="8"/>
      <c r="AA25" s="23">
        <f>AA24+1</f>
        <v>1154</v>
      </c>
      <c r="AB25" s="8"/>
    </row>
    <row r="26" ht="16" customHeight="1">
      <c r="A26" s="19">
        <v>45596</v>
      </c>
      <c r="B26" s="23">
        <v>73.02</v>
      </c>
      <c r="C26" s="23">
        <v>66.09999999999999</v>
      </c>
      <c r="D26" s="23">
        <v>58.23</v>
      </c>
      <c r="E26" s="23">
        <v>63</v>
      </c>
      <c r="F26" s="23">
        <v>53.9</v>
      </c>
      <c r="G26" s="23">
        <v>60.03</v>
      </c>
      <c r="H26" s="23">
        <v>72.19</v>
      </c>
      <c r="I26" s="23">
        <v>63.9</v>
      </c>
      <c r="J26" s="23">
        <v>58.2</v>
      </c>
      <c r="K26" s="23">
        <v>61.23</v>
      </c>
      <c r="L26" s="23">
        <v>53.95</v>
      </c>
      <c r="M26" s="23">
        <v>96.5</v>
      </c>
      <c r="N26" s="23">
        <v>91.5</v>
      </c>
      <c r="O26" s="23">
        <v>87.09999999999999</v>
      </c>
      <c r="P26" s="23">
        <v>85.93000000000001</v>
      </c>
      <c r="Q26" s="23">
        <v>67.25</v>
      </c>
      <c r="R26" s="23">
        <v>91.48999999999999</v>
      </c>
      <c r="S26" s="23">
        <v>94.81</v>
      </c>
      <c r="T26" s="23">
        <v>89.34999999999999</v>
      </c>
      <c r="U26" s="23">
        <v>85</v>
      </c>
      <c r="V26" s="23">
        <v>84</v>
      </c>
      <c r="W26" s="23">
        <v>65.5</v>
      </c>
      <c r="X26" s="23">
        <v>89.5</v>
      </c>
      <c r="Y26" s="8"/>
      <c r="Z26" s="8"/>
      <c r="AA26" s="23">
        <f>AA25+1</f>
        <v>1155</v>
      </c>
      <c r="AB26" s="8"/>
    </row>
    <row r="27" ht="16" customHeight="1">
      <c r="A27" s="19">
        <v>45597</v>
      </c>
      <c r="B27" s="23">
        <v>75.48999999999999</v>
      </c>
      <c r="C27" s="23">
        <v>67.06</v>
      </c>
      <c r="D27" s="23">
        <v>58.9</v>
      </c>
      <c r="E27" s="23">
        <v>63.84</v>
      </c>
      <c r="F27" s="23">
        <v>54.95</v>
      </c>
      <c r="G27" s="23">
        <v>61</v>
      </c>
      <c r="H27" s="23">
        <v>73.29000000000001</v>
      </c>
      <c r="I27" s="23">
        <v>65.2</v>
      </c>
      <c r="J27" s="23">
        <v>59.3</v>
      </c>
      <c r="K27" s="23">
        <v>62.2</v>
      </c>
      <c r="L27" s="23">
        <v>54.93</v>
      </c>
      <c r="M27" s="23">
        <v>96.59999999999999</v>
      </c>
      <c r="N27" s="23">
        <v>91.59999999999999</v>
      </c>
      <c r="O27" s="23">
        <v>87.09999999999999</v>
      </c>
      <c r="P27" s="23">
        <v>86.5</v>
      </c>
      <c r="Q27" s="23">
        <v>67.09</v>
      </c>
      <c r="R27" s="23">
        <v>92.09999999999999</v>
      </c>
      <c r="S27" s="23">
        <v>93.5</v>
      </c>
      <c r="T27" s="23">
        <v>89.40000000000001</v>
      </c>
      <c r="U27" s="23">
        <v>84.5</v>
      </c>
      <c r="V27" s="23">
        <v>83.75</v>
      </c>
      <c r="W27" s="23">
        <v>64.94</v>
      </c>
      <c r="X27" s="23">
        <v>89.5</v>
      </c>
      <c r="Y27" s="8"/>
      <c r="Z27" s="8"/>
      <c r="AA27" s="23">
        <f>AA26+1</f>
        <v>1156</v>
      </c>
      <c r="AB27" s="8"/>
    </row>
    <row r="28" ht="16" customHeight="1">
      <c r="A28" s="19">
        <v>45600</v>
      </c>
      <c r="B28" s="23">
        <v>74.7</v>
      </c>
      <c r="C28" s="23">
        <v>67.16</v>
      </c>
      <c r="D28" s="23">
        <v>59</v>
      </c>
      <c r="E28" s="23">
        <v>64.15000000000001</v>
      </c>
      <c r="F28" s="23">
        <v>55.12</v>
      </c>
      <c r="G28" s="23">
        <v>61.5</v>
      </c>
      <c r="H28" s="23">
        <v>73.06</v>
      </c>
      <c r="I28" s="23">
        <v>65</v>
      </c>
      <c r="J28" s="23">
        <v>58.75</v>
      </c>
      <c r="K28" s="23">
        <v>62.39</v>
      </c>
      <c r="L28" s="23">
        <v>54.9</v>
      </c>
      <c r="M28" s="23">
        <v>96.37</v>
      </c>
      <c r="N28" s="23">
        <v>91.59</v>
      </c>
      <c r="O28" s="23">
        <v>87.7</v>
      </c>
      <c r="P28" s="23">
        <v>85.81</v>
      </c>
      <c r="Q28" s="23">
        <v>64</v>
      </c>
      <c r="R28" s="23">
        <v>92.59999999999999</v>
      </c>
      <c r="S28" s="23">
        <v>94</v>
      </c>
      <c r="T28" s="23">
        <v>89.48</v>
      </c>
      <c r="U28" s="23">
        <v>85.25</v>
      </c>
      <c r="V28" s="23">
        <v>83.8</v>
      </c>
      <c r="W28" s="23">
        <v>65.43000000000001</v>
      </c>
      <c r="X28" s="23">
        <v>90.2</v>
      </c>
      <c r="Y28" s="8"/>
      <c r="Z28" s="8"/>
      <c r="AA28" s="23">
        <f>AA27+1</f>
        <v>1157</v>
      </c>
      <c r="AB28" s="8"/>
    </row>
    <row r="29" ht="16" customHeight="1">
      <c r="A29" s="19">
        <v>45601</v>
      </c>
      <c r="B29" s="23">
        <v>75.52</v>
      </c>
      <c r="C29" s="23">
        <v>68.22</v>
      </c>
      <c r="D29" s="23">
        <v>59.85</v>
      </c>
      <c r="E29" s="23">
        <v>65.89</v>
      </c>
      <c r="F29" s="23">
        <v>56.7</v>
      </c>
      <c r="G29" s="23">
        <v>62.45</v>
      </c>
      <c r="H29" s="23">
        <v>73.59999999999999</v>
      </c>
      <c r="I29" s="23">
        <v>65.8</v>
      </c>
      <c r="J29" s="23">
        <v>59.6</v>
      </c>
      <c r="K29" s="23">
        <v>63.45</v>
      </c>
      <c r="L29" s="23">
        <v>55.95</v>
      </c>
      <c r="M29" s="23">
        <v>96.75</v>
      </c>
      <c r="N29" s="23">
        <v>91.78</v>
      </c>
      <c r="O29" s="23">
        <v>87.98999999999999</v>
      </c>
      <c r="P29" s="23">
        <v>86.84999999999999</v>
      </c>
      <c r="Q29" s="23">
        <v>66.78</v>
      </c>
      <c r="R29" s="23">
        <v>92.61</v>
      </c>
      <c r="S29" s="23">
        <v>94.09999999999999</v>
      </c>
      <c r="T29" s="23">
        <v>89.25</v>
      </c>
      <c r="U29" s="23">
        <v>85.09999999999999</v>
      </c>
      <c r="V29" s="23">
        <v>84.25</v>
      </c>
      <c r="W29" s="23">
        <v>65.17</v>
      </c>
      <c r="X29" s="23">
        <v>90.2</v>
      </c>
      <c r="Y29" s="8"/>
      <c r="Z29" s="8"/>
      <c r="AA29" s="23">
        <f>AA28+1</f>
        <v>1158</v>
      </c>
      <c r="AB29" s="8"/>
    </row>
    <row r="30" ht="16" customHeight="1">
      <c r="A30" s="19">
        <v>45603</v>
      </c>
      <c r="B30" s="23">
        <v>77.34</v>
      </c>
      <c r="C30" s="23">
        <v>69.92</v>
      </c>
      <c r="D30" s="23">
        <v>61.74</v>
      </c>
      <c r="E30" s="23">
        <v>66.90000000000001</v>
      </c>
      <c r="F30" s="23">
        <v>57.6</v>
      </c>
      <c r="G30" s="23">
        <v>63.79</v>
      </c>
      <c r="H30" s="23">
        <v>75.55</v>
      </c>
      <c r="I30" s="23">
        <v>67.43000000000001</v>
      </c>
      <c r="J30" s="23">
        <v>61.4</v>
      </c>
      <c r="K30" s="23">
        <v>64.5</v>
      </c>
      <c r="L30" s="23">
        <v>57.32</v>
      </c>
      <c r="M30" s="23">
        <v>96.75</v>
      </c>
      <c r="N30" s="23">
        <v>92.36</v>
      </c>
      <c r="O30" s="23">
        <v>88.86</v>
      </c>
      <c r="P30" s="23">
        <v>88</v>
      </c>
      <c r="Q30" s="23">
        <v>67.66</v>
      </c>
      <c r="R30" s="23">
        <v>92.65000000000001</v>
      </c>
      <c r="S30" s="23">
        <v>94.25</v>
      </c>
      <c r="T30" s="23">
        <v>89.81</v>
      </c>
      <c r="U30" s="23">
        <v>86.73</v>
      </c>
      <c r="V30" s="23">
        <v>85.25</v>
      </c>
      <c r="W30" s="23">
        <v>65.69</v>
      </c>
      <c r="X30" s="23">
        <v>90.40000000000001</v>
      </c>
      <c r="Y30" s="8"/>
      <c r="Z30" s="8"/>
      <c r="AA30" s="23">
        <f>AA29+1</f>
        <v>1159</v>
      </c>
      <c r="AB30" s="8"/>
    </row>
    <row r="31" ht="16" customHeight="1">
      <c r="A31" s="19">
        <v>45604</v>
      </c>
      <c r="B31" s="23">
        <v>77.97</v>
      </c>
      <c r="C31" s="23">
        <v>70.14</v>
      </c>
      <c r="D31" s="23">
        <v>62.5</v>
      </c>
      <c r="E31" s="23">
        <v>68.23</v>
      </c>
      <c r="F31" s="23">
        <v>58.6</v>
      </c>
      <c r="G31" s="23">
        <v>64.7</v>
      </c>
      <c r="H31" s="23">
        <v>76.5</v>
      </c>
      <c r="I31" s="23">
        <v>67.59999999999999</v>
      </c>
      <c r="J31" s="23">
        <v>62.5</v>
      </c>
      <c r="K31" s="23">
        <v>65.48999999999999</v>
      </c>
      <c r="L31" s="23">
        <v>58.5</v>
      </c>
      <c r="M31" s="23">
        <v>96.5</v>
      </c>
      <c r="N31" s="23">
        <v>91.90000000000001</v>
      </c>
      <c r="O31" s="23">
        <v>88.48999999999999</v>
      </c>
      <c r="P31" s="23">
        <v>87.26000000000001</v>
      </c>
      <c r="Q31" s="23">
        <v>67.5</v>
      </c>
      <c r="R31" s="23">
        <v>92.90000000000001</v>
      </c>
      <c r="S31" s="23">
        <v>94</v>
      </c>
      <c r="T31" s="23">
        <v>89.59999999999999</v>
      </c>
      <c r="U31" s="23">
        <v>86</v>
      </c>
      <c r="V31" s="23">
        <v>85.05</v>
      </c>
      <c r="W31" s="23">
        <v>66.05</v>
      </c>
      <c r="X31" s="23">
        <v>90.5</v>
      </c>
      <c r="Y31" s="8"/>
      <c r="Z31" s="8"/>
      <c r="AA31" s="23">
        <f>AA30+1</f>
        <v>1160</v>
      </c>
      <c r="AB31" s="8"/>
    </row>
    <row r="32" ht="16" customHeight="1">
      <c r="A32" s="19">
        <v>45607</v>
      </c>
      <c r="B32" s="23">
        <v>77.89</v>
      </c>
      <c r="C32" s="23">
        <v>70.84</v>
      </c>
      <c r="D32" s="23">
        <v>63.7</v>
      </c>
      <c r="E32" s="23">
        <v>68.59999999999999</v>
      </c>
      <c r="F32" s="23">
        <v>58.74</v>
      </c>
      <c r="G32" s="23">
        <v>64.5</v>
      </c>
      <c r="H32" s="23">
        <v>76.84999999999999</v>
      </c>
      <c r="I32" s="23">
        <v>67.59999999999999</v>
      </c>
      <c r="J32" s="23">
        <v>63.36</v>
      </c>
      <c r="K32" s="23">
        <v>66</v>
      </c>
      <c r="L32" s="23">
        <v>58.92</v>
      </c>
      <c r="M32" s="23">
        <v>97</v>
      </c>
      <c r="N32" s="23">
        <v>92.29000000000001</v>
      </c>
      <c r="O32" s="23">
        <v>88.79000000000001</v>
      </c>
      <c r="P32" s="23">
        <v>87.40000000000001</v>
      </c>
      <c r="Q32" s="23">
        <v>67.70999999999999</v>
      </c>
      <c r="R32" s="23">
        <v>93.25</v>
      </c>
      <c r="S32" s="23">
        <v>94</v>
      </c>
      <c r="T32" s="23">
        <v>89.7</v>
      </c>
      <c r="U32" s="23">
        <v>85.95</v>
      </c>
      <c r="V32" s="23">
        <v>85.2</v>
      </c>
      <c r="W32" s="23">
        <v>66</v>
      </c>
      <c r="X32" s="23">
        <v>90.84999999999999</v>
      </c>
      <c r="Y32" s="8"/>
      <c r="Z32" s="8"/>
      <c r="AA32" s="23">
        <f>AA31+1</f>
        <v>1161</v>
      </c>
      <c r="AB32" s="8"/>
    </row>
    <row r="33" ht="16" customHeight="1">
      <c r="A33" s="19">
        <v>45608</v>
      </c>
      <c r="B33" s="23">
        <v>77.8</v>
      </c>
      <c r="C33" s="23">
        <v>71.2</v>
      </c>
      <c r="D33" s="23">
        <v>63.67</v>
      </c>
      <c r="E33" s="23">
        <v>68.65000000000001</v>
      </c>
      <c r="F33" s="23">
        <v>59</v>
      </c>
      <c r="G33" s="23">
        <v>64.72</v>
      </c>
      <c r="H33" s="23">
        <v>76.75</v>
      </c>
      <c r="I33" s="23">
        <v>68.11</v>
      </c>
      <c r="J33" s="23">
        <v>63.99</v>
      </c>
      <c r="K33" s="23">
        <v>66.59999999999999</v>
      </c>
      <c r="L33" s="23">
        <v>58.86</v>
      </c>
      <c r="M33" s="23">
        <v>96.55</v>
      </c>
      <c r="N33" s="23">
        <v>92</v>
      </c>
      <c r="O33" s="23">
        <v>87.98999999999999</v>
      </c>
      <c r="P33" s="23">
        <v>87.56999999999999</v>
      </c>
      <c r="Q33" s="23">
        <v>67.69</v>
      </c>
      <c r="R33" s="23">
        <v>94.40000000000001</v>
      </c>
      <c r="S33" s="23">
        <v>94</v>
      </c>
      <c r="T33" s="23">
        <v>89.59999999999999</v>
      </c>
      <c r="U33" s="23">
        <v>85.5</v>
      </c>
      <c r="V33" s="23">
        <v>85.2</v>
      </c>
      <c r="W33" s="23">
        <v>65.5</v>
      </c>
      <c r="X33" s="23">
        <v>92</v>
      </c>
      <c r="Y33" s="8"/>
      <c r="Z33" s="8"/>
      <c r="AA33" s="23">
        <f>AA32+1</f>
        <v>1162</v>
      </c>
      <c r="AB33" s="8"/>
    </row>
    <row r="34" ht="16" customHeight="1">
      <c r="A34" s="19">
        <v>45609</v>
      </c>
      <c r="B34" s="23">
        <v>79.45999999999999</v>
      </c>
      <c r="C34" s="23">
        <v>71.76000000000001</v>
      </c>
      <c r="D34" s="23">
        <v>64.75</v>
      </c>
      <c r="E34" s="23">
        <v>68.90000000000001</v>
      </c>
      <c r="F34" s="23">
        <v>60.01</v>
      </c>
      <c r="G34" s="23">
        <v>66.3</v>
      </c>
      <c r="H34" s="23">
        <v>77.25</v>
      </c>
      <c r="I34" s="23">
        <v>68.78</v>
      </c>
      <c r="J34" s="23">
        <v>64.62</v>
      </c>
      <c r="K34" s="23">
        <v>67.65000000000001</v>
      </c>
      <c r="L34" s="23">
        <v>60.27</v>
      </c>
      <c r="M34" s="23">
        <v>96.20999999999999</v>
      </c>
      <c r="N34" s="23">
        <v>91.65000000000001</v>
      </c>
      <c r="O34" s="23">
        <v>88.01000000000001</v>
      </c>
      <c r="P34" s="23">
        <v>88</v>
      </c>
      <c r="Q34" s="23">
        <v>67.75</v>
      </c>
      <c r="R34" s="23">
        <v>95</v>
      </c>
      <c r="S34" s="23">
        <v>93.26000000000001</v>
      </c>
      <c r="T34" s="23">
        <v>89.15000000000001</v>
      </c>
      <c r="U34" s="23">
        <v>85.2</v>
      </c>
      <c r="V34" s="23">
        <v>85.40000000000001</v>
      </c>
      <c r="W34" s="23">
        <v>65.59999999999999</v>
      </c>
      <c r="X34" s="23">
        <v>92.2</v>
      </c>
      <c r="Y34" s="8"/>
      <c r="Z34" s="8"/>
      <c r="AA34" s="23">
        <f>AA33+1</f>
        <v>1163</v>
      </c>
      <c r="AB34" s="8"/>
    </row>
    <row r="35" ht="16" customHeight="1">
      <c r="A35" s="19">
        <v>45610</v>
      </c>
      <c r="B35" s="23">
        <v>80.41</v>
      </c>
      <c r="C35" s="23">
        <v>72.83</v>
      </c>
      <c r="D35" s="23">
        <v>65.89</v>
      </c>
      <c r="E35" s="23">
        <v>70.34999999999999</v>
      </c>
      <c r="F35" s="23">
        <v>61.39</v>
      </c>
      <c r="G35" s="23">
        <v>66.3</v>
      </c>
      <c r="H35" s="23">
        <v>77.93000000000001</v>
      </c>
      <c r="I35" s="23">
        <v>69.90000000000001</v>
      </c>
      <c r="J35" s="23">
        <v>65.65000000000001</v>
      </c>
      <c r="K35" s="23">
        <v>69.47</v>
      </c>
      <c r="L35" s="23">
        <v>61.73</v>
      </c>
      <c r="M35" s="23">
        <v>96.14</v>
      </c>
      <c r="N35" s="23">
        <v>92.84999999999999</v>
      </c>
      <c r="O35" s="23">
        <v>87.95</v>
      </c>
      <c r="P35" s="23">
        <v>87.90000000000001</v>
      </c>
      <c r="Q35" s="23">
        <v>68.48</v>
      </c>
      <c r="R35" s="23">
        <v>95.3</v>
      </c>
      <c r="S35" s="23">
        <v>93.25</v>
      </c>
      <c r="T35" s="23">
        <v>90.5</v>
      </c>
      <c r="U35" s="23">
        <v>84.7</v>
      </c>
      <c r="V35" s="23">
        <v>84.15000000000001</v>
      </c>
      <c r="W35" s="23">
        <v>65.84999999999999</v>
      </c>
      <c r="X35" s="23">
        <v>91.8</v>
      </c>
      <c r="Y35" s="8"/>
      <c r="Z35" s="8"/>
      <c r="AA35" s="23">
        <f>AA34+1</f>
        <v>1164</v>
      </c>
      <c r="AB35" s="8"/>
    </row>
    <row r="36" ht="16" customHeight="1">
      <c r="A36" s="19">
        <v>45611</v>
      </c>
      <c r="B36" s="23">
        <v>80.34</v>
      </c>
      <c r="C36" s="23">
        <v>72.5</v>
      </c>
      <c r="D36" s="23">
        <v>66.15000000000001</v>
      </c>
      <c r="E36" s="23">
        <v>70.93000000000001</v>
      </c>
      <c r="F36" s="23">
        <v>62.01</v>
      </c>
      <c r="G36" s="23">
        <v>67.2</v>
      </c>
      <c r="H36" s="23">
        <v>77.59999999999999</v>
      </c>
      <c r="I36" s="23">
        <v>69.78</v>
      </c>
      <c r="J36" s="23">
        <v>66.06</v>
      </c>
      <c r="K36" s="23">
        <v>70</v>
      </c>
      <c r="L36" s="23">
        <v>63.6</v>
      </c>
      <c r="M36" s="23">
        <v>96.2</v>
      </c>
      <c r="N36" s="23">
        <v>92.59999999999999</v>
      </c>
      <c r="O36" s="23">
        <v>87.88</v>
      </c>
      <c r="P36" s="23">
        <v>87.81</v>
      </c>
      <c r="Q36" s="23">
        <v>67.90000000000001</v>
      </c>
      <c r="R36" s="23">
        <v>95</v>
      </c>
      <c r="S36" s="23">
        <v>93.65000000000001</v>
      </c>
      <c r="T36" s="23">
        <v>89.5</v>
      </c>
      <c r="U36" s="23">
        <v>84.95</v>
      </c>
      <c r="V36" s="23">
        <v>84.75</v>
      </c>
      <c r="W36" s="23">
        <v>66</v>
      </c>
      <c r="X36" s="23">
        <v>91.7</v>
      </c>
      <c r="Y36" s="8"/>
      <c r="Z36" s="8"/>
      <c r="AA36" s="23">
        <f>AA35+1</f>
        <v>1165</v>
      </c>
      <c r="AB36" s="8"/>
    </row>
    <row r="37" ht="16" customHeight="1">
      <c r="A37" s="19">
        <v>45615</v>
      </c>
      <c r="B37" s="23">
        <v>81</v>
      </c>
      <c r="C37" s="23">
        <v>73.41</v>
      </c>
      <c r="D37" s="23">
        <v>67</v>
      </c>
      <c r="E37" s="23">
        <v>71.2</v>
      </c>
      <c r="F37" s="23">
        <v>62.35</v>
      </c>
      <c r="G37" s="23">
        <v>66.90000000000001</v>
      </c>
      <c r="H37" s="23">
        <v>78.31999999999999</v>
      </c>
      <c r="I37" s="23">
        <v>70.95</v>
      </c>
      <c r="J37" s="23">
        <v>66.7</v>
      </c>
      <c r="K37" s="23">
        <v>70.23</v>
      </c>
      <c r="L37" s="23">
        <v>62.34</v>
      </c>
      <c r="M37" s="23">
        <v>96.45</v>
      </c>
      <c r="N37" s="23">
        <v>93.5</v>
      </c>
      <c r="O37" s="23">
        <v>87.94</v>
      </c>
      <c r="P37" s="23">
        <v>87.8</v>
      </c>
      <c r="Q37" s="23">
        <v>68.34</v>
      </c>
      <c r="R37" s="23">
        <v>95</v>
      </c>
      <c r="S37" s="23">
        <v>93.40000000000001</v>
      </c>
      <c r="T37" s="23">
        <v>90</v>
      </c>
      <c r="U37" s="23">
        <v>84.75</v>
      </c>
      <c r="V37" s="23">
        <v>84.8</v>
      </c>
      <c r="W37" s="23">
        <v>66.06999999999999</v>
      </c>
      <c r="X37" s="23">
        <v>91.77</v>
      </c>
      <c r="Y37" s="8"/>
      <c r="Z37" s="8"/>
      <c r="AA37" s="23">
        <f>AA36+1</f>
        <v>1166</v>
      </c>
      <c r="AB37" s="8"/>
    </row>
    <row r="38" ht="16" customHeight="1">
      <c r="A38" s="19">
        <v>45616</v>
      </c>
      <c r="B38" s="23">
        <v>81.59999999999999</v>
      </c>
      <c r="C38" s="23">
        <v>73.2</v>
      </c>
      <c r="D38" s="23">
        <v>67.5</v>
      </c>
      <c r="E38" s="23">
        <v>71.84999999999999</v>
      </c>
      <c r="F38" s="23">
        <v>63.12</v>
      </c>
      <c r="G38" s="23">
        <v>67.7</v>
      </c>
      <c r="H38" s="23">
        <v>78.05</v>
      </c>
      <c r="I38" s="23">
        <v>71.06999999999999</v>
      </c>
      <c r="J38" s="23">
        <v>68.05</v>
      </c>
      <c r="K38" s="23">
        <v>70.59999999999999</v>
      </c>
      <c r="L38" s="23">
        <v>63.5</v>
      </c>
      <c r="M38" s="23">
        <v>96.25</v>
      </c>
      <c r="N38" s="23">
        <v>92.15000000000001</v>
      </c>
      <c r="O38" s="23">
        <v>86.95</v>
      </c>
      <c r="P38" s="23">
        <v>87.17</v>
      </c>
      <c r="Q38" s="23">
        <v>68.12</v>
      </c>
      <c r="R38" s="23">
        <v>94.59999999999999</v>
      </c>
      <c r="S38" s="23">
        <v>93.34999999999999</v>
      </c>
      <c r="T38" s="23">
        <v>89.5</v>
      </c>
      <c r="U38" s="23">
        <v>84.40000000000001</v>
      </c>
      <c r="V38" s="23">
        <v>84.25</v>
      </c>
      <c r="W38" s="23">
        <v>66.45</v>
      </c>
      <c r="X38" s="23">
        <v>91.84999999999999</v>
      </c>
      <c r="Y38" s="8"/>
      <c r="Z38" s="8"/>
      <c r="AA38" s="23">
        <f>AA37+1</f>
        <v>1167</v>
      </c>
      <c r="AB38" s="8"/>
    </row>
    <row r="39" ht="16" customHeight="1">
      <c r="A39" s="19">
        <v>45617</v>
      </c>
      <c r="B39" s="23">
        <v>80.20999999999999</v>
      </c>
      <c r="C39" s="23">
        <v>72.8</v>
      </c>
      <c r="D39" s="23">
        <v>66.90000000000001</v>
      </c>
      <c r="E39" s="23">
        <v>71.40000000000001</v>
      </c>
      <c r="F39" s="23">
        <v>62.15</v>
      </c>
      <c r="G39" s="23">
        <v>67.63</v>
      </c>
      <c r="H39" s="23">
        <v>78.34</v>
      </c>
      <c r="I39" s="23">
        <v>70.55</v>
      </c>
      <c r="J39" s="23">
        <v>67.25</v>
      </c>
      <c r="K39" s="23">
        <v>70.5</v>
      </c>
      <c r="L39" s="23">
        <v>62.8</v>
      </c>
      <c r="M39" s="23">
        <v>96.40000000000001</v>
      </c>
      <c r="N39" s="23">
        <v>92.59999999999999</v>
      </c>
      <c r="O39" s="23">
        <v>87.2</v>
      </c>
      <c r="P39" s="23">
        <v>87.33</v>
      </c>
      <c r="Q39" s="23">
        <v>68.3</v>
      </c>
      <c r="R39" s="23">
        <v>94.75</v>
      </c>
      <c r="S39" s="23">
        <v>93.58</v>
      </c>
      <c r="T39" s="23">
        <v>89.5</v>
      </c>
      <c r="U39" s="23">
        <v>84.59999999999999</v>
      </c>
      <c r="V39" s="23">
        <v>84.65000000000001</v>
      </c>
      <c r="W39" s="23">
        <v>66.34999999999999</v>
      </c>
      <c r="X39" s="23">
        <v>91.59999999999999</v>
      </c>
      <c r="Y39" s="8"/>
      <c r="Z39" s="8"/>
      <c r="AA39" s="23">
        <f>AA38+1</f>
        <v>1168</v>
      </c>
      <c r="AB39" s="8"/>
    </row>
    <row r="40" ht="16" customHeight="1">
      <c r="A40" s="19">
        <v>45618</v>
      </c>
      <c r="B40" s="23">
        <v>80.5</v>
      </c>
      <c r="C40" s="23">
        <v>72.8</v>
      </c>
      <c r="D40" s="23">
        <v>66.59999999999999</v>
      </c>
      <c r="E40" s="23">
        <v>71</v>
      </c>
      <c r="F40" s="23">
        <v>63</v>
      </c>
      <c r="G40" s="23">
        <v>66.83</v>
      </c>
      <c r="H40" s="23">
        <v>77.22</v>
      </c>
      <c r="I40" s="23">
        <v>70.40000000000001</v>
      </c>
      <c r="J40" s="23">
        <v>66.66</v>
      </c>
      <c r="K40" s="23">
        <v>71.39</v>
      </c>
      <c r="L40" s="23">
        <v>62.77</v>
      </c>
      <c r="M40" s="23">
        <v>95.7</v>
      </c>
      <c r="N40" s="23">
        <v>92</v>
      </c>
      <c r="O40" s="23">
        <v>86.90000000000001</v>
      </c>
      <c r="P40" s="23">
        <v>86.78</v>
      </c>
      <c r="Q40" s="23">
        <v>69.52</v>
      </c>
      <c r="R40" s="23">
        <v>94.16</v>
      </c>
      <c r="S40" s="23">
        <v>93.05</v>
      </c>
      <c r="T40" s="23">
        <v>89.58</v>
      </c>
      <c r="U40" s="23">
        <v>84.40000000000001</v>
      </c>
      <c r="V40" s="23">
        <v>84.34999999999999</v>
      </c>
      <c r="W40" s="23">
        <v>67.3</v>
      </c>
      <c r="X40" s="23">
        <v>91.5</v>
      </c>
      <c r="Y40" s="8"/>
      <c r="Z40" s="8"/>
      <c r="AA40" s="23">
        <f>AA39+1</f>
        <v>1169</v>
      </c>
      <c r="AB40" s="8"/>
    </row>
    <row r="41" ht="16" customHeight="1">
      <c r="A41" s="19">
        <v>45621</v>
      </c>
      <c r="B41" s="23">
        <v>80.53</v>
      </c>
      <c r="C41" s="23">
        <v>72.86</v>
      </c>
      <c r="D41" s="23">
        <v>66.8</v>
      </c>
      <c r="E41" s="23">
        <v>70.78</v>
      </c>
      <c r="F41" s="23">
        <v>62.4</v>
      </c>
      <c r="G41" s="23">
        <v>66.79000000000001</v>
      </c>
      <c r="H41" s="23">
        <v>77.26000000000001</v>
      </c>
      <c r="I41" s="23">
        <v>71.08</v>
      </c>
      <c r="J41" s="23">
        <v>66.77</v>
      </c>
      <c r="K41" s="23">
        <v>70.34999999999999</v>
      </c>
      <c r="L41" s="23">
        <v>62.15</v>
      </c>
      <c r="M41" s="23">
        <v>95.8</v>
      </c>
      <c r="N41" s="23">
        <v>92.86</v>
      </c>
      <c r="O41" s="23">
        <v>86.90000000000001</v>
      </c>
      <c r="P41" s="23">
        <v>86.98999999999999</v>
      </c>
      <c r="Q41" s="23">
        <v>69.40000000000001</v>
      </c>
      <c r="R41" s="23">
        <v>94.31999999999999</v>
      </c>
      <c r="S41" s="23">
        <v>93.34999999999999</v>
      </c>
      <c r="T41" s="23">
        <v>90</v>
      </c>
      <c r="U41" s="23">
        <v>84.47</v>
      </c>
      <c r="V41" s="23">
        <v>84.38</v>
      </c>
      <c r="W41" s="23">
        <v>67.2</v>
      </c>
      <c r="X41" s="23">
        <v>91.65000000000001</v>
      </c>
      <c r="Y41" s="8"/>
      <c r="Z41" s="8"/>
      <c r="AA41" s="23">
        <f>AA40+1</f>
        <v>1170</v>
      </c>
      <c r="AB41" s="8"/>
    </row>
    <row r="42" ht="16" customHeight="1">
      <c r="A42" s="19">
        <v>45622</v>
      </c>
      <c r="B42" s="23">
        <v>79.90000000000001</v>
      </c>
      <c r="C42" s="23">
        <v>72.76000000000001</v>
      </c>
      <c r="D42" s="23">
        <v>66.59</v>
      </c>
      <c r="E42" s="23">
        <v>71.09999999999999</v>
      </c>
      <c r="F42" s="23">
        <v>62.18</v>
      </c>
      <c r="G42" s="23">
        <v>67.16</v>
      </c>
      <c r="H42" s="23">
        <v>76.59999999999999</v>
      </c>
      <c r="I42" s="41">
        <v>70.84</v>
      </c>
      <c r="J42" s="23">
        <v>66.45</v>
      </c>
      <c r="K42" s="23">
        <v>69.84999999999999</v>
      </c>
      <c r="L42" s="23">
        <v>62.12</v>
      </c>
      <c r="M42" s="23">
        <v>95.8</v>
      </c>
      <c r="N42" s="23">
        <v>92.05</v>
      </c>
      <c r="O42" s="23">
        <v>87</v>
      </c>
      <c r="P42" s="23">
        <v>86.7</v>
      </c>
      <c r="Q42" s="23">
        <v>68.8</v>
      </c>
      <c r="R42" s="23">
        <v>93.91</v>
      </c>
      <c r="S42" s="23">
        <v>92.90000000000001</v>
      </c>
      <c r="T42" s="23">
        <v>89.5</v>
      </c>
      <c r="U42" s="23">
        <v>84.65000000000001</v>
      </c>
      <c r="V42" s="23">
        <v>84.40000000000001</v>
      </c>
      <c r="W42" s="23">
        <v>67</v>
      </c>
      <c r="X42" s="23">
        <v>91.5</v>
      </c>
      <c r="Y42" s="8"/>
      <c r="Z42" s="8"/>
      <c r="AA42" s="23">
        <f>AA41+1</f>
        <v>1171</v>
      </c>
      <c r="AB42" s="8"/>
    </row>
    <row r="43" ht="16" customHeight="1">
      <c r="A43" s="19">
        <v>45623</v>
      </c>
      <c r="B43" s="23">
        <v>80.15000000000001</v>
      </c>
      <c r="C43" s="23">
        <v>73.09999999999999</v>
      </c>
      <c r="D43" s="23">
        <v>66.59999999999999</v>
      </c>
      <c r="E43" s="23">
        <v>71.3</v>
      </c>
      <c r="F43" s="23">
        <v>62.5</v>
      </c>
      <c r="G43" s="23">
        <v>66.88</v>
      </c>
      <c r="H43" s="23">
        <v>76.40000000000001</v>
      </c>
      <c r="I43" s="23">
        <v>71.15000000000001</v>
      </c>
      <c r="J43" s="23">
        <v>66.61</v>
      </c>
      <c r="K43" s="23">
        <v>69.76000000000001</v>
      </c>
      <c r="L43" s="23">
        <v>62.54</v>
      </c>
      <c r="M43" s="23">
        <v>96</v>
      </c>
      <c r="N43" s="23">
        <v>92.40000000000001</v>
      </c>
      <c r="O43" s="23">
        <v>87.03</v>
      </c>
      <c r="P43" s="23">
        <v>86.59999999999999</v>
      </c>
      <c r="Q43" s="23">
        <v>68.8</v>
      </c>
      <c r="R43" s="23">
        <v>94.19</v>
      </c>
      <c r="S43" s="23">
        <v>93.51000000000001</v>
      </c>
      <c r="T43" s="23">
        <v>89.87</v>
      </c>
      <c r="U43" s="23">
        <v>84.53</v>
      </c>
      <c r="V43" s="23">
        <v>84.12</v>
      </c>
      <c r="W43" s="23">
        <v>66.75</v>
      </c>
      <c r="X43" s="23">
        <v>91.5</v>
      </c>
      <c r="Y43" s="8"/>
      <c r="Z43" s="8"/>
      <c r="AA43" s="23">
        <f>AA42+1</f>
        <v>1172</v>
      </c>
      <c r="AB43" s="8"/>
    </row>
    <row r="44" ht="16" customHeight="1">
      <c r="A44" s="19">
        <v>45624</v>
      </c>
      <c r="B44" s="23">
        <v>80.19</v>
      </c>
      <c r="C44" s="23">
        <v>73.2</v>
      </c>
      <c r="D44" s="23">
        <v>66.73999999999999</v>
      </c>
      <c r="E44" s="23">
        <v>71</v>
      </c>
      <c r="F44" s="23">
        <v>62.7</v>
      </c>
      <c r="G44" s="23">
        <v>67.14</v>
      </c>
      <c r="H44" s="23">
        <v>76.64</v>
      </c>
      <c r="I44" s="23">
        <v>71.19</v>
      </c>
      <c r="J44" s="23">
        <v>66.63</v>
      </c>
      <c r="K44" s="23">
        <v>69.59999999999999</v>
      </c>
      <c r="L44" s="23">
        <v>62.7</v>
      </c>
      <c r="M44" s="23">
        <v>96.2</v>
      </c>
      <c r="N44" s="23">
        <v>92.3</v>
      </c>
      <c r="O44" s="23">
        <v>87.48999999999999</v>
      </c>
      <c r="P44" s="23">
        <v>86.75</v>
      </c>
      <c r="Q44" s="23">
        <v>68.7</v>
      </c>
      <c r="R44" s="23">
        <v>94.15000000000001</v>
      </c>
      <c r="S44" s="23">
        <v>93.5</v>
      </c>
      <c r="T44" s="23">
        <v>89.92</v>
      </c>
      <c r="U44" s="23">
        <v>84.65000000000001</v>
      </c>
      <c r="V44" s="23">
        <v>84.55</v>
      </c>
      <c r="W44" s="23">
        <v>66.79000000000001</v>
      </c>
      <c r="X44" s="23">
        <v>91.5</v>
      </c>
      <c r="Y44" s="8"/>
      <c r="Z44" s="8"/>
      <c r="AA44" s="23">
        <f>AA43+1</f>
        <v>1173</v>
      </c>
      <c r="AB44" s="8"/>
    </row>
    <row r="45" ht="16" customHeight="1">
      <c r="A45" s="19">
        <v>45625</v>
      </c>
      <c r="B45" s="23">
        <v>79.63</v>
      </c>
      <c r="C45" s="23">
        <v>72.84</v>
      </c>
      <c r="D45" s="23">
        <v>66.7</v>
      </c>
      <c r="E45" s="23">
        <v>71</v>
      </c>
      <c r="F45" s="23">
        <v>62.57</v>
      </c>
      <c r="G45" s="23">
        <v>67.33</v>
      </c>
      <c r="H45" s="23">
        <v>77.88</v>
      </c>
      <c r="I45" s="23">
        <v>71.03</v>
      </c>
      <c r="J45" s="23">
        <v>66.7</v>
      </c>
      <c r="K45" s="23">
        <v>69.90000000000001</v>
      </c>
      <c r="L45" s="23">
        <v>62.86</v>
      </c>
      <c r="M45" s="23">
        <v>96.5</v>
      </c>
      <c r="N45" s="23">
        <v>92.34</v>
      </c>
      <c r="O45" s="23">
        <v>87.34999999999999</v>
      </c>
      <c r="P45" s="23">
        <v>87.42</v>
      </c>
      <c r="Q45" s="23">
        <v>58.75</v>
      </c>
      <c r="R45" s="23">
        <v>93.88</v>
      </c>
      <c r="S45" s="23">
        <v>94.25</v>
      </c>
      <c r="T45" s="23">
        <v>89.90000000000001</v>
      </c>
      <c r="U45" s="23">
        <v>85.15000000000001</v>
      </c>
      <c r="V45" s="23">
        <v>85.05</v>
      </c>
      <c r="W45" s="23">
        <v>57.4</v>
      </c>
      <c r="X45" s="23">
        <v>91.55</v>
      </c>
      <c r="Y45" s="8"/>
      <c r="Z45" s="8"/>
      <c r="AA45" s="23">
        <f>AA44+1</f>
        <v>1174</v>
      </c>
      <c r="AB45" s="8"/>
    </row>
    <row r="46" ht="16" customHeight="1">
      <c r="A46" s="19">
        <v>45628</v>
      </c>
      <c r="B46" s="23">
        <v>80.20999999999999</v>
      </c>
      <c r="C46" s="23">
        <v>73.03</v>
      </c>
      <c r="D46" s="23">
        <v>66.77</v>
      </c>
      <c r="E46" s="23">
        <v>71.34999999999999</v>
      </c>
      <c r="F46" s="23">
        <v>62.55</v>
      </c>
      <c r="G46" s="23">
        <v>67.40000000000001</v>
      </c>
      <c r="H46" s="23">
        <v>77.77</v>
      </c>
      <c r="I46" s="23">
        <v>71.83</v>
      </c>
      <c r="J46" s="23">
        <v>66.77</v>
      </c>
      <c r="K46" s="23">
        <v>69.72</v>
      </c>
      <c r="L46" s="23">
        <v>63.03</v>
      </c>
      <c r="M46" s="23">
        <v>96.53</v>
      </c>
      <c r="N46" s="23">
        <v>92.2</v>
      </c>
      <c r="O46" s="23">
        <v>88</v>
      </c>
      <c r="P46" s="23">
        <v>88.45</v>
      </c>
      <c r="Q46" s="23">
        <v>59.89</v>
      </c>
      <c r="R46" s="23">
        <v>94</v>
      </c>
      <c r="S46" s="23">
        <v>94</v>
      </c>
      <c r="T46" s="23">
        <v>89.98</v>
      </c>
      <c r="U46" s="23">
        <v>85.75</v>
      </c>
      <c r="V46" s="23">
        <v>86.39</v>
      </c>
      <c r="W46" s="23">
        <v>58.3</v>
      </c>
      <c r="X46" s="23">
        <v>92</v>
      </c>
      <c r="Y46" s="8"/>
      <c r="Z46" s="8"/>
      <c r="AA46" s="23">
        <f>AA45+1</f>
        <v>1175</v>
      </c>
      <c r="AB46" s="8"/>
    </row>
    <row r="47" ht="16" customHeight="1">
      <c r="A47" s="19">
        <v>45629</v>
      </c>
      <c r="B47" s="23">
        <v>80.2</v>
      </c>
      <c r="C47" s="23">
        <v>73.3</v>
      </c>
      <c r="D47" s="23">
        <v>66.41</v>
      </c>
      <c r="E47" s="23">
        <v>70.7</v>
      </c>
      <c r="F47" s="23">
        <v>62.1</v>
      </c>
      <c r="G47" s="23">
        <v>66.8</v>
      </c>
      <c r="H47" s="23">
        <v>78</v>
      </c>
      <c r="I47" s="23">
        <v>71.65000000000001</v>
      </c>
      <c r="J47" s="23">
        <v>66.48999999999999</v>
      </c>
      <c r="K47" s="23">
        <v>69.39</v>
      </c>
      <c r="L47" s="23">
        <v>62.51</v>
      </c>
      <c r="M47" s="23">
        <v>96.8</v>
      </c>
      <c r="N47" s="23">
        <v>91.83</v>
      </c>
      <c r="O47" s="23">
        <v>88.3</v>
      </c>
      <c r="P47" s="23">
        <v>88.48999999999999</v>
      </c>
      <c r="Q47" s="23">
        <v>60</v>
      </c>
      <c r="R47" s="23">
        <v>93.90000000000001</v>
      </c>
      <c r="S47" s="23">
        <v>94.45</v>
      </c>
      <c r="T47" s="23">
        <v>89.75</v>
      </c>
      <c r="U47" s="23">
        <v>86</v>
      </c>
      <c r="V47" s="23">
        <v>85.7</v>
      </c>
      <c r="W47" s="23">
        <v>58.55</v>
      </c>
      <c r="X47" s="23">
        <v>91.5</v>
      </c>
      <c r="Y47" s="8"/>
      <c r="Z47" s="8"/>
      <c r="AA47" s="23">
        <f>AA46+1</f>
        <v>1176</v>
      </c>
      <c r="AB47" s="8"/>
    </row>
    <row r="48" ht="16" customHeight="1">
      <c r="A48" s="19">
        <v>45630</v>
      </c>
      <c r="B48" s="23">
        <v>80.86</v>
      </c>
      <c r="C48" s="23">
        <v>73.2</v>
      </c>
      <c r="D48" s="23">
        <v>66.7</v>
      </c>
      <c r="E48" s="23">
        <v>70.98</v>
      </c>
      <c r="F48" s="23">
        <v>62</v>
      </c>
      <c r="G48" s="23">
        <v>67.2</v>
      </c>
      <c r="H48" s="23">
        <v>77.51000000000001</v>
      </c>
      <c r="I48" s="23">
        <v>71.65000000000001</v>
      </c>
      <c r="J48" s="23">
        <v>66.44</v>
      </c>
      <c r="K48" s="23">
        <v>68.67</v>
      </c>
      <c r="L48" s="23">
        <v>62.32</v>
      </c>
      <c r="M48" s="23">
        <v>97</v>
      </c>
      <c r="N48" s="23">
        <v>92.15000000000001</v>
      </c>
      <c r="O48" s="23">
        <v>88.26000000000001</v>
      </c>
      <c r="P48" s="23">
        <v>88.56</v>
      </c>
      <c r="Q48" s="23">
        <v>59.74</v>
      </c>
      <c r="R48" s="23">
        <v>93.65000000000001</v>
      </c>
      <c r="S48" s="23">
        <v>94.75</v>
      </c>
      <c r="T48" s="23">
        <v>89.75</v>
      </c>
      <c r="U48" s="23">
        <v>85.97</v>
      </c>
      <c r="V48" s="23">
        <v>86.39</v>
      </c>
      <c r="W48" s="23">
        <v>58.19</v>
      </c>
      <c r="X48" s="23">
        <v>91.25</v>
      </c>
      <c r="Y48" s="8"/>
      <c r="Z48" s="8"/>
      <c r="AA48" s="23">
        <f>AA47+1</f>
        <v>1177</v>
      </c>
      <c r="AB48" s="8"/>
    </row>
    <row r="49" ht="16" customHeight="1">
      <c r="A49" s="19">
        <v>45631</v>
      </c>
      <c r="B49" s="23">
        <v>80.56999999999999</v>
      </c>
      <c r="C49" s="23">
        <v>72.70999999999999</v>
      </c>
      <c r="D49" s="23">
        <v>65.70999999999999</v>
      </c>
      <c r="E49" s="23">
        <v>70.5</v>
      </c>
      <c r="F49" s="23">
        <v>61.54</v>
      </c>
      <c r="G49" s="23">
        <v>66.95</v>
      </c>
      <c r="H49" s="23">
        <v>77.87</v>
      </c>
      <c r="I49" s="23">
        <v>71.31999999999999</v>
      </c>
      <c r="J49" s="23">
        <v>65.79000000000001</v>
      </c>
      <c r="K49" s="23">
        <v>68.22</v>
      </c>
      <c r="L49" s="23">
        <v>61.8</v>
      </c>
      <c r="M49" s="23">
        <v>97.15000000000001</v>
      </c>
      <c r="N49" s="23">
        <v>91.8</v>
      </c>
      <c r="O49" s="23">
        <v>88.7</v>
      </c>
      <c r="P49" s="23">
        <v>88.61</v>
      </c>
      <c r="Q49" s="23">
        <v>59.31</v>
      </c>
      <c r="R49" s="23">
        <v>93.77</v>
      </c>
      <c r="S49" s="23">
        <v>94.90000000000001</v>
      </c>
      <c r="T49" s="23">
        <v>89.72</v>
      </c>
      <c r="U49" s="23">
        <v>86.5</v>
      </c>
      <c r="V49" s="23">
        <v>86.47</v>
      </c>
      <c r="W49" s="23">
        <v>58.14</v>
      </c>
      <c r="X49" s="23">
        <v>91.5</v>
      </c>
      <c r="Y49" s="8"/>
      <c r="Z49" s="8"/>
      <c r="AA49" s="23">
        <f>AA48+1</f>
        <v>1178</v>
      </c>
      <c r="AB49" s="8"/>
    </row>
    <row r="50" ht="16" customHeight="1">
      <c r="A50" s="19">
        <v>45632</v>
      </c>
      <c r="B50" s="23">
        <v>80.41</v>
      </c>
      <c r="C50" s="23">
        <v>73.19</v>
      </c>
      <c r="D50" s="23">
        <v>66.33</v>
      </c>
      <c r="E50" s="23">
        <v>70.84999999999999</v>
      </c>
      <c r="F50" s="23">
        <v>61.75</v>
      </c>
      <c r="G50" s="23">
        <v>67.95</v>
      </c>
      <c r="H50" s="23">
        <v>78.65000000000001</v>
      </c>
      <c r="I50" s="23">
        <v>71.65000000000001</v>
      </c>
      <c r="J50" s="23">
        <v>66.36</v>
      </c>
      <c r="K50" s="23">
        <v>69.33</v>
      </c>
      <c r="L50" s="23">
        <v>62.21</v>
      </c>
      <c r="M50" s="23">
        <v>96.92</v>
      </c>
      <c r="N50" s="23">
        <v>91.8</v>
      </c>
      <c r="O50" s="23">
        <v>89.08</v>
      </c>
      <c r="P50" s="23">
        <v>89.5</v>
      </c>
      <c r="Q50" s="23">
        <v>59.14</v>
      </c>
      <c r="R50" s="23">
        <v>94.19</v>
      </c>
      <c r="S50" s="23">
        <v>95</v>
      </c>
      <c r="T50" s="23">
        <v>90.09999999999999</v>
      </c>
      <c r="U50" s="23">
        <v>87.40000000000001</v>
      </c>
      <c r="V50" s="23">
        <v>87.59999999999999</v>
      </c>
      <c r="W50" s="23">
        <v>57.65</v>
      </c>
      <c r="X50" s="23">
        <v>92.34999999999999</v>
      </c>
      <c r="Y50" s="8"/>
      <c r="Z50" s="8"/>
      <c r="AA50" s="23">
        <f>AA49+1</f>
        <v>1179</v>
      </c>
      <c r="AB50" s="8"/>
    </row>
    <row r="51" ht="16" customHeight="1">
      <c r="A51" s="19">
        <v>45635</v>
      </c>
      <c r="B51" s="23">
        <v>80.65000000000001</v>
      </c>
      <c r="C51" s="23">
        <v>73.90000000000001</v>
      </c>
      <c r="D51" s="23">
        <v>67.05</v>
      </c>
      <c r="E51" s="23">
        <v>71.31999999999999</v>
      </c>
      <c r="F51" s="23">
        <v>62.85</v>
      </c>
      <c r="G51" s="23">
        <v>67.3</v>
      </c>
      <c r="H51" s="23">
        <v>78.98</v>
      </c>
      <c r="I51" s="23">
        <v>72.56</v>
      </c>
      <c r="J51" s="23">
        <v>67</v>
      </c>
      <c r="K51" s="23">
        <v>69.48</v>
      </c>
      <c r="L51" s="23">
        <v>63.48</v>
      </c>
      <c r="M51" s="23">
        <v>96.90000000000001</v>
      </c>
      <c r="N51" s="23">
        <v>92.05</v>
      </c>
      <c r="O51" s="23">
        <v>90.09999999999999</v>
      </c>
      <c r="P51" s="23">
        <v>90.8</v>
      </c>
      <c r="Q51" s="23">
        <v>58.58</v>
      </c>
      <c r="R51" s="23">
        <v>93.69</v>
      </c>
      <c r="S51" s="23">
        <v>95</v>
      </c>
      <c r="T51" s="23">
        <v>90.31999999999999</v>
      </c>
      <c r="U51" s="23">
        <v>88.40000000000001</v>
      </c>
      <c r="V51" s="23">
        <v>89.25</v>
      </c>
      <c r="W51" s="23">
        <v>57.75</v>
      </c>
      <c r="X51" s="23">
        <v>91.81</v>
      </c>
      <c r="Y51" s="8"/>
      <c r="Z51" s="8"/>
      <c r="AA51" s="23">
        <f>AA50+1</f>
        <v>1180</v>
      </c>
      <c r="AB51" s="8"/>
    </row>
    <row r="52" ht="16" customHeight="1">
      <c r="A52" s="19">
        <v>45636</v>
      </c>
      <c r="B52" s="23">
        <v>80.65000000000001</v>
      </c>
      <c r="C52" s="23">
        <v>73.20999999999999</v>
      </c>
      <c r="D52" s="23">
        <v>66.79000000000001</v>
      </c>
      <c r="E52" s="23">
        <v>71.08</v>
      </c>
      <c r="F52" s="23">
        <v>62.26</v>
      </c>
      <c r="G52" s="23">
        <v>67.05</v>
      </c>
      <c r="H52" s="23">
        <v>78.68000000000001</v>
      </c>
      <c r="I52" s="23">
        <v>71.76000000000001</v>
      </c>
      <c r="J52" s="23">
        <v>66.63</v>
      </c>
      <c r="K52" s="23">
        <v>69.2</v>
      </c>
      <c r="L52" s="23">
        <v>62.65</v>
      </c>
      <c r="M52" s="23">
        <v>96.87</v>
      </c>
      <c r="N52" s="23">
        <v>91.65000000000001</v>
      </c>
      <c r="O52" s="23">
        <v>89.34</v>
      </c>
      <c r="P52" s="23">
        <v>90.5</v>
      </c>
      <c r="Q52" s="23">
        <v>58.52</v>
      </c>
      <c r="R52" s="23">
        <v>93.2</v>
      </c>
      <c r="S52" s="23">
        <v>94.90000000000001</v>
      </c>
      <c r="T52" s="23">
        <v>90.25</v>
      </c>
      <c r="U52" s="23">
        <v>87.64</v>
      </c>
      <c r="V52" s="23">
        <v>89.22</v>
      </c>
      <c r="W52" s="23">
        <v>57.4</v>
      </c>
      <c r="X52" s="23">
        <v>91.5</v>
      </c>
      <c r="Y52" s="8"/>
      <c r="Z52" s="8"/>
      <c r="AA52" s="23">
        <f>AA51+1</f>
        <v>1181</v>
      </c>
      <c r="AB52" s="8"/>
    </row>
    <row r="53" ht="16" customHeight="1">
      <c r="A53" s="19">
        <v>45637</v>
      </c>
      <c r="B53" s="23">
        <v>80.78</v>
      </c>
      <c r="C53" s="23">
        <v>74.25</v>
      </c>
      <c r="D53" s="23">
        <v>67.3</v>
      </c>
      <c r="E53" s="23">
        <v>71.8</v>
      </c>
      <c r="F53" s="23">
        <v>62.75</v>
      </c>
      <c r="G53" s="23">
        <v>67.59999999999999</v>
      </c>
      <c r="H53" s="23">
        <v>78.8</v>
      </c>
      <c r="I53" s="23">
        <v>72.76000000000001</v>
      </c>
      <c r="J53" s="23">
        <v>67.2</v>
      </c>
      <c r="K53" s="23">
        <v>70.23999999999999</v>
      </c>
      <c r="L53" s="23">
        <v>63.49</v>
      </c>
      <c r="M53" s="23">
        <v>96.53</v>
      </c>
      <c r="N53" s="23">
        <v>91.63</v>
      </c>
      <c r="O53" s="23">
        <v>89.2</v>
      </c>
      <c r="P53" s="23">
        <v>89.36</v>
      </c>
      <c r="Q53" s="23">
        <v>58.69</v>
      </c>
      <c r="R53" s="23">
        <v>93.09999999999999</v>
      </c>
      <c r="S53" s="23">
        <v>95.05</v>
      </c>
      <c r="T53" s="23">
        <v>90.3</v>
      </c>
      <c r="U53" s="23">
        <v>87.77</v>
      </c>
      <c r="V53" s="23">
        <v>87.95</v>
      </c>
      <c r="W53" s="23">
        <v>57.5</v>
      </c>
      <c r="X53" s="23">
        <v>91.5</v>
      </c>
      <c r="Y53" s="8"/>
      <c r="Z53" s="8"/>
      <c r="AA53" s="23">
        <f>AA52+1</f>
        <v>1182</v>
      </c>
      <c r="AB53" s="8"/>
    </row>
    <row r="54" ht="16" customHeight="1">
      <c r="A54" s="19">
        <v>45638</v>
      </c>
      <c r="B54" s="23">
        <v>81.65000000000001</v>
      </c>
      <c r="C54" s="23">
        <v>74</v>
      </c>
      <c r="D54" s="23">
        <v>67.44</v>
      </c>
      <c r="E54" s="23">
        <v>71.7</v>
      </c>
      <c r="F54" s="23">
        <v>63.3</v>
      </c>
      <c r="G54" s="23">
        <v>68.5</v>
      </c>
      <c r="H54" s="23">
        <v>79.25</v>
      </c>
      <c r="I54" s="23">
        <v>72.95</v>
      </c>
      <c r="J54" s="23">
        <v>67.3</v>
      </c>
      <c r="K54" s="23">
        <v>70.40000000000001</v>
      </c>
      <c r="L54" s="23">
        <v>63.95</v>
      </c>
      <c r="M54" s="23">
        <v>96.06</v>
      </c>
      <c r="N54" s="23">
        <v>91.3</v>
      </c>
      <c r="O54" s="23">
        <v>89.3</v>
      </c>
      <c r="P54" s="23">
        <v>89.41</v>
      </c>
      <c r="Q54" s="23">
        <v>58.79</v>
      </c>
      <c r="R54" s="23">
        <v>93.5</v>
      </c>
      <c r="S54" s="23">
        <v>94.40000000000001</v>
      </c>
      <c r="T54" s="23">
        <v>89.70999999999999</v>
      </c>
      <c r="U54" s="23">
        <v>87.7</v>
      </c>
      <c r="V54" s="23">
        <v>87.75</v>
      </c>
      <c r="W54" s="23">
        <v>57.5</v>
      </c>
      <c r="X54" s="23">
        <v>91.65000000000001</v>
      </c>
      <c r="Y54" s="8"/>
      <c r="Z54" s="8"/>
      <c r="AA54" s="23">
        <f>AA53+1</f>
        <v>1183</v>
      </c>
      <c r="AB54" s="8"/>
    </row>
    <row r="55" ht="16" customHeight="1">
      <c r="A55" s="19">
        <v>45639</v>
      </c>
      <c r="B55" s="23">
        <v>81.98999999999999</v>
      </c>
      <c r="C55" s="23">
        <v>74.09999999999999</v>
      </c>
      <c r="D55" s="23">
        <v>67.59999999999999</v>
      </c>
      <c r="E55" s="23">
        <v>71.90000000000001</v>
      </c>
      <c r="F55" s="23">
        <v>63.55</v>
      </c>
      <c r="G55" s="23">
        <v>67.59999999999999</v>
      </c>
      <c r="H55" s="23">
        <v>79.8</v>
      </c>
      <c r="I55" s="23">
        <v>72.98999999999999</v>
      </c>
      <c r="J55" s="23">
        <v>67.31999999999999</v>
      </c>
      <c r="K55" s="23">
        <v>70.81</v>
      </c>
      <c r="L55" s="23">
        <v>63.75</v>
      </c>
      <c r="M55" s="23">
        <v>96.2</v>
      </c>
      <c r="N55" s="23">
        <v>91.5</v>
      </c>
      <c r="O55" s="23">
        <v>90.09999999999999</v>
      </c>
      <c r="P55" s="23">
        <v>90.31</v>
      </c>
      <c r="Q55" s="23">
        <v>58.84</v>
      </c>
      <c r="R55" s="23">
        <v>93.5</v>
      </c>
      <c r="S55" s="23">
        <v>94.7</v>
      </c>
      <c r="T55" s="23">
        <v>90.2</v>
      </c>
      <c r="U55" s="23">
        <v>88.39</v>
      </c>
      <c r="V55" s="23">
        <v>88.75</v>
      </c>
      <c r="W55" s="23">
        <v>57.8</v>
      </c>
      <c r="X55" s="23">
        <v>91.40000000000001</v>
      </c>
      <c r="Y55" s="8"/>
      <c r="Z55" s="8"/>
      <c r="AA55" s="23">
        <f>AA54+1</f>
        <v>1184</v>
      </c>
      <c r="AB55" s="8"/>
    </row>
    <row r="56" ht="16" customHeight="1">
      <c r="A56" s="19">
        <v>45642</v>
      </c>
      <c r="B56" s="23">
        <v>82.59999999999999</v>
      </c>
      <c r="C56" s="23">
        <v>75.09999999999999</v>
      </c>
      <c r="D56" s="23">
        <v>68.54000000000001</v>
      </c>
      <c r="E56" s="23">
        <v>73.40000000000001</v>
      </c>
      <c r="F56" s="23">
        <v>64.69</v>
      </c>
      <c r="G56" s="23">
        <v>69.45</v>
      </c>
      <c r="H56" s="23">
        <v>80.3</v>
      </c>
      <c r="I56" s="23">
        <v>74.89</v>
      </c>
      <c r="J56" s="23">
        <v>68.5</v>
      </c>
      <c r="K56" s="23">
        <v>72.09999999999999</v>
      </c>
      <c r="L56" s="23">
        <v>64.45999999999999</v>
      </c>
      <c r="M56" s="23">
        <v>96.2</v>
      </c>
      <c r="N56" s="23">
        <v>91.84999999999999</v>
      </c>
      <c r="O56" s="23">
        <v>89.7</v>
      </c>
      <c r="P56" s="23">
        <v>89.73</v>
      </c>
      <c r="Q56" s="23">
        <v>59.18</v>
      </c>
      <c r="R56" s="23">
        <v>92.8</v>
      </c>
      <c r="S56" s="23">
        <v>94.55</v>
      </c>
      <c r="T56" s="23">
        <v>90.34999999999999</v>
      </c>
      <c r="U56" s="23">
        <v>88.3</v>
      </c>
      <c r="V56" s="23">
        <v>88.04000000000001</v>
      </c>
      <c r="W56" s="23">
        <v>58.1</v>
      </c>
      <c r="X56" s="23">
        <v>91.34999999999999</v>
      </c>
      <c r="Y56" s="8"/>
      <c r="Z56" s="8"/>
      <c r="AA56" s="23">
        <f>AA55+1</f>
        <v>1185</v>
      </c>
      <c r="AB56" s="8"/>
    </row>
    <row r="57" ht="16" customHeight="1">
      <c r="A57" s="19">
        <v>45643</v>
      </c>
      <c r="B57" s="23">
        <v>82.98</v>
      </c>
      <c r="C57" s="23">
        <v>74.59999999999999</v>
      </c>
      <c r="D57" s="23">
        <v>68.59999999999999</v>
      </c>
      <c r="E57" s="23">
        <v>72.8</v>
      </c>
      <c r="F57" s="23">
        <v>64.08</v>
      </c>
      <c r="G57" s="23">
        <v>68.5</v>
      </c>
      <c r="H57" s="23">
        <v>80.23</v>
      </c>
      <c r="I57" s="23">
        <v>73.8</v>
      </c>
      <c r="J57" s="23">
        <v>67.90000000000001</v>
      </c>
      <c r="K57" s="23">
        <v>72.26000000000001</v>
      </c>
      <c r="L57" s="23">
        <v>64.59999999999999</v>
      </c>
      <c r="M57" s="23">
        <v>96.05</v>
      </c>
      <c r="N57" s="23">
        <v>91.59999999999999</v>
      </c>
      <c r="O57" s="23">
        <v>89.36</v>
      </c>
      <c r="P57" s="23">
        <v>89.25</v>
      </c>
      <c r="Q57" s="23">
        <v>58.05</v>
      </c>
      <c r="R57" s="23">
        <v>92.45</v>
      </c>
      <c r="S57" s="23">
        <v>94.75</v>
      </c>
      <c r="T57" s="23">
        <v>90.2</v>
      </c>
      <c r="U57" s="23">
        <v>87.95</v>
      </c>
      <c r="V57" s="23">
        <v>87.7</v>
      </c>
      <c r="W57" s="23">
        <v>58.5</v>
      </c>
      <c r="X57" s="23">
        <v>90.95</v>
      </c>
      <c r="Y57" s="8"/>
      <c r="Z57" s="8"/>
      <c r="AA57" s="23">
        <f>AA56+1</f>
        <v>1186</v>
      </c>
      <c r="AB57" s="8"/>
    </row>
    <row r="58" ht="16" customHeight="1">
      <c r="A58" s="19">
        <v>45644</v>
      </c>
      <c r="B58" s="23">
        <v>83.3</v>
      </c>
      <c r="C58" s="23">
        <v>76</v>
      </c>
      <c r="D58" s="23">
        <v>68.79000000000001</v>
      </c>
      <c r="E58" s="23">
        <v>73.16</v>
      </c>
      <c r="F58" s="23">
        <v>64.84999999999999</v>
      </c>
      <c r="G58" s="23">
        <v>70.09999999999999</v>
      </c>
      <c r="H58" s="23">
        <v>81.7</v>
      </c>
      <c r="I58" s="23">
        <v>75.7</v>
      </c>
      <c r="J58" s="23">
        <v>68.90000000000001</v>
      </c>
      <c r="K58" s="23">
        <v>72.59999999999999</v>
      </c>
      <c r="L58" s="23">
        <v>65.40000000000001</v>
      </c>
      <c r="M58" s="23">
        <v>96.75</v>
      </c>
      <c r="N58" s="23">
        <v>91.3</v>
      </c>
      <c r="O58" s="23">
        <v>89.3</v>
      </c>
      <c r="P58" s="23">
        <v>90.09</v>
      </c>
      <c r="Q58" s="23">
        <v>59.66</v>
      </c>
      <c r="R58" s="23">
        <v>92.40000000000001</v>
      </c>
      <c r="S58" s="23">
        <v>94.29000000000001</v>
      </c>
      <c r="T58" s="23">
        <v>90.09999999999999</v>
      </c>
      <c r="U58" s="23">
        <v>88.15000000000001</v>
      </c>
      <c r="V58" s="23">
        <v>88.76000000000001</v>
      </c>
      <c r="W58" s="23">
        <v>58.4</v>
      </c>
      <c r="X58" s="23">
        <v>91.2</v>
      </c>
      <c r="Y58" s="8"/>
      <c r="Z58" s="8"/>
      <c r="AA58" s="23">
        <f>AA57+1</f>
        <v>1187</v>
      </c>
      <c r="AB58" s="8"/>
    </row>
    <row r="59" ht="16" customHeight="1">
      <c r="A59" s="19">
        <v>45645</v>
      </c>
      <c r="B59" s="23">
        <v>82.84</v>
      </c>
      <c r="C59" s="23">
        <v>74.88</v>
      </c>
      <c r="D59" s="23">
        <v>68</v>
      </c>
      <c r="E59" s="23">
        <v>72.34999999999999</v>
      </c>
      <c r="F59" s="23">
        <v>64.09999999999999</v>
      </c>
      <c r="G59" s="23">
        <v>69.11</v>
      </c>
      <c r="H59" s="23">
        <v>81.02</v>
      </c>
      <c r="I59" s="23">
        <v>74.17</v>
      </c>
      <c r="J59" s="23">
        <v>67.68000000000001</v>
      </c>
      <c r="K59" s="23">
        <v>71.65000000000001</v>
      </c>
      <c r="L59" s="23">
        <v>64.3</v>
      </c>
      <c r="M59" s="23">
        <v>96.09999999999999</v>
      </c>
      <c r="N59" s="23">
        <v>91.40000000000001</v>
      </c>
      <c r="O59" s="23">
        <v>89.06</v>
      </c>
      <c r="P59" s="23">
        <v>89.09999999999999</v>
      </c>
      <c r="Q59" s="23">
        <v>59.43</v>
      </c>
      <c r="R59" s="23">
        <v>92.15000000000001</v>
      </c>
      <c r="S59" s="23">
        <v>95</v>
      </c>
      <c r="T59" s="23">
        <v>90.05</v>
      </c>
      <c r="U59" s="23">
        <v>88</v>
      </c>
      <c r="V59" s="23">
        <v>88.40000000000001</v>
      </c>
      <c r="W59" s="23">
        <v>58.75</v>
      </c>
      <c r="X59" s="23">
        <v>91</v>
      </c>
      <c r="Y59" s="8"/>
      <c r="Z59" s="8"/>
      <c r="AA59" s="23">
        <f>AA58+1</f>
        <v>1188</v>
      </c>
      <c r="AB59" s="8"/>
    </row>
    <row r="60" ht="16" customHeight="1">
      <c r="A60" s="19">
        <v>45646</v>
      </c>
      <c r="B60" s="23">
        <v>82.3</v>
      </c>
      <c r="C60" s="23">
        <v>74.51000000000001</v>
      </c>
      <c r="D60" s="23">
        <v>68.09999999999999</v>
      </c>
      <c r="E60" s="23">
        <v>72.79000000000001</v>
      </c>
      <c r="F60" s="23">
        <v>64.28</v>
      </c>
      <c r="G60" s="23">
        <v>69.75</v>
      </c>
      <c r="H60" s="23">
        <v>81</v>
      </c>
      <c r="I60" s="23">
        <v>73.61</v>
      </c>
      <c r="J60" s="23">
        <v>67.42</v>
      </c>
      <c r="K60" s="23">
        <v>71.34</v>
      </c>
      <c r="L60" s="23">
        <v>64.34</v>
      </c>
      <c r="M60" s="23">
        <v>95.40000000000001</v>
      </c>
      <c r="N60" s="23">
        <v>91.2</v>
      </c>
      <c r="O60" s="23">
        <v>89.64</v>
      </c>
      <c r="P60" s="23">
        <v>89.34999999999999</v>
      </c>
      <c r="Q60" s="23">
        <v>60.2</v>
      </c>
      <c r="R60" s="23">
        <v>91.90000000000001</v>
      </c>
      <c r="S60" s="23">
        <v>94.75</v>
      </c>
      <c r="T60" s="23">
        <v>90.09999999999999</v>
      </c>
      <c r="U60" s="23">
        <v>88.25</v>
      </c>
      <c r="V60" s="23">
        <v>88.04000000000001</v>
      </c>
      <c r="W60" s="23">
        <v>59.08</v>
      </c>
      <c r="X60" s="23">
        <v>90.8</v>
      </c>
      <c r="Y60" s="8"/>
      <c r="Z60" s="8"/>
      <c r="AA60" s="23">
        <f>AA59+1</f>
        <v>1189</v>
      </c>
      <c r="AB60" s="8"/>
    </row>
    <row r="61" ht="16" customHeight="1">
      <c r="A61" s="19">
        <v>45649</v>
      </c>
      <c r="B61" s="23">
        <v>83.15000000000001</v>
      </c>
      <c r="C61" s="23">
        <v>75.05</v>
      </c>
      <c r="D61" s="23">
        <v>68.5</v>
      </c>
      <c r="E61" s="23">
        <v>72.68000000000001</v>
      </c>
      <c r="F61" s="23">
        <v>64.81</v>
      </c>
      <c r="G61" s="23">
        <v>70</v>
      </c>
      <c r="H61" s="23">
        <v>81.09</v>
      </c>
      <c r="I61" s="23">
        <v>74.31</v>
      </c>
      <c r="J61" s="23">
        <v>68.73999999999999</v>
      </c>
      <c r="K61" s="23">
        <v>72.08</v>
      </c>
      <c r="L61" s="23">
        <v>65.06999999999999</v>
      </c>
      <c r="M61" s="23">
        <v>96.05</v>
      </c>
      <c r="N61" s="23">
        <v>91.41</v>
      </c>
      <c r="O61" s="23">
        <v>89.25</v>
      </c>
      <c r="P61" s="23">
        <v>89.41</v>
      </c>
      <c r="Q61" s="23">
        <v>60.63</v>
      </c>
      <c r="R61" s="23">
        <v>93</v>
      </c>
      <c r="S61" s="23">
        <v>94.5</v>
      </c>
      <c r="T61" s="23">
        <v>90.04000000000001</v>
      </c>
      <c r="U61" s="23">
        <v>88.3</v>
      </c>
      <c r="V61" s="23">
        <v>88.31999999999999</v>
      </c>
      <c r="W61" s="23">
        <v>59.7</v>
      </c>
      <c r="X61" s="23">
        <v>91.7</v>
      </c>
      <c r="Y61" s="8"/>
      <c r="Z61" s="8"/>
      <c r="AA61" s="23">
        <f>AA60+1</f>
        <v>1190</v>
      </c>
      <c r="AB61" s="8"/>
    </row>
    <row r="62" ht="16" customHeight="1">
      <c r="A62" s="19">
        <v>45652</v>
      </c>
      <c r="B62" s="23">
        <v>83.8</v>
      </c>
      <c r="C62" s="23">
        <v>75.75</v>
      </c>
      <c r="D62" s="23">
        <v>69.7</v>
      </c>
      <c r="E62" s="23">
        <v>73.59999999999999</v>
      </c>
      <c r="F62" s="23">
        <v>65.69</v>
      </c>
      <c r="G62" s="23">
        <v>70.59999999999999</v>
      </c>
      <c r="H62" s="23">
        <v>80.88</v>
      </c>
      <c r="I62" s="23">
        <v>75.26000000000001</v>
      </c>
      <c r="J62" s="23">
        <v>69.2</v>
      </c>
      <c r="K62" s="23">
        <v>72.8</v>
      </c>
      <c r="L62" s="23">
        <v>66</v>
      </c>
      <c r="M62" s="23">
        <v>95.5</v>
      </c>
      <c r="N62" s="23">
        <v>90.78</v>
      </c>
      <c r="O62" s="23">
        <v>89</v>
      </c>
      <c r="P62" s="23">
        <v>90.09</v>
      </c>
      <c r="Q62" s="23">
        <v>61.42</v>
      </c>
      <c r="R62" s="23">
        <v>93.23999999999999</v>
      </c>
      <c r="S62" s="23">
        <v>94.40000000000001</v>
      </c>
      <c r="T62" s="23">
        <v>89.84999999999999</v>
      </c>
      <c r="U62" s="23">
        <v>87.84999999999999</v>
      </c>
      <c r="V62" s="23">
        <v>88.40000000000001</v>
      </c>
      <c r="W62" s="23">
        <v>60.86</v>
      </c>
      <c r="X62" s="23">
        <v>92.09999999999999</v>
      </c>
      <c r="Y62" s="8"/>
      <c r="Z62" s="8"/>
      <c r="AA62" s="23">
        <f>AA61+1</f>
        <v>1191</v>
      </c>
      <c r="AB62" s="8"/>
    </row>
    <row r="63" ht="16" customHeight="1">
      <c r="A63" s="19">
        <v>45653</v>
      </c>
      <c r="B63" s="23">
        <v>83.51000000000001</v>
      </c>
      <c r="C63" s="23">
        <v>75.37</v>
      </c>
      <c r="D63" s="23">
        <v>70</v>
      </c>
      <c r="E63" s="23">
        <v>74</v>
      </c>
      <c r="F63" s="23">
        <v>65.51000000000001</v>
      </c>
      <c r="G63" s="23">
        <v>70.3</v>
      </c>
      <c r="H63" s="23">
        <v>81</v>
      </c>
      <c r="I63" s="23">
        <v>74.93000000000001</v>
      </c>
      <c r="J63" s="23">
        <v>69.2</v>
      </c>
      <c r="K63" s="23">
        <v>73.36</v>
      </c>
      <c r="L63" s="23">
        <v>66.40000000000001</v>
      </c>
      <c r="M63" s="23">
        <v>95.59999999999999</v>
      </c>
      <c r="N63" s="23">
        <v>91.45</v>
      </c>
      <c r="O63" s="23">
        <v>90</v>
      </c>
      <c r="P63" s="23">
        <v>90.7</v>
      </c>
      <c r="Q63" s="23">
        <v>52.92</v>
      </c>
      <c r="R63" s="23">
        <v>93.75</v>
      </c>
      <c r="S63" s="23">
        <v>94.90000000000001</v>
      </c>
      <c r="T63" s="23">
        <v>90.3</v>
      </c>
      <c r="U63" s="23">
        <v>88.59999999999999</v>
      </c>
      <c r="V63" s="23">
        <v>89.73</v>
      </c>
      <c r="W63" s="23">
        <v>52.776</v>
      </c>
      <c r="X63" s="23">
        <v>92.5</v>
      </c>
      <c r="Y63" s="8"/>
      <c r="Z63" s="8"/>
      <c r="AA63" s="23">
        <f>AA62+1</f>
        <v>1192</v>
      </c>
      <c r="AB63" s="8"/>
    </row>
    <row r="64" ht="16" customHeight="1">
      <c r="A64" s="19">
        <v>45656</v>
      </c>
      <c r="B64" s="23">
        <v>84.01000000000001</v>
      </c>
      <c r="C64" s="23">
        <v>75.87</v>
      </c>
      <c r="D64" s="23">
        <v>70</v>
      </c>
      <c r="E64" s="23">
        <v>74</v>
      </c>
      <c r="F64" s="23">
        <v>65.7</v>
      </c>
      <c r="G64" s="23">
        <v>72.05</v>
      </c>
      <c r="H64" s="23">
        <v>82.09999999999999</v>
      </c>
      <c r="I64" s="23">
        <v>75.22</v>
      </c>
      <c r="J64" s="23">
        <v>69.89</v>
      </c>
      <c r="K64" s="23">
        <v>73.90000000000001</v>
      </c>
      <c r="L64" s="23">
        <v>66</v>
      </c>
      <c r="M64" s="23">
        <v>96.45</v>
      </c>
      <c r="N64" s="23">
        <v>91.41</v>
      </c>
      <c r="O64" s="23">
        <v>90</v>
      </c>
      <c r="P64" s="23">
        <v>89.81999999999999</v>
      </c>
      <c r="Q64" s="23">
        <v>51.21</v>
      </c>
      <c r="R64" s="23">
        <v>94.65000000000001</v>
      </c>
      <c r="S64" s="23">
        <v>95</v>
      </c>
      <c r="T64" s="23">
        <v>90.06</v>
      </c>
      <c r="U64" s="23">
        <v>89</v>
      </c>
      <c r="V64" s="23">
        <v>89</v>
      </c>
      <c r="W64" s="23">
        <v>50.57</v>
      </c>
      <c r="X64" s="23">
        <v>93.5</v>
      </c>
      <c r="Y64" s="8"/>
      <c r="Z64" s="8"/>
      <c r="AA64" s="23">
        <f>AA63+1</f>
        <v>1193</v>
      </c>
      <c r="AB64" s="8"/>
    </row>
    <row r="65" ht="16" customHeight="1">
      <c r="A65" s="19">
        <v>45659</v>
      </c>
      <c r="B65" s="23">
        <v>84.23999999999999</v>
      </c>
      <c r="C65" s="23">
        <v>76.8</v>
      </c>
      <c r="D65" s="23">
        <v>70.95</v>
      </c>
      <c r="E65" s="23">
        <v>74.89</v>
      </c>
      <c r="F65" s="23">
        <v>66.34999999999999</v>
      </c>
      <c r="G65" s="23">
        <v>71.01000000000001</v>
      </c>
      <c r="H65" s="23">
        <v>83</v>
      </c>
      <c r="I65" s="23">
        <v>76.2</v>
      </c>
      <c r="J65" s="23">
        <v>70.01000000000001</v>
      </c>
      <c r="K65" s="23">
        <v>74.5</v>
      </c>
      <c r="L65" s="23">
        <v>66.98999999999999</v>
      </c>
      <c r="M65" s="23">
        <v>96.08</v>
      </c>
      <c r="N65" s="23">
        <v>91.3</v>
      </c>
      <c r="O65" s="23">
        <v>89.92</v>
      </c>
      <c r="P65" s="23">
        <v>90.23999999999999</v>
      </c>
      <c r="Q65" s="23">
        <v>50.7</v>
      </c>
      <c r="R65" s="23">
        <v>94.17</v>
      </c>
      <c r="S65" s="23">
        <v>94.8</v>
      </c>
      <c r="T65" s="23">
        <v>90.2</v>
      </c>
      <c r="U65" s="23">
        <v>88.8</v>
      </c>
      <c r="V65" s="23">
        <v>89.3</v>
      </c>
      <c r="W65" s="23">
        <v>50.26</v>
      </c>
      <c r="X65" s="23">
        <v>93.16</v>
      </c>
      <c r="Y65" s="8"/>
      <c r="Z65" s="8"/>
      <c r="AA65" s="23">
        <f>AA64+1</f>
        <v>1194</v>
      </c>
      <c r="AB65" s="8"/>
    </row>
    <row r="66" ht="16" customHeight="1">
      <c r="A66" s="19">
        <v>45660</v>
      </c>
      <c r="B66" s="23">
        <v>85.3</v>
      </c>
      <c r="C66" s="23">
        <v>77.04000000000001</v>
      </c>
      <c r="D66" s="23">
        <v>71.2</v>
      </c>
      <c r="E66" s="23">
        <v>75.42</v>
      </c>
      <c r="F66" s="23">
        <v>66.90000000000001</v>
      </c>
      <c r="G66" s="23">
        <v>72.5</v>
      </c>
      <c r="H66" s="23">
        <v>83.84</v>
      </c>
      <c r="I66" s="23">
        <v>76.26000000000001</v>
      </c>
      <c r="J66" s="23">
        <v>70.90000000000001</v>
      </c>
      <c r="K66" s="23">
        <v>75.45</v>
      </c>
      <c r="L66" s="23">
        <v>67.31999999999999</v>
      </c>
      <c r="M66" s="23">
        <v>97</v>
      </c>
      <c r="N66" s="23">
        <v>93</v>
      </c>
      <c r="O66" s="23">
        <v>91.23999999999999</v>
      </c>
      <c r="P66" s="23">
        <v>91.5</v>
      </c>
      <c r="Q66" s="23">
        <v>52.99</v>
      </c>
      <c r="R66" s="23">
        <v>95.39</v>
      </c>
      <c r="S66" s="23">
        <v>95.25</v>
      </c>
      <c r="T66" s="23">
        <v>90.90000000000001</v>
      </c>
      <c r="U66" s="23">
        <v>89</v>
      </c>
      <c r="V66" s="23">
        <v>90.38</v>
      </c>
      <c r="W66" s="23">
        <v>51.95</v>
      </c>
      <c r="X66" s="23">
        <v>93.90000000000001</v>
      </c>
      <c r="Y66" s="8"/>
      <c r="Z66" s="8"/>
      <c r="AA66" s="23">
        <f>AA65+1</f>
        <v>1195</v>
      </c>
      <c r="AB66" s="8"/>
    </row>
    <row r="67" ht="16" customHeight="1">
      <c r="A67" s="19">
        <v>45663</v>
      </c>
      <c r="B67" s="23">
        <v>85.22</v>
      </c>
      <c r="C67" s="23">
        <v>78.02</v>
      </c>
      <c r="D67" s="23">
        <v>72.16</v>
      </c>
      <c r="E67" s="23">
        <v>76.33</v>
      </c>
      <c r="F67" s="23">
        <v>67.5</v>
      </c>
      <c r="G67" s="23">
        <v>72.95</v>
      </c>
      <c r="H67" s="23">
        <v>83.73</v>
      </c>
      <c r="I67" s="23">
        <v>76.93000000000001</v>
      </c>
      <c r="J67" s="23">
        <v>71.69</v>
      </c>
      <c r="K67" s="23">
        <v>75.78</v>
      </c>
      <c r="L67" s="23">
        <v>67.73999999999999</v>
      </c>
      <c r="M67" s="23">
        <v>97.59999999999999</v>
      </c>
      <c r="N67" s="23">
        <v>93.84</v>
      </c>
      <c r="O67" s="23">
        <v>92.3</v>
      </c>
      <c r="P67" s="23">
        <v>92.3</v>
      </c>
      <c r="Q67" s="23">
        <v>52.99</v>
      </c>
      <c r="R67" s="23">
        <v>95.5</v>
      </c>
      <c r="S67" s="23">
        <v>95.90000000000001</v>
      </c>
      <c r="T67" s="23">
        <v>92.2</v>
      </c>
      <c r="U67" s="23">
        <v>90.79000000000001</v>
      </c>
      <c r="V67" s="23">
        <v>90.69</v>
      </c>
      <c r="W67" s="23">
        <v>52.21</v>
      </c>
      <c r="X67" s="23">
        <v>93.95</v>
      </c>
      <c r="Y67" s="8"/>
      <c r="Z67" s="8"/>
      <c r="AA67" s="23">
        <f>AA66+1</f>
        <v>1196</v>
      </c>
      <c r="AB67" s="8"/>
    </row>
    <row r="68" ht="16" customHeight="1">
      <c r="A68" s="19">
        <v>45664</v>
      </c>
      <c r="B68" s="23">
        <v>84.94</v>
      </c>
      <c r="C68" s="23">
        <v>77.81999999999999</v>
      </c>
      <c r="D68" s="23">
        <v>72.5</v>
      </c>
      <c r="E68" s="23">
        <v>76.65000000000001</v>
      </c>
      <c r="F68" s="23">
        <v>67.97</v>
      </c>
      <c r="G68" s="23">
        <v>72.84999999999999</v>
      </c>
      <c r="H68" s="23">
        <v>82.29000000000001</v>
      </c>
      <c r="I68" s="23">
        <v>76.73999999999999</v>
      </c>
      <c r="J68" s="23">
        <v>71.59999999999999</v>
      </c>
      <c r="K68" s="23">
        <v>75.66</v>
      </c>
      <c r="L68" s="23">
        <v>67.95</v>
      </c>
      <c r="M68" s="23">
        <v>98</v>
      </c>
      <c r="N68" s="23">
        <v>94.40000000000001</v>
      </c>
      <c r="O68" s="23">
        <v>92.65000000000001</v>
      </c>
      <c r="P68" s="23">
        <v>92.59999999999999</v>
      </c>
      <c r="Q68" s="23">
        <v>51.09</v>
      </c>
      <c r="R68" s="23">
        <v>95.90000000000001</v>
      </c>
      <c r="S68" s="23">
        <v>96</v>
      </c>
      <c r="T68" s="23">
        <v>93</v>
      </c>
      <c r="U68" s="23">
        <v>91.12</v>
      </c>
      <c r="V68" s="23">
        <v>91.40000000000001</v>
      </c>
      <c r="W68" s="23">
        <v>50.1</v>
      </c>
      <c r="X68" s="23">
        <v>94.2</v>
      </c>
      <c r="Y68" s="8"/>
      <c r="Z68" s="8"/>
      <c r="AA68" s="23">
        <f>AA67+1</f>
        <v>1197</v>
      </c>
      <c r="AB68" s="8"/>
    </row>
    <row r="69" ht="16" customHeight="1">
      <c r="A69" s="19">
        <v>45665</v>
      </c>
      <c r="B69" s="23">
        <v>74.15000000000001</v>
      </c>
      <c r="C69" s="23">
        <v>69.16</v>
      </c>
      <c r="D69" s="23">
        <v>70.40000000000001</v>
      </c>
      <c r="E69" s="23">
        <v>74.14</v>
      </c>
      <c r="F69" s="23">
        <v>66</v>
      </c>
      <c r="G69" s="23">
        <v>68.78</v>
      </c>
      <c r="H69" s="23">
        <v>71.28</v>
      </c>
      <c r="I69" s="23">
        <v>68.34999999999999</v>
      </c>
      <c r="J69" s="23">
        <v>69.98</v>
      </c>
      <c r="K69" s="23">
        <v>73.31</v>
      </c>
      <c r="L69" s="23">
        <v>66.09</v>
      </c>
      <c r="M69" s="23">
        <v>97.73999999999999</v>
      </c>
      <c r="N69" s="23">
        <v>94.34999999999999</v>
      </c>
      <c r="O69" s="23">
        <v>92.8</v>
      </c>
      <c r="P69" s="23">
        <v>92.53</v>
      </c>
      <c r="Q69" s="23">
        <v>52.17</v>
      </c>
      <c r="R69" s="23">
        <v>95.92</v>
      </c>
      <c r="S69" s="23">
        <v>96.2</v>
      </c>
      <c r="T69" s="23">
        <v>92.5</v>
      </c>
      <c r="U69" s="23">
        <v>90.90000000000001</v>
      </c>
      <c r="V69" s="23">
        <v>90.8</v>
      </c>
      <c r="W69" s="23">
        <v>50.96</v>
      </c>
      <c r="X69" s="23">
        <v>93.90000000000001</v>
      </c>
      <c r="Y69" s="8"/>
      <c r="Z69" s="8"/>
      <c r="AA69" s="23">
        <f>AA68+1</f>
        <v>1198</v>
      </c>
      <c r="AB69" s="8"/>
    </row>
    <row r="70" ht="16" customHeight="1">
      <c r="A70" s="19">
        <v>45666</v>
      </c>
      <c r="B70" s="23">
        <v>74.59999999999999</v>
      </c>
      <c r="C70" s="23">
        <v>68.90000000000001</v>
      </c>
      <c r="D70" s="23">
        <v>70.8</v>
      </c>
      <c r="E70" s="23">
        <v>74.45</v>
      </c>
      <c r="F70" s="23">
        <v>66.66</v>
      </c>
      <c r="G70" s="23">
        <v>68.7</v>
      </c>
      <c r="H70" s="23">
        <v>73.3</v>
      </c>
      <c r="I70" s="23">
        <v>68.51000000000001</v>
      </c>
      <c r="J70" s="23">
        <v>70</v>
      </c>
      <c r="K70" s="23">
        <v>73.63</v>
      </c>
      <c r="L70" s="23">
        <v>66.75</v>
      </c>
      <c r="M70" s="23">
        <v>97.59999999999999</v>
      </c>
      <c r="N70" s="23">
        <v>93.91</v>
      </c>
      <c r="O70" s="23">
        <v>92.89</v>
      </c>
      <c r="P70" s="23">
        <v>93.09999999999999</v>
      </c>
      <c r="Q70" s="23">
        <v>51.94</v>
      </c>
      <c r="R70" s="23">
        <v>95.5</v>
      </c>
      <c r="S70" s="23">
        <v>95.90000000000001</v>
      </c>
      <c r="T70" s="23">
        <v>92.5</v>
      </c>
      <c r="U70" s="23">
        <v>91.14</v>
      </c>
      <c r="V70" s="23">
        <v>91.2</v>
      </c>
      <c r="W70" s="23">
        <v>50.98</v>
      </c>
      <c r="X70" s="23">
        <v>93.8</v>
      </c>
      <c r="Y70" s="8"/>
      <c r="Z70" s="8"/>
      <c r="AA70" s="23">
        <f>AA69+1</f>
        <v>1199</v>
      </c>
      <c r="AB70" s="8"/>
    </row>
    <row r="71" ht="16" customHeight="1">
      <c r="A71" s="19">
        <v>45667</v>
      </c>
      <c r="B71" s="23">
        <v>74.62</v>
      </c>
      <c r="C71" s="23">
        <v>68.84</v>
      </c>
      <c r="D71" s="23">
        <v>70.14</v>
      </c>
      <c r="E71" s="23">
        <v>74.55</v>
      </c>
      <c r="F71" s="23">
        <v>65.84999999999999</v>
      </c>
      <c r="G71" s="23">
        <v>69</v>
      </c>
      <c r="H71" s="23">
        <v>72.40000000000001</v>
      </c>
      <c r="I71" s="23">
        <v>68.48</v>
      </c>
      <c r="J71" s="23">
        <v>70</v>
      </c>
      <c r="K71" s="23">
        <v>73.45</v>
      </c>
      <c r="L71" s="23">
        <v>66.5</v>
      </c>
      <c r="M71" s="23">
        <v>97.73999999999999</v>
      </c>
      <c r="N71" s="23">
        <v>94.2</v>
      </c>
      <c r="O71" s="23">
        <v>92.8</v>
      </c>
      <c r="P71" s="23">
        <v>93.72</v>
      </c>
      <c r="Q71" s="23">
        <v>52</v>
      </c>
      <c r="R71" s="23">
        <v>96.06999999999999</v>
      </c>
      <c r="S71" s="23">
        <v>95.40000000000001</v>
      </c>
      <c r="T71" s="23">
        <v>92.25</v>
      </c>
      <c r="U71" s="23">
        <v>90.90000000000001</v>
      </c>
      <c r="V71" s="23">
        <v>91.26000000000001</v>
      </c>
      <c r="W71" s="23">
        <v>50.85</v>
      </c>
      <c r="X71" s="23">
        <v>94.15000000000001</v>
      </c>
      <c r="Y71" s="8"/>
      <c r="Z71" s="8"/>
      <c r="AA71" s="23">
        <f>AA70+1</f>
        <v>1200</v>
      </c>
      <c r="AB71" s="8"/>
    </row>
    <row r="72" ht="16" customHeight="1">
      <c r="A72" s="19">
        <v>45670</v>
      </c>
      <c r="B72" s="23">
        <v>73.09999999999999</v>
      </c>
      <c r="C72" s="23">
        <v>68.53</v>
      </c>
      <c r="D72" s="23">
        <v>69.59999999999999</v>
      </c>
      <c r="E72" s="23">
        <v>74</v>
      </c>
      <c r="F72" s="23">
        <v>64.87</v>
      </c>
      <c r="G72" s="23">
        <v>68.89</v>
      </c>
      <c r="H72" s="23">
        <v>72.31</v>
      </c>
      <c r="I72" s="23">
        <v>68.47</v>
      </c>
      <c r="J72" s="23">
        <v>69.48</v>
      </c>
      <c r="K72" s="23">
        <v>72.17</v>
      </c>
      <c r="L72" s="23">
        <v>65.34999999999999</v>
      </c>
      <c r="M72" s="23">
        <v>98.23999999999999</v>
      </c>
      <c r="N72" s="23">
        <v>94.5</v>
      </c>
      <c r="O72" s="23">
        <v>92.64</v>
      </c>
      <c r="P72" s="23">
        <v>92.90000000000001</v>
      </c>
      <c r="Q72" s="23">
        <v>53.47</v>
      </c>
      <c r="R72" s="23">
        <v>95.97</v>
      </c>
      <c r="S72" s="23">
        <v>95.98999999999999</v>
      </c>
      <c r="T72" s="23">
        <v>92.75</v>
      </c>
      <c r="U72" s="23">
        <v>90.7</v>
      </c>
      <c r="V72" s="23">
        <v>91.09999999999999</v>
      </c>
      <c r="W72" s="23">
        <v>50.85</v>
      </c>
      <c r="X72" s="23">
        <v>94</v>
      </c>
      <c r="Y72" s="8"/>
      <c r="Z72" s="8"/>
      <c r="AA72" s="23">
        <f>AA71+1</f>
        <v>1201</v>
      </c>
      <c r="AB72" s="8"/>
    </row>
    <row r="73" ht="16" customHeight="1">
      <c r="A73" s="19">
        <v>45671</v>
      </c>
      <c r="B73" s="23">
        <v>72.33</v>
      </c>
      <c r="C73" s="23">
        <v>68.77</v>
      </c>
      <c r="D73" s="23">
        <v>69.95</v>
      </c>
      <c r="E73" s="23">
        <v>74.36</v>
      </c>
      <c r="F73" s="23">
        <v>65.5</v>
      </c>
      <c r="G73" s="23">
        <v>67.48</v>
      </c>
      <c r="H73" s="23">
        <v>71.7</v>
      </c>
      <c r="I73" s="23">
        <v>68.62</v>
      </c>
      <c r="J73" s="23">
        <v>69.87</v>
      </c>
      <c r="K73" s="23">
        <v>72.09</v>
      </c>
      <c r="L73" s="23">
        <v>65.98</v>
      </c>
      <c r="M73" s="23">
        <v>98.23999999999999</v>
      </c>
      <c r="N73" s="23">
        <v>94.25</v>
      </c>
      <c r="O73" s="23">
        <v>92.59</v>
      </c>
      <c r="P73" s="23">
        <v>93.36</v>
      </c>
      <c r="Q73" s="23">
        <v>52.32</v>
      </c>
      <c r="R73" s="23">
        <v>95.81999999999999</v>
      </c>
      <c r="S73" s="23">
        <v>96.3</v>
      </c>
      <c r="T73" s="23">
        <v>92.3</v>
      </c>
      <c r="U73" s="23">
        <v>90.75</v>
      </c>
      <c r="V73" s="23">
        <v>91.5</v>
      </c>
      <c r="W73" s="23">
        <v>51.36</v>
      </c>
      <c r="X73" s="23">
        <v>94.15000000000001</v>
      </c>
      <c r="Y73" s="8"/>
      <c r="Z73" s="8"/>
      <c r="AA73" s="23">
        <f>AA72+1</f>
        <v>1202</v>
      </c>
      <c r="AB73" s="8"/>
    </row>
    <row r="74" ht="16" customHeight="1">
      <c r="A74" s="19">
        <v>45672</v>
      </c>
      <c r="B74" s="23">
        <v>72.3</v>
      </c>
      <c r="C74" s="23">
        <v>68.11</v>
      </c>
      <c r="D74" s="23">
        <v>69.55</v>
      </c>
      <c r="E74" s="23">
        <v>73.51000000000001</v>
      </c>
      <c r="F74" s="23">
        <v>65.16</v>
      </c>
      <c r="G74" s="23">
        <v>67.48999999999999</v>
      </c>
      <c r="H74" s="23">
        <v>71.34999999999999</v>
      </c>
      <c r="I74" s="23">
        <v>68</v>
      </c>
      <c r="J74" s="23">
        <v>69</v>
      </c>
      <c r="K74" s="23">
        <v>72.05</v>
      </c>
      <c r="L74" s="23">
        <v>65.39</v>
      </c>
      <c r="M74" s="23">
        <v>98.15000000000001</v>
      </c>
      <c r="N74" s="23">
        <v>94.25</v>
      </c>
      <c r="O74" s="23">
        <v>92.5</v>
      </c>
      <c r="P74" s="23">
        <v>93.19</v>
      </c>
      <c r="Q74" s="23">
        <v>51.46</v>
      </c>
      <c r="R74" s="23">
        <v>95.91</v>
      </c>
      <c r="S74" s="23">
        <v>96.8</v>
      </c>
      <c r="T74" s="23">
        <v>92.3</v>
      </c>
      <c r="U74" s="23">
        <v>90.83</v>
      </c>
      <c r="V74" s="23">
        <v>91.2</v>
      </c>
      <c r="W74" s="23">
        <v>51.48</v>
      </c>
      <c r="X74" s="23">
        <v>94.15000000000001</v>
      </c>
      <c r="Y74" s="8"/>
      <c r="Z74" s="8"/>
      <c r="AA74" s="23">
        <f>AA73+1</f>
        <v>1203</v>
      </c>
      <c r="AB74" s="8"/>
    </row>
    <row r="75" ht="16" customHeight="1">
      <c r="A75" s="19">
        <v>45673</v>
      </c>
      <c r="B75" s="23">
        <v>71.86</v>
      </c>
      <c r="C75" s="23">
        <v>67.75</v>
      </c>
      <c r="D75" s="23">
        <v>68.89</v>
      </c>
      <c r="E75" s="23">
        <v>72.79000000000001</v>
      </c>
      <c r="F75" s="23">
        <v>64.43000000000001</v>
      </c>
      <c r="G75" s="23">
        <v>66.17</v>
      </c>
      <c r="H75" s="23">
        <v>70.17</v>
      </c>
      <c r="I75" s="23">
        <v>67.7</v>
      </c>
      <c r="J75" s="23">
        <v>68.52</v>
      </c>
      <c r="K75" s="23">
        <v>71.2</v>
      </c>
      <c r="L75" s="23">
        <v>64</v>
      </c>
      <c r="M75" s="23">
        <v>98</v>
      </c>
      <c r="N75" s="23">
        <v>94.29000000000001</v>
      </c>
      <c r="O75" s="23">
        <v>91.90000000000001</v>
      </c>
      <c r="P75" s="23">
        <v>92.39</v>
      </c>
      <c r="Q75" s="23">
        <v>51.9</v>
      </c>
      <c r="R75" s="23">
        <v>95.78</v>
      </c>
      <c r="S75" s="23">
        <v>96.19</v>
      </c>
      <c r="T75" s="23">
        <v>92.5</v>
      </c>
      <c r="U75" s="23">
        <v>90.15000000000001</v>
      </c>
      <c r="V75" s="23">
        <v>90.8</v>
      </c>
      <c r="W75" s="23">
        <v>51.13</v>
      </c>
      <c r="X75" s="23">
        <v>93.84999999999999</v>
      </c>
      <c r="Y75" s="8"/>
      <c r="Z75" s="8"/>
      <c r="AA75" s="23">
        <f>AA74+1</f>
        <v>1204</v>
      </c>
      <c r="AB75" s="8"/>
    </row>
    <row r="76" ht="16" customHeight="1">
      <c r="A76" s="19">
        <v>45674</v>
      </c>
      <c r="B76" s="23">
        <v>70.48</v>
      </c>
      <c r="C76" s="23">
        <v>66.90000000000001</v>
      </c>
      <c r="D76" s="23">
        <v>67.87</v>
      </c>
      <c r="E76" s="23">
        <v>72.09999999999999</v>
      </c>
      <c r="F76" s="23">
        <v>63.14</v>
      </c>
      <c r="G76" s="23">
        <v>65.3</v>
      </c>
      <c r="H76" s="23">
        <v>69.34</v>
      </c>
      <c r="I76" s="23">
        <v>66.93000000000001</v>
      </c>
      <c r="J76" s="23">
        <v>67.59999999999999</v>
      </c>
      <c r="K76" s="23">
        <v>70.61</v>
      </c>
      <c r="L76" s="23">
        <v>63.25</v>
      </c>
      <c r="M76" s="23">
        <v>97.8</v>
      </c>
      <c r="N76" s="23">
        <v>94.05</v>
      </c>
      <c r="O76" s="23">
        <v>92.11</v>
      </c>
      <c r="P76" s="23">
        <v>92.45</v>
      </c>
      <c r="Q76" s="23">
        <v>51.68</v>
      </c>
      <c r="R76" s="23">
        <v>95.75</v>
      </c>
      <c r="S76" s="23">
        <v>96</v>
      </c>
      <c r="T76" s="23">
        <v>92.40000000000001</v>
      </c>
      <c r="U76" s="23">
        <v>90.40000000000001</v>
      </c>
      <c r="V76" s="23">
        <v>90.65000000000001</v>
      </c>
      <c r="W76" s="23">
        <v>50.76</v>
      </c>
      <c r="X76" s="23">
        <v>94</v>
      </c>
      <c r="Y76" s="8"/>
      <c r="Z76" s="8"/>
      <c r="AA76" s="23">
        <f>AA75+1</f>
        <v>1205</v>
      </c>
      <c r="AB76" s="8"/>
    </row>
    <row r="77" ht="16" customHeight="1">
      <c r="A77" s="19">
        <v>45677</v>
      </c>
      <c r="B77" s="23">
        <v>70.5</v>
      </c>
      <c r="C77" s="23">
        <v>66.8</v>
      </c>
      <c r="D77" s="23">
        <v>67.40000000000001</v>
      </c>
      <c r="E77" s="23">
        <v>72.28</v>
      </c>
      <c r="F77" s="23">
        <v>62.8</v>
      </c>
      <c r="G77" s="23">
        <v>65.2</v>
      </c>
      <c r="H77" s="23">
        <v>69.7</v>
      </c>
      <c r="I77" s="23">
        <v>66.98</v>
      </c>
      <c r="J77" s="23">
        <v>67.41</v>
      </c>
      <c r="K77" s="23">
        <v>70.59999999999999</v>
      </c>
      <c r="L77" s="23">
        <v>62.8</v>
      </c>
      <c r="M77" s="23">
        <v>97.5</v>
      </c>
      <c r="N77" s="23">
        <v>94.15000000000001</v>
      </c>
      <c r="O77" s="23">
        <v>92.59999999999999</v>
      </c>
      <c r="P77" s="23">
        <v>93.2</v>
      </c>
      <c r="Q77" s="23">
        <v>52.13</v>
      </c>
      <c r="R77" s="23">
        <v>95.8</v>
      </c>
      <c r="S77" s="23">
        <v>96</v>
      </c>
      <c r="T77" s="23">
        <v>92.5</v>
      </c>
      <c r="U77" s="23">
        <v>90.90000000000001</v>
      </c>
      <c r="V77" s="23">
        <v>91.5</v>
      </c>
      <c r="W77" s="23">
        <v>50.81</v>
      </c>
      <c r="X77" s="23">
        <v>94.15000000000001</v>
      </c>
      <c r="Y77" s="8"/>
      <c r="Z77" s="8"/>
      <c r="AA77" s="23">
        <f>AA76+1</f>
        <v>1206</v>
      </c>
      <c r="AB77" s="8"/>
    </row>
    <row r="78" ht="16" customHeight="1">
      <c r="A78" s="19">
        <v>45678</v>
      </c>
      <c r="B78" s="23">
        <v>71.48999999999999</v>
      </c>
      <c r="C78" s="23">
        <v>67.2</v>
      </c>
      <c r="D78" s="23">
        <v>68.34</v>
      </c>
      <c r="E78" s="23">
        <v>72.92</v>
      </c>
      <c r="F78" s="23">
        <v>63.91</v>
      </c>
      <c r="G78" s="23">
        <v>65.31</v>
      </c>
      <c r="H78" s="23">
        <v>70.84999999999999</v>
      </c>
      <c r="I78" s="23">
        <v>67.06</v>
      </c>
      <c r="J78" s="23">
        <v>67.98999999999999</v>
      </c>
      <c r="K78" s="23">
        <v>70.55</v>
      </c>
      <c r="L78" s="23">
        <v>63.87</v>
      </c>
      <c r="M78" s="23">
        <v>98.3</v>
      </c>
      <c r="N78" s="23">
        <v>94.2</v>
      </c>
      <c r="O78" s="23">
        <v>92.33</v>
      </c>
      <c r="P78" s="23">
        <v>92.68000000000001</v>
      </c>
      <c r="Q78" s="23">
        <v>51.69</v>
      </c>
      <c r="R78" s="23">
        <v>95.72</v>
      </c>
      <c r="S78" s="23">
        <v>97.02</v>
      </c>
      <c r="T78" s="23">
        <v>92.55</v>
      </c>
      <c r="U78" s="23">
        <v>90.56</v>
      </c>
      <c r="V78" s="23">
        <v>90.90000000000001</v>
      </c>
      <c r="W78" s="23">
        <v>50.68</v>
      </c>
      <c r="X78" s="23">
        <v>94</v>
      </c>
      <c r="Y78" s="8"/>
      <c r="Z78" s="8"/>
      <c r="AA78" s="23">
        <f>AA77+1</f>
        <v>1207</v>
      </c>
      <c r="AB78" s="8"/>
    </row>
    <row r="79" ht="16" customHeight="1">
      <c r="A79" s="19">
        <v>45679</v>
      </c>
      <c r="B79" s="23">
        <v>71.43000000000001</v>
      </c>
      <c r="C79" s="23">
        <v>66.7</v>
      </c>
      <c r="D79" s="23">
        <v>67.84999999999999</v>
      </c>
      <c r="E79" s="23">
        <v>72.01000000000001</v>
      </c>
      <c r="F79" s="23">
        <v>63.5</v>
      </c>
      <c r="G79" s="23">
        <v>65.90000000000001</v>
      </c>
      <c r="H79" s="23">
        <v>70.40000000000001</v>
      </c>
      <c r="I79" s="23">
        <v>66.02</v>
      </c>
      <c r="J79" s="23">
        <v>67.7</v>
      </c>
      <c r="K79" s="23">
        <v>70.58</v>
      </c>
      <c r="L79" s="23">
        <v>63.26</v>
      </c>
      <c r="M79" s="23">
        <v>98.5</v>
      </c>
      <c r="N79" s="23">
        <v>94.09999999999999</v>
      </c>
      <c r="O79" s="23">
        <v>92.09999999999999</v>
      </c>
      <c r="P79" s="23">
        <v>92.2</v>
      </c>
      <c r="Q79" s="23">
        <v>51.15</v>
      </c>
      <c r="R79" s="23">
        <v>95.8</v>
      </c>
      <c r="S79" s="23">
        <v>96.09999999999999</v>
      </c>
      <c r="T79" s="23">
        <v>92.5</v>
      </c>
      <c r="U79" s="23">
        <v>90.5</v>
      </c>
      <c r="V79" s="23">
        <v>90.59999999999999</v>
      </c>
      <c r="W79" s="23">
        <v>50.21</v>
      </c>
      <c r="X79" s="23">
        <v>94.15000000000001</v>
      </c>
      <c r="Y79" s="8"/>
      <c r="Z79" s="8"/>
      <c r="AA79" s="23">
        <f>AA78+1</f>
        <v>1208</v>
      </c>
      <c r="AB79" s="8"/>
    </row>
    <row r="80" ht="16" customHeight="1">
      <c r="A80" s="19">
        <v>45680</v>
      </c>
      <c r="B80" s="23">
        <v>70.66</v>
      </c>
      <c r="C80" s="23">
        <v>66.41</v>
      </c>
      <c r="D80" s="23">
        <v>67.83</v>
      </c>
      <c r="E80" s="23">
        <v>72.13</v>
      </c>
      <c r="F80" s="23">
        <v>63.4</v>
      </c>
      <c r="G80" s="23">
        <v>65.37</v>
      </c>
      <c r="H80" s="23">
        <v>70.25</v>
      </c>
      <c r="I80" s="23">
        <v>65.79000000000001</v>
      </c>
      <c r="J80" s="23">
        <v>67.45</v>
      </c>
      <c r="K80" s="23">
        <v>70.01000000000001</v>
      </c>
      <c r="L80" s="23">
        <v>62.96</v>
      </c>
      <c r="M80" s="23">
        <v>97.65000000000001</v>
      </c>
      <c r="N80" s="23">
        <v>93.75</v>
      </c>
      <c r="O80" s="23">
        <v>92</v>
      </c>
      <c r="P80" s="23">
        <v>92.09</v>
      </c>
      <c r="Q80" s="23">
        <v>51.61</v>
      </c>
      <c r="R80" s="23">
        <v>95.65000000000001</v>
      </c>
      <c r="S80" s="23">
        <v>95.86</v>
      </c>
      <c r="T80" s="23">
        <v>92.06999999999999</v>
      </c>
      <c r="U80" s="23">
        <v>90.36</v>
      </c>
      <c r="V80" s="23">
        <v>90.31</v>
      </c>
      <c r="W80" s="23">
        <v>50.76</v>
      </c>
      <c r="X80" s="23">
        <v>94.23</v>
      </c>
      <c r="Y80" s="8"/>
      <c r="Z80" s="8"/>
      <c r="AA80" s="23">
        <f>AA79+1</f>
        <v>1209</v>
      </c>
      <c r="AB80" s="8"/>
    </row>
    <row r="81" ht="16" customHeight="1">
      <c r="A81" s="19">
        <v>45681</v>
      </c>
      <c r="B81" s="23">
        <v>71.2</v>
      </c>
      <c r="C81" s="23">
        <v>66.55</v>
      </c>
      <c r="D81" s="23">
        <v>68.34999999999999</v>
      </c>
      <c r="E81" s="23">
        <v>72.68000000000001</v>
      </c>
      <c r="F81" s="23">
        <v>64.2</v>
      </c>
      <c r="G81" s="23">
        <v>65.81999999999999</v>
      </c>
      <c r="H81" s="23">
        <v>70.3</v>
      </c>
      <c r="I81" s="23">
        <v>65.94</v>
      </c>
      <c r="J81" s="23">
        <v>67.84999999999999</v>
      </c>
      <c r="K81" s="23">
        <v>70.7</v>
      </c>
      <c r="L81" s="23">
        <v>63.3</v>
      </c>
      <c r="M81" s="23">
        <v>97.40000000000001</v>
      </c>
      <c r="N81" s="23">
        <v>93.75</v>
      </c>
      <c r="O81" s="23">
        <v>91.45</v>
      </c>
      <c r="P81" s="23">
        <v>91.59999999999999</v>
      </c>
      <c r="Q81" s="23">
        <v>51.38</v>
      </c>
      <c r="R81" s="23">
        <v>96.25</v>
      </c>
      <c r="S81" s="23">
        <v>96.25</v>
      </c>
      <c r="T81" s="23">
        <v>92.08</v>
      </c>
      <c r="U81" s="23">
        <v>90.25</v>
      </c>
      <c r="V81" s="23">
        <v>90.40000000000001</v>
      </c>
      <c r="W81" s="23">
        <v>50.5</v>
      </c>
      <c r="X81" s="23">
        <v>94.75</v>
      </c>
      <c r="Y81" s="8"/>
      <c r="Z81" s="8"/>
      <c r="AA81" s="23">
        <f>AA80+1</f>
        <v>1210</v>
      </c>
      <c r="AB81" s="8"/>
    </row>
    <row r="82" ht="16" customHeight="1">
      <c r="A82" s="19">
        <v>45684</v>
      </c>
      <c r="B82" s="23">
        <v>70.51000000000001</v>
      </c>
      <c r="C82" s="23">
        <v>66.3</v>
      </c>
      <c r="D82" s="23">
        <v>68.28</v>
      </c>
      <c r="E82" s="23">
        <v>72.20999999999999</v>
      </c>
      <c r="F82" s="23">
        <v>63.3</v>
      </c>
      <c r="G82" s="23">
        <v>65.61</v>
      </c>
      <c r="H82" s="23">
        <v>69.56</v>
      </c>
      <c r="I82" s="23">
        <v>65.65000000000001</v>
      </c>
      <c r="J82" s="23">
        <v>67.5</v>
      </c>
      <c r="K82" s="23">
        <v>69.86</v>
      </c>
      <c r="L82" s="23">
        <v>63.48</v>
      </c>
      <c r="M82" s="23">
        <v>96.52</v>
      </c>
      <c r="N82" s="23">
        <v>93.67</v>
      </c>
      <c r="O82" s="23">
        <v>91.61</v>
      </c>
      <c r="P82" s="23">
        <v>91.98999999999999</v>
      </c>
      <c r="Q82" s="23">
        <v>51.02</v>
      </c>
      <c r="R82" s="23">
        <v>96.02</v>
      </c>
      <c r="S82" s="23">
        <v>95.75</v>
      </c>
      <c r="T82" s="23">
        <v>92.25</v>
      </c>
      <c r="U82" s="23">
        <v>90.40000000000001</v>
      </c>
      <c r="V82" s="23">
        <v>90.5</v>
      </c>
      <c r="W82" s="23">
        <v>50.5</v>
      </c>
      <c r="X82" s="23">
        <v>95</v>
      </c>
      <c r="Y82" s="8"/>
      <c r="Z82" s="8"/>
      <c r="AA82" s="23">
        <f>AA81+1</f>
        <v>1211</v>
      </c>
      <c r="AB82" s="8"/>
    </row>
    <row r="83" ht="16" customHeight="1">
      <c r="A83" s="19">
        <v>45685</v>
      </c>
      <c r="B83" s="23">
        <v>71.34</v>
      </c>
      <c r="C83" s="23">
        <v>67.12</v>
      </c>
      <c r="D83" s="23">
        <v>68.86</v>
      </c>
      <c r="E83" s="23">
        <v>73.09999999999999</v>
      </c>
      <c r="F83" s="23">
        <v>64.43000000000001</v>
      </c>
      <c r="G83" s="23">
        <v>66.31999999999999</v>
      </c>
      <c r="H83" s="23">
        <v>70.09999999999999</v>
      </c>
      <c r="I83" s="23">
        <v>66.48999999999999</v>
      </c>
      <c r="J83" s="23">
        <v>68.31999999999999</v>
      </c>
      <c r="K83" s="23">
        <v>71.3</v>
      </c>
      <c r="L83" s="23">
        <v>63.89</v>
      </c>
      <c r="M83" s="23">
        <v>97.98999999999999</v>
      </c>
      <c r="N83" s="23">
        <v>93.77</v>
      </c>
      <c r="O83" s="23">
        <v>91.2</v>
      </c>
      <c r="P83" s="23">
        <v>91.69</v>
      </c>
      <c r="Q83" s="23">
        <v>51.41</v>
      </c>
      <c r="R83" s="23">
        <v>97</v>
      </c>
      <c r="S83" s="23">
        <v>96</v>
      </c>
      <c r="T83" s="23">
        <v>92.65000000000001</v>
      </c>
      <c r="U83" s="23">
        <v>90.15000000000001</v>
      </c>
      <c r="V83" s="23">
        <v>90.59999999999999</v>
      </c>
      <c r="W83" s="23">
        <v>50.8</v>
      </c>
      <c r="X83" s="23">
        <v>95.45</v>
      </c>
      <c r="Y83" s="8"/>
      <c r="Z83" s="8"/>
      <c r="AA83" s="23">
        <f>AA82+1</f>
        <v>1212</v>
      </c>
      <c r="AB83" s="8"/>
    </row>
    <row r="84" ht="16" customHeight="1">
      <c r="A84" s="19">
        <v>45686</v>
      </c>
      <c r="B84" s="23">
        <v>72</v>
      </c>
      <c r="C84" s="23">
        <v>67.33</v>
      </c>
      <c r="D84" s="23">
        <v>69.31999999999999</v>
      </c>
      <c r="E84" s="23">
        <v>73.59999999999999</v>
      </c>
      <c r="F84" s="23">
        <v>64.8</v>
      </c>
      <c r="G84" s="23">
        <v>66.2</v>
      </c>
      <c r="H84" s="23">
        <v>70.01000000000001</v>
      </c>
      <c r="I84" s="23">
        <v>66.59999999999999</v>
      </c>
      <c r="J84" s="23">
        <v>69.04000000000001</v>
      </c>
      <c r="K84" s="23">
        <v>71.5</v>
      </c>
      <c r="L84" s="23">
        <v>64.11</v>
      </c>
      <c r="M84" s="23">
        <v>96.81</v>
      </c>
      <c r="N84" s="23">
        <v>93.65000000000001</v>
      </c>
      <c r="O84" s="23">
        <v>91.31</v>
      </c>
      <c r="P84" s="23">
        <v>91.97</v>
      </c>
      <c r="Q84" s="23">
        <v>50.61</v>
      </c>
      <c r="R84" s="23">
        <v>96.5</v>
      </c>
      <c r="S84" s="23">
        <v>95.83</v>
      </c>
      <c r="T84" s="23">
        <v>92.54000000000001</v>
      </c>
      <c r="U84" s="23">
        <v>90.23999999999999</v>
      </c>
      <c r="V84" s="23">
        <v>90.59999999999999</v>
      </c>
      <c r="W84" s="23">
        <v>50</v>
      </c>
      <c r="X84" s="23">
        <v>95.26000000000001</v>
      </c>
      <c r="Y84" s="8"/>
      <c r="Z84" s="8"/>
      <c r="AA84" s="23">
        <f>AA83+1</f>
        <v>1213</v>
      </c>
      <c r="AB84" s="8"/>
    </row>
    <row r="85" ht="16" customHeight="1">
      <c r="A85" s="19">
        <v>45687</v>
      </c>
      <c r="B85" s="23">
        <v>72.31999999999999</v>
      </c>
      <c r="C85" s="23">
        <v>67.25</v>
      </c>
      <c r="D85" s="23">
        <v>69.40000000000001</v>
      </c>
      <c r="E85" s="23">
        <v>73.95999999999999</v>
      </c>
      <c r="F85" s="23">
        <v>65.09999999999999</v>
      </c>
      <c r="G85" s="23">
        <v>67.44</v>
      </c>
      <c r="H85" s="23">
        <v>70.68000000000001</v>
      </c>
      <c r="I85" s="23">
        <v>66.70999999999999</v>
      </c>
      <c r="J85" s="23">
        <v>69.12</v>
      </c>
      <c r="K85" s="23">
        <v>71.25</v>
      </c>
      <c r="L85" s="23">
        <v>64.59</v>
      </c>
      <c r="M85" s="23">
        <v>97.58</v>
      </c>
      <c r="N85" s="23">
        <v>93.65000000000001</v>
      </c>
      <c r="O85" s="23">
        <v>91.36</v>
      </c>
      <c r="P85" s="23">
        <v>91.70999999999999</v>
      </c>
      <c r="Q85" s="23">
        <v>42</v>
      </c>
      <c r="R85" s="23">
        <v>96.59999999999999</v>
      </c>
      <c r="S85" s="23">
        <v>96.25</v>
      </c>
      <c r="T85" s="23">
        <v>92.7</v>
      </c>
      <c r="U85" s="23">
        <v>90.34999999999999</v>
      </c>
      <c r="V85" s="23">
        <v>90.75</v>
      </c>
      <c r="W85" s="23">
        <v>41.5</v>
      </c>
      <c r="X85" s="23">
        <v>95.40000000000001</v>
      </c>
      <c r="Y85" s="8"/>
      <c r="Z85" s="8"/>
      <c r="AA85" s="23">
        <f>AA84+1</f>
        <v>1214</v>
      </c>
      <c r="AB85" s="8"/>
    </row>
    <row r="86" ht="16" customHeight="1">
      <c r="A86" s="19">
        <v>45688</v>
      </c>
      <c r="B86" s="23">
        <v>71.92</v>
      </c>
      <c r="C86" s="23">
        <v>67.16</v>
      </c>
      <c r="D86" s="23">
        <v>69.25</v>
      </c>
      <c r="E86" s="23">
        <v>73.23</v>
      </c>
      <c r="F86" s="23">
        <v>64.45999999999999</v>
      </c>
      <c r="G86" s="23">
        <v>66.90000000000001</v>
      </c>
      <c r="H86" s="23">
        <v>70.40000000000001</v>
      </c>
      <c r="I86" s="23">
        <v>66.45</v>
      </c>
      <c r="J86" s="23">
        <v>69</v>
      </c>
      <c r="K86" s="23">
        <v>71</v>
      </c>
      <c r="L86" s="23">
        <v>64.39</v>
      </c>
      <c r="M86" s="23">
        <v>97.65000000000001</v>
      </c>
      <c r="N86" s="23">
        <v>93.90000000000001</v>
      </c>
      <c r="O86" s="23">
        <v>91.52</v>
      </c>
      <c r="P86" s="23">
        <v>91.88</v>
      </c>
      <c r="Q86" s="23">
        <v>42.15</v>
      </c>
      <c r="R86" s="23">
        <v>95.90000000000001</v>
      </c>
      <c r="S86" s="23">
        <v>96.59999999999999</v>
      </c>
      <c r="T86" s="23">
        <v>92.88</v>
      </c>
      <c r="U86" s="23">
        <v>90.5</v>
      </c>
      <c r="V86" s="23">
        <v>91.2</v>
      </c>
      <c r="W86" s="23">
        <v>41.5</v>
      </c>
      <c r="X86" s="23">
        <v>95.19</v>
      </c>
      <c r="Y86" s="8"/>
      <c r="Z86" s="8"/>
      <c r="AA86" s="23">
        <f>AA85+1</f>
        <v>1215</v>
      </c>
      <c r="AB86" s="8"/>
    </row>
    <row r="87" ht="16" customHeight="1">
      <c r="A87" s="19">
        <v>45691</v>
      </c>
      <c r="B87" s="23">
        <v>71.7</v>
      </c>
      <c r="C87" s="23">
        <v>66.45</v>
      </c>
      <c r="D87" s="23">
        <v>68.8</v>
      </c>
      <c r="E87" s="23">
        <v>72.68000000000001</v>
      </c>
      <c r="F87" s="23">
        <v>64.11</v>
      </c>
      <c r="G87" s="23">
        <v>66.3</v>
      </c>
      <c r="H87" s="23">
        <v>70.40000000000001</v>
      </c>
      <c r="I87" s="23">
        <v>65.70999999999999</v>
      </c>
      <c r="J87" s="23">
        <v>68.51000000000001</v>
      </c>
      <c r="K87" s="23">
        <v>70.5</v>
      </c>
      <c r="L87" s="23">
        <v>63.5</v>
      </c>
      <c r="M87" s="23">
        <v>97</v>
      </c>
      <c r="N87" s="23">
        <v>94.23999999999999</v>
      </c>
      <c r="O87" s="23">
        <v>91.34999999999999</v>
      </c>
      <c r="P87" s="23">
        <v>91.40000000000001</v>
      </c>
      <c r="Q87" s="23">
        <v>42.264</v>
      </c>
      <c r="R87" s="23">
        <v>96.05</v>
      </c>
      <c r="S87" s="23">
        <v>97</v>
      </c>
      <c r="T87" s="23">
        <v>93.23999999999999</v>
      </c>
      <c r="U87" s="23">
        <v>90.59999999999999</v>
      </c>
      <c r="V87" s="23">
        <v>90.5</v>
      </c>
      <c r="W87" s="23">
        <v>42</v>
      </c>
      <c r="X87" s="23">
        <v>95.22</v>
      </c>
      <c r="Y87" s="8"/>
      <c r="Z87" s="8"/>
      <c r="AA87" s="23">
        <f>AA86+1</f>
        <v>1216</v>
      </c>
      <c r="AB87" s="8"/>
    </row>
    <row r="88" ht="16" customHeight="1">
      <c r="A88" s="19">
        <v>45692</v>
      </c>
      <c r="B88" s="23">
        <v>70.65000000000001</v>
      </c>
      <c r="C88" s="23">
        <v>66.09999999999999</v>
      </c>
      <c r="D88" s="23">
        <v>68.61</v>
      </c>
      <c r="E88" s="23">
        <v>72.55</v>
      </c>
      <c r="F88" s="23">
        <v>63.62</v>
      </c>
      <c r="G88" s="23">
        <v>65.95</v>
      </c>
      <c r="H88" s="23">
        <v>69.91</v>
      </c>
      <c r="I88" s="23">
        <v>65.31999999999999</v>
      </c>
      <c r="J88" s="23">
        <v>68.33</v>
      </c>
      <c r="K88" s="23">
        <v>69.98999999999999</v>
      </c>
      <c r="L88" s="23">
        <v>63.48</v>
      </c>
      <c r="M88" s="23">
        <v>97.84999999999999</v>
      </c>
      <c r="N88" s="23">
        <v>94.27</v>
      </c>
      <c r="O88" s="23">
        <v>91.55</v>
      </c>
      <c r="P88" s="23">
        <v>91.90000000000001</v>
      </c>
      <c r="Q88" s="23">
        <v>42.697</v>
      </c>
      <c r="R88" s="23">
        <v>96.09999999999999</v>
      </c>
      <c r="S88" s="23">
        <v>97</v>
      </c>
      <c r="T88" s="23">
        <v>93.2</v>
      </c>
      <c r="U88" s="23">
        <v>90.65000000000001</v>
      </c>
      <c r="V88" s="23">
        <v>90.90000000000001</v>
      </c>
      <c r="W88" s="23">
        <v>42.25</v>
      </c>
      <c r="X88" s="23">
        <v>95.25</v>
      </c>
      <c r="Y88" s="8"/>
      <c r="Z88" s="8"/>
      <c r="AA88" s="23">
        <f>AA87+1</f>
        <v>1217</v>
      </c>
      <c r="AB88" s="8"/>
    </row>
    <row r="89" ht="16" customHeight="1">
      <c r="A89" s="19">
        <v>45693</v>
      </c>
      <c r="B89" s="23">
        <v>70.16</v>
      </c>
      <c r="C89" s="23">
        <v>66</v>
      </c>
      <c r="D89" s="23">
        <v>67.98</v>
      </c>
      <c r="E89" s="23">
        <v>72.12</v>
      </c>
      <c r="F89" s="23">
        <v>63</v>
      </c>
      <c r="G89" s="23">
        <v>65.25</v>
      </c>
      <c r="H89" s="23">
        <v>69.7</v>
      </c>
      <c r="I89" s="23">
        <v>65.02</v>
      </c>
      <c r="J89" s="23">
        <v>67.48</v>
      </c>
      <c r="K89" s="23">
        <v>69.3</v>
      </c>
      <c r="L89" s="23">
        <v>62.69</v>
      </c>
      <c r="M89" s="23">
        <v>97.22</v>
      </c>
      <c r="N89" s="23">
        <v>94</v>
      </c>
      <c r="O89" s="23">
        <v>91.92</v>
      </c>
      <c r="P89" s="23">
        <v>91.59999999999999</v>
      </c>
      <c r="Q89" s="23">
        <v>42.322</v>
      </c>
      <c r="R89" s="23">
        <v>96.25</v>
      </c>
      <c r="S89" s="23">
        <v>96.75</v>
      </c>
      <c r="T89" s="23">
        <v>94</v>
      </c>
      <c r="U89" s="23">
        <v>90.90000000000001</v>
      </c>
      <c r="V89" s="23">
        <v>91</v>
      </c>
      <c r="W89" s="23">
        <v>42.5</v>
      </c>
      <c r="X89" s="23">
        <v>95.3</v>
      </c>
      <c r="Y89" s="8"/>
      <c r="Z89" s="8"/>
      <c r="AA89" s="23">
        <f>AA88+1</f>
        <v>1218</v>
      </c>
      <c r="AB89" s="8"/>
    </row>
    <row r="90" ht="16" customHeight="1">
      <c r="A90" s="19">
        <v>45694</v>
      </c>
      <c r="B90" s="23">
        <v>70.48999999999999</v>
      </c>
      <c r="C90" s="23">
        <v>66.15000000000001</v>
      </c>
      <c r="D90" s="23">
        <v>67.95</v>
      </c>
      <c r="E90" s="23">
        <v>72.09999999999999</v>
      </c>
      <c r="F90" s="23">
        <v>63.2</v>
      </c>
      <c r="G90" s="23">
        <v>66</v>
      </c>
      <c r="H90" s="23">
        <v>69.68000000000001</v>
      </c>
      <c r="I90" s="23">
        <v>65.44</v>
      </c>
      <c r="J90" s="23">
        <v>67.53</v>
      </c>
      <c r="K90" s="23">
        <v>69.5</v>
      </c>
      <c r="L90" s="23">
        <v>62.6</v>
      </c>
      <c r="M90" s="23">
        <v>98.98999999999999</v>
      </c>
      <c r="N90" s="23">
        <v>93.77</v>
      </c>
      <c r="O90" s="23">
        <v>91.90000000000001</v>
      </c>
      <c r="P90" s="23">
        <v>91.40000000000001</v>
      </c>
      <c r="Q90" s="23">
        <v>43.1</v>
      </c>
      <c r="R90" s="23">
        <v>96.01000000000001</v>
      </c>
      <c r="S90" s="23">
        <v>96.7</v>
      </c>
      <c r="T90" s="23">
        <v>93.15000000000001</v>
      </c>
      <c r="U90" s="23">
        <v>91</v>
      </c>
      <c r="V90" s="23">
        <v>90.8</v>
      </c>
      <c r="W90" s="23">
        <v>42.4</v>
      </c>
      <c r="X90" s="23">
        <v>95.25</v>
      </c>
      <c r="Y90" s="8"/>
      <c r="Z90" s="8"/>
      <c r="AA90" s="23">
        <f>AA89+1</f>
        <v>1219</v>
      </c>
      <c r="AB90" s="8"/>
    </row>
    <row r="91" ht="16" customHeight="1">
      <c r="A91" s="19">
        <v>45695</v>
      </c>
      <c r="B91" s="23">
        <v>70.75</v>
      </c>
      <c r="C91" s="23">
        <v>65.79000000000001</v>
      </c>
      <c r="D91" s="23">
        <v>67.69</v>
      </c>
      <c r="E91" s="23">
        <v>71.78</v>
      </c>
      <c r="F91" s="23">
        <v>62.93</v>
      </c>
      <c r="G91" s="23">
        <v>65.55</v>
      </c>
      <c r="H91" s="23">
        <v>69.69</v>
      </c>
      <c r="I91" s="23">
        <v>65.05</v>
      </c>
      <c r="J91" s="23">
        <v>67.3</v>
      </c>
      <c r="K91" s="23">
        <v>69.09999999999999</v>
      </c>
      <c r="L91" s="23">
        <v>62.53</v>
      </c>
      <c r="M91" s="23">
        <v>97.7</v>
      </c>
      <c r="N91" s="23">
        <v>95.45</v>
      </c>
      <c r="O91" s="23">
        <v>91.42</v>
      </c>
      <c r="P91" s="23">
        <v>92.09999999999999</v>
      </c>
      <c r="Q91" s="23">
        <v>43</v>
      </c>
      <c r="R91" s="23">
        <v>96.7</v>
      </c>
      <c r="S91" s="23">
        <v>96.7</v>
      </c>
      <c r="T91" s="23">
        <v>94.5</v>
      </c>
      <c r="U91" s="23">
        <v>90.59</v>
      </c>
      <c r="V91" s="23">
        <v>91</v>
      </c>
      <c r="W91" s="23">
        <v>42.4</v>
      </c>
      <c r="X91" s="23">
        <v>95.7</v>
      </c>
      <c r="Y91" s="8"/>
      <c r="Z91" s="8"/>
      <c r="AA91" s="23">
        <f>AA90+1</f>
        <v>1220</v>
      </c>
      <c r="AB91" s="8"/>
    </row>
    <row r="92" ht="16" customHeight="1">
      <c r="A92" s="19">
        <v>45698</v>
      </c>
      <c r="B92" s="23">
        <v>70.20999999999999</v>
      </c>
      <c r="C92" s="23">
        <v>65.45</v>
      </c>
      <c r="D92" s="23">
        <v>65.89</v>
      </c>
      <c r="E92" s="23">
        <v>70.45999999999999</v>
      </c>
      <c r="F92" s="23">
        <v>62.2</v>
      </c>
      <c r="G92" s="23">
        <v>65</v>
      </c>
      <c r="H92" s="23">
        <v>69</v>
      </c>
      <c r="I92" s="23">
        <v>64.65000000000001</v>
      </c>
      <c r="J92" s="23">
        <v>65.53</v>
      </c>
      <c r="K92" s="23">
        <v>68</v>
      </c>
      <c r="L92" s="23">
        <v>61.93</v>
      </c>
      <c r="M92" s="23">
        <v>97.91</v>
      </c>
      <c r="N92" s="23">
        <v>94.73999999999999</v>
      </c>
      <c r="O92" s="23">
        <v>91.2</v>
      </c>
      <c r="P92" s="23">
        <v>91.98999999999999</v>
      </c>
      <c r="Q92" s="23">
        <v>43.1</v>
      </c>
      <c r="R92" s="23">
        <v>96.43000000000001</v>
      </c>
      <c r="S92" s="23">
        <v>97.16</v>
      </c>
      <c r="T92" s="23">
        <v>93.84999999999999</v>
      </c>
      <c r="U92" s="23">
        <v>90.5</v>
      </c>
      <c r="V92" s="23">
        <v>90.70999999999999</v>
      </c>
      <c r="W92" s="23">
        <v>42.97</v>
      </c>
      <c r="X92" s="23">
        <v>95.7</v>
      </c>
      <c r="Y92" s="8"/>
      <c r="Z92" s="8"/>
      <c r="AA92" s="23">
        <f>AA91+1</f>
        <v>1221</v>
      </c>
      <c r="AB92" s="8"/>
    </row>
    <row r="93" ht="16" customHeight="1">
      <c r="A93" s="19">
        <v>45699</v>
      </c>
      <c r="B93" s="23">
        <v>69.68000000000001</v>
      </c>
      <c r="C93" s="23">
        <v>65.14</v>
      </c>
      <c r="D93" s="23">
        <v>65.73999999999999</v>
      </c>
      <c r="E93" s="23">
        <v>69.7</v>
      </c>
      <c r="F93" s="23">
        <v>61.15</v>
      </c>
      <c r="G93" s="23">
        <v>63.89</v>
      </c>
      <c r="H93" s="23">
        <v>68.26000000000001</v>
      </c>
      <c r="I93" s="23">
        <v>64.5</v>
      </c>
      <c r="J93" s="23">
        <v>64.88</v>
      </c>
      <c r="K93" s="23">
        <v>67.2</v>
      </c>
      <c r="L93" s="23">
        <v>60.88</v>
      </c>
      <c r="M93" s="23">
        <v>97.25</v>
      </c>
      <c r="N93" s="23">
        <v>93.47</v>
      </c>
      <c r="O93" s="23">
        <v>90.64</v>
      </c>
      <c r="P93" s="23">
        <v>90.65000000000001</v>
      </c>
      <c r="Q93" s="23">
        <v>43.11</v>
      </c>
      <c r="R93" s="23">
        <v>96</v>
      </c>
      <c r="S93" s="23">
        <v>96.40000000000001</v>
      </c>
      <c r="T93" s="23">
        <v>92.90000000000001</v>
      </c>
      <c r="U93" s="23">
        <v>89.75</v>
      </c>
      <c r="V93" s="23">
        <v>89.8</v>
      </c>
      <c r="W93" s="23">
        <v>42.823</v>
      </c>
      <c r="X93" s="23">
        <v>95.40000000000001</v>
      </c>
      <c r="Y93" s="8"/>
      <c r="Z93" s="8"/>
      <c r="AA93" s="23">
        <f>AA92+1</f>
        <v>1222</v>
      </c>
      <c r="AB93" s="8"/>
    </row>
    <row r="94" ht="16" customHeight="1">
      <c r="A94" s="19">
        <v>45700</v>
      </c>
      <c r="B94" s="23">
        <v>70.34999999999999</v>
      </c>
      <c r="C94" s="23">
        <v>66</v>
      </c>
      <c r="D94" s="23">
        <v>66.39</v>
      </c>
      <c r="E94" s="23">
        <v>70.45</v>
      </c>
      <c r="F94" s="23">
        <v>61.65</v>
      </c>
      <c r="G94" s="23">
        <v>64.3</v>
      </c>
      <c r="H94" s="23">
        <v>69.18000000000001</v>
      </c>
      <c r="I94" s="23">
        <v>65.09</v>
      </c>
      <c r="J94" s="23">
        <v>65.26000000000001</v>
      </c>
      <c r="K94" s="23">
        <v>67.7</v>
      </c>
      <c r="L94" s="23">
        <v>61.12</v>
      </c>
      <c r="M94" s="23">
        <v>97.25</v>
      </c>
      <c r="N94" s="23">
        <v>93.3</v>
      </c>
      <c r="O94" s="23">
        <v>90.55</v>
      </c>
      <c r="P94" s="23">
        <v>90.34999999999999</v>
      </c>
      <c r="Q94" s="23">
        <v>42.962</v>
      </c>
      <c r="R94" s="23">
        <v>96</v>
      </c>
      <c r="S94" s="23">
        <v>96.65000000000001</v>
      </c>
      <c r="T94" s="23">
        <v>92.45</v>
      </c>
      <c r="U94" s="23">
        <v>89.7</v>
      </c>
      <c r="V94" s="23">
        <v>89.54000000000001</v>
      </c>
      <c r="W94" s="23">
        <v>42.88</v>
      </c>
      <c r="X94" s="23">
        <v>95.2</v>
      </c>
      <c r="Y94" s="8"/>
      <c r="Z94" s="8"/>
      <c r="AA94" s="23">
        <f>AA93+1</f>
        <v>1223</v>
      </c>
      <c r="AB94" s="8"/>
    </row>
    <row r="95" ht="16" customHeight="1">
      <c r="A95" s="19">
        <v>45701</v>
      </c>
      <c r="B95" s="23">
        <v>70.93000000000001</v>
      </c>
      <c r="C95" s="23">
        <v>66.40000000000001</v>
      </c>
      <c r="D95" s="23">
        <v>66.63</v>
      </c>
      <c r="E95" s="23">
        <v>70.76000000000001</v>
      </c>
      <c r="F95" s="23">
        <v>62.2</v>
      </c>
      <c r="G95" s="23">
        <v>64.97</v>
      </c>
      <c r="H95" s="23">
        <v>70.25</v>
      </c>
      <c r="I95" s="23">
        <v>65.56999999999999</v>
      </c>
      <c r="J95" s="23">
        <v>65.7</v>
      </c>
      <c r="K95" s="23">
        <v>67.98</v>
      </c>
      <c r="L95" s="23">
        <v>61.54</v>
      </c>
      <c r="M95" s="23">
        <v>97.25</v>
      </c>
      <c r="N95" s="23">
        <v>93.3</v>
      </c>
      <c r="O95" s="23">
        <v>89.84999999999999</v>
      </c>
      <c r="P95" s="23">
        <v>89.90000000000001</v>
      </c>
      <c r="Q95" s="23">
        <v>43.232</v>
      </c>
      <c r="R95" s="23">
        <v>96.05</v>
      </c>
      <c r="S95" s="23">
        <v>96.75</v>
      </c>
      <c r="T95" s="23">
        <v>91.59999999999999</v>
      </c>
      <c r="U95" s="23">
        <v>89.2</v>
      </c>
      <c r="V95" s="23">
        <v>89.25</v>
      </c>
      <c r="W95" s="23">
        <v>42.1</v>
      </c>
      <c r="X95" s="23">
        <v>95.5</v>
      </c>
      <c r="Y95" s="8"/>
      <c r="Z95" s="8"/>
      <c r="AA95" s="23">
        <f>AA94+1</f>
        <v>1224</v>
      </c>
      <c r="AB95" s="8"/>
    </row>
    <row r="96" ht="16" customHeight="1">
      <c r="A96" s="19">
        <v>45702</v>
      </c>
      <c r="B96" s="23">
        <v>71.34999999999999</v>
      </c>
      <c r="C96" s="23">
        <v>66.73999999999999</v>
      </c>
      <c r="D96" s="23">
        <v>67</v>
      </c>
      <c r="E96" s="23">
        <v>71</v>
      </c>
      <c r="F96" s="23">
        <v>62.45</v>
      </c>
      <c r="G96" s="23">
        <v>65.65000000000001</v>
      </c>
      <c r="H96" s="23">
        <v>70.5</v>
      </c>
      <c r="I96" s="23">
        <v>65.75</v>
      </c>
      <c r="J96" s="23">
        <v>65.95</v>
      </c>
      <c r="K96" s="23">
        <v>68.25</v>
      </c>
      <c r="L96" s="23">
        <v>61.85</v>
      </c>
      <c r="M96" s="23">
        <v>98</v>
      </c>
      <c r="N96" s="23">
        <v>92.5</v>
      </c>
      <c r="O96" s="23">
        <v>89.86</v>
      </c>
      <c r="P96" s="23">
        <v>90.09999999999999</v>
      </c>
      <c r="Q96" s="23">
        <v>43.398</v>
      </c>
      <c r="R96" s="23">
        <v>96.09999999999999</v>
      </c>
      <c r="S96" s="23">
        <v>96</v>
      </c>
      <c r="T96" s="23">
        <v>91.65000000000001</v>
      </c>
      <c r="U96" s="23">
        <v>89</v>
      </c>
      <c r="V96" s="23">
        <v>88.90000000000001</v>
      </c>
      <c r="W96" s="23">
        <v>43.5</v>
      </c>
      <c r="X96" s="23">
        <v>95.25</v>
      </c>
      <c r="Y96" s="8"/>
      <c r="Z96" s="8"/>
      <c r="AA96" s="23">
        <f>AA95+1</f>
        <v>1225</v>
      </c>
      <c r="AB96" s="8"/>
    </row>
    <row r="97" ht="16" customHeight="1">
      <c r="A97" s="19">
        <v>45705</v>
      </c>
      <c r="B97" s="23">
        <v>69.81999999999999</v>
      </c>
      <c r="C97" s="23">
        <v>65.41</v>
      </c>
      <c r="D97" s="23">
        <v>65</v>
      </c>
      <c r="E97" s="23">
        <v>69</v>
      </c>
      <c r="F97" s="23">
        <v>60.5</v>
      </c>
      <c r="G97" s="23">
        <v>63.75</v>
      </c>
      <c r="H97" s="23">
        <v>68.51000000000001</v>
      </c>
      <c r="I97" s="23">
        <v>64.81999999999999</v>
      </c>
      <c r="J97" s="23">
        <v>64.54000000000001</v>
      </c>
      <c r="K97" s="23">
        <v>66.19</v>
      </c>
      <c r="L97" s="23">
        <v>59.99</v>
      </c>
      <c r="M97" s="23">
        <v>97.17</v>
      </c>
      <c r="N97" s="23">
        <v>91.69</v>
      </c>
      <c r="O97" s="23">
        <v>89.25</v>
      </c>
      <c r="P97" s="23">
        <v>88.93000000000001</v>
      </c>
      <c r="Q97" s="23">
        <v>43</v>
      </c>
      <c r="R97" s="23">
        <v>95.56</v>
      </c>
      <c r="S97" s="23">
        <v>96.25</v>
      </c>
      <c r="T97" s="23">
        <v>91.15000000000001</v>
      </c>
      <c r="U97" s="23">
        <v>88.40000000000001</v>
      </c>
      <c r="V97" s="23">
        <v>88.39</v>
      </c>
      <c r="W97" s="23">
        <v>42.75</v>
      </c>
      <c r="X97" s="23">
        <v>94.8</v>
      </c>
      <c r="Y97" s="8"/>
      <c r="Z97" s="8"/>
      <c r="AA97" s="23">
        <f>AA96+1</f>
        <v>1226</v>
      </c>
      <c r="AB97" s="8"/>
    </row>
    <row r="98" ht="16" customHeight="1">
      <c r="A98" s="19">
        <v>45706</v>
      </c>
      <c r="B98" s="23">
        <v>70.01000000000001</v>
      </c>
      <c r="C98" s="23">
        <v>66.14</v>
      </c>
      <c r="D98" s="23">
        <v>66.5</v>
      </c>
      <c r="E98" s="23">
        <v>69.94</v>
      </c>
      <c r="F98" s="23">
        <v>61.55</v>
      </c>
      <c r="G98" s="23">
        <v>64.97</v>
      </c>
      <c r="H98" s="23">
        <v>69.5</v>
      </c>
      <c r="I98" s="23">
        <v>65.12</v>
      </c>
      <c r="J98" s="23">
        <v>65.15000000000001</v>
      </c>
      <c r="K98" s="23">
        <v>66.90000000000001</v>
      </c>
      <c r="L98" s="23">
        <v>61.23</v>
      </c>
      <c r="M98" s="23">
        <v>97.09999999999999</v>
      </c>
      <c r="N98" s="23">
        <v>92.20999999999999</v>
      </c>
      <c r="O98" s="23">
        <v>89.73</v>
      </c>
      <c r="P98" s="23">
        <v>89.59999999999999</v>
      </c>
      <c r="Q98" s="23">
        <v>43.423</v>
      </c>
      <c r="R98" s="23">
        <v>95.65000000000001</v>
      </c>
      <c r="S98" s="23">
        <v>96</v>
      </c>
      <c r="T98" s="23">
        <v>91.59999999999999</v>
      </c>
      <c r="U98" s="23">
        <v>88.88</v>
      </c>
      <c r="V98" s="23">
        <v>89.15000000000001</v>
      </c>
      <c r="W98" s="23">
        <v>42.6</v>
      </c>
      <c r="X98" s="23">
        <v>94.98</v>
      </c>
      <c r="Y98" s="8"/>
      <c r="Z98" s="8"/>
      <c r="AA98" s="23">
        <f>AA97+1</f>
        <v>1227</v>
      </c>
      <c r="AB98" s="8"/>
    </row>
    <row r="99" ht="16" customHeight="1">
      <c r="A99" s="19">
        <v>45707</v>
      </c>
      <c r="B99" s="23">
        <v>70</v>
      </c>
      <c r="C99" s="23">
        <v>65.45999999999999</v>
      </c>
      <c r="D99" s="23">
        <v>65.14</v>
      </c>
      <c r="E99" s="23">
        <v>69.39</v>
      </c>
      <c r="F99" s="23">
        <v>60.8</v>
      </c>
      <c r="G99" s="23">
        <v>63.7</v>
      </c>
      <c r="H99" s="23">
        <v>69.27</v>
      </c>
      <c r="I99" s="23">
        <v>64.68000000000001</v>
      </c>
      <c r="J99" s="23">
        <v>64.67</v>
      </c>
      <c r="K99" s="23">
        <v>66.38</v>
      </c>
      <c r="L99" s="23">
        <v>60.48</v>
      </c>
      <c r="M99" s="23">
        <v>97.05</v>
      </c>
      <c r="N99" s="23">
        <v>92.98999999999999</v>
      </c>
      <c r="O99" s="23">
        <v>89.84999999999999</v>
      </c>
      <c r="P99" s="23">
        <v>89.73999999999999</v>
      </c>
      <c r="Q99" s="23">
        <v>43.291</v>
      </c>
      <c r="R99" s="23">
        <v>95.59999999999999</v>
      </c>
      <c r="S99" s="23">
        <v>96.15000000000001</v>
      </c>
      <c r="T99" s="23">
        <v>92.15000000000001</v>
      </c>
      <c r="U99" s="23">
        <v>88.95</v>
      </c>
      <c r="V99" s="23">
        <v>89.05</v>
      </c>
      <c r="W99" s="23">
        <v>43.1</v>
      </c>
      <c r="X99" s="23">
        <v>94.8</v>
      </c>
      <c r="Y99" s="8"/>
      <c r="Z99" s="8"/>
      <c r="AA99" s="23">
        <f>AA98+1</f>
        <v>1228</v>
      </c>
      <c r="AB99" s="8"/>
    </row>
    <row r="100" ht="16" customHeight="1">
      <c r="A100" s="19">
        <v>45708</v>
      </c>
      <c r="B100" s="23">
        <v>71.5</v>
      </c>
      <c r="C100" s="23">
        <v>65.55</v>
      </c>
      <c r="D100" s="23">
        <v>65.27</v>
      </c>
      <c r="E100" s="23">
        <v>69.56</v>
      </c>
      <c r="F100" s="23">
        <v>61.34</v>
      </c>
      <c r="G100" s="23">
        <v>63.85</v>
      </c>
      <c r="H100" s="23">
        <v>69.93000000000001</v>
      </c>
      <c r="I100" s="23">
        <v>64.75</v>
      </c>
      <c r="J100" s="23">
        <v>64.84</v>
      </c>
      <c r="K100" s="23">
        <v>67</v>
      </c>
      <c r="L100" s="23">
        <v>60.82</v>
      </c>
      <c r="M100" s="23">
        <v>98.5</v>
      </c>
      <c r="N100" s="23">
        <v>93.90000000000001</v>
      </c>
      <c r="O100" s="23">
        <v>90.06</v>
      </c>
      <c r="P100" s="23">
        <v>90.15000000000001</v>
      </c>
      <c r="Q100" s="23">
        <v>43.205</v>
      </c>
      <c r="R100" s="23">
        <v>96.2</v>
      </c>
      <c r="S100" s="23">
        <v>97.34999999999999</v>
      </c>
      <c r="T100" s="23">
        <v>93</v>
      </c>
      <c r="U100" s="23">
        <v>89.3</v>
      </c>
      <c r="V100" s="23">
        <v>89.39</v>
      </c>
      <c r="W100" s="23">
        <v>42.9</v>
      </c>
      <c r="X100" s="23">
        <v>95.31999999999999</v>
      </c>
      <c r="Y100" s="8"/>
      <c r="Z100" s="8"/>
      <c r="AA100" s="23">
        <f>AA99+1</f>
        <v>1229</v>
      </c>
      <c r="AB100" s="8"/>
    </row>
    <row r="101" ht="16" customHeight="1">
      <c r="A101" s="19">
        <v>45709</v>
      </c>
      <c r="B101" s="23">
        <v>71.09999999999999</v>
      </c>
      <c r="C101" s="23">
        <v>65.25</v>
      </c>
      <c r="D101" s="23">
        <v>65.68000000000001</v>
      </c>
      <c r="E101" s="23">
        <v>69.20999999999999</v>
      </c>
      <c r="F101" s="23">
        <v>61.39</v>
      </c>
      <c r="G101" s="23">
        <v>63.85</v>
      </c>
      <c r="H101" s="23">
        <v>69.78</v>
      </c>
      <c r="I101" s="23">
        <v>64.59999999999999</v>
      </c>
      <c r="J101" s="23">
        <v>64.7</v>
      </c>
      <c r="K101" s="23">
        <v>67.08</v>
      </c>
      <c r="L101" s="23">
        <v>61.2</v>
      </c>
      <c r="M101" s="23">
        <v>98.13</v>
      </c>
      <c r="N101" s="23">
        <v>94.70999999999999</v>
      </c>
      <c r="O101" s="23">
        <v>91.05</v>
      </c>
      <c r="P101" s="23">
        <v>90.76000000000001</v>
      </c>
      <c r="Q101" s="23">
        <v>43.28</v>
      </c>
      <c r="R101" s="23">
        <v>95.79000000000001</v>
      </c>
      <c r="S101" s="23">
        <v>97.48</v>
      </c>
      <c r="T101" s="23">
        <v>93.90000000000001</v>
      </c>
      <c r="U101" s="23">
        <v>90.04000000000001</v>
      </c>
      <c r="V101" s="23">
        <v>90.2</v>
      </c>
      <c r="W101" s="23">
        <v>43.15</v>
      </c>
      <c r="X101" s="23">
        <v>95.2</v>
      </c>
      <c r="Y101" s="8"/>
      <c r="Z101" s="8"/>
      <c r="AA101" s="23">
        <f>AA100+1</f>
        <v>1230</v>
      </c>
      <c r="AB101" s="8"/>
    </row>
    <row r="102" ht="16" customHeight="1">
      <c r="A102" s="19">
        <v>45712</v>
      </c>
      <c r="B102" s="23">
        <v>70.11</v>
      </c>
      <c r="C102" s="23">
        <v>65.37</v>
      </c>
      <c r="D102" s="23">
        <v>65.53</v>
      </c>
      <c r="E102" s="23">
        <v>69.37</v>
      </c>
      <c r="F102" s="23">
        <v>60.9</v>
      </c>
      <c r="G102" s="23">
        <v>63.55</v>
      </c>
      <c r="H102" s="23">
        <v>69.15000000000001</v>
      </c>
      <c r="I102" s="23">
        <v>64.62</v>
      </c>
      <c r="J102" s="23">
        <v>64.69</v>
      </c>
      <c r="K102" s="23">
        <v>67.18000000000001</v>
      </c>
      <c r="L102" s="23">
        <v>60.95</v>
      </c>
      <c r="M102" s="23">
        <v>98.2</v>
      </c>
      <c r="N102" s="23">
        <v>94.29000000000001</v>
      </c>
      <c r="O102" s="23">
        <v>91.16</v>
      </c>
      <c r="P102" s="23">
        <v>91.23999999999999</v>
      </c>
      <c r="Q102" s="23">
        <v>43.464</v>
      </c>
      <c r="R102" s="23">
        <v>95.55</v>
      </c>
      <c r="S102" s="23">
        <v>97.65000000000001</v>
      </c>
      <c r="T102" s="23">
        <v>93.55</v>
      </c>
      <c r="U102" s="23">
        <v>90.65000000000001</v>
      </c>
      <c r="V102" s="23">
        <v>90.59999999999999</v>
      </c>
      <c r="W102" s="23">
        <v>43.194</v>
      </c>
      <c r="X102" s="23">
        <v>95</v>
      </c>
      <c r="Y102" s="8"/>
      <c r="Z102" s="8"/>
      <c r="AA102" s="23">
        <f>AA101+1</f>
        <v>1231</v>
      </c>
      <c r="AB102" s="8"/>
    </row>
    <row r="103" ht="16" customHeight="1">
      <c r="A103" s="19">
        <v>45713</v>
      </c>
      <c r="B103" s="23">
        <v>69.5</v>
      </c>
      <c r="C103" s="23">
        <v>65.26000000000001</v>
      </c>
      <c r="D103" s="23">
        <v>65.3</v>
      </c>
      <c r="E103" s="23">
        <v>69.08</v>
      </c>
      <c r="F103" s="23">
        <v>60.6</v>
      </c>
      <c r="G103" s="23">
        <v>63.41</v>
      </c>
      <c r="H103" s="23">
        <v>68.90000000000001</v>
      </c>
      <c r="I103" s="23">
        <v>64.40000000000001</v>
      </c>
      <c r="J103" s="23">
        <v>64.40000000000001</v>
      </c>
      <c r="K103" s="23">
        <v>66.7</v>
      </c>
      <c r="L103" s="23">
        <v>60.5</v>
      </c>
      <c r="M103" s="23">
        <v>97</v>
      </c>
      <c r="N103" s="23">
        <v>94.25</v>
      </c>
      <c r="O103" s="23">
        <v>91.3</v>
      </c>
      <c r="P103" s="23">
        <v>90.90000000000001</v>
      </c>
      <c r="Q103" s="23">
        <v>43.431</v>
      </c>
      <c r="R103" s="23">
        <v>95.84999999999999</v>
      </c>
      <c r="S103" s="23">
        <v>97.31999999999999</v>
      </c>
      <c r="T103" s="23">
        <v>93.59999999999999</v>
      </c>
      <c r="U103" s="23">
        <v>90.75</v>
      </c>
      <c r="V103" s="23">
        <v>90.5</v>
      </c>
      <c r="W103" s="23">
        <v>44.315</v>
      </c>
      <c r="X103" s="23">
        <v>95.09999999999999</v>
      </c>
      <c r="Y103" s="8"/>
      <c r="Z103" s="8"/>
      <c r="AA103" s="23">
        <f>AA102+1</f>
        <v>1232</v>
      </c>
      <c r="AB103" s="8"/>
    </row>
    <row r="104" ht="16" customHeight="1">
      <c r="A104" s="19">
        <v>45714</v>
      </c>
      <c r="B104" s="23">
        <v>70.09</v>
      </c>
      <c r="C104" s="23">
        <v>65.09999999999999</v>
      </c>
      <c r="D104" s="23">
        <v>65.12</v>
      </c>
      <c r="E104" s="23">
        <v>68.70999999999999</v>
      </c>
      <c r="F104" s="23">
        <v>60.35</v>
      </c>
      <c r="G104" s="23">
        <v>63.1</v>
      </c>
      <c r="H104" s="23">
        <v>69.39</v>
      </c>
      <c r="I104" s="23">
        <v>64.38</v>
      </c>
      <c r="J104" s="23">
        <v>64.75</v>
      </c>
      <c r="K104" s="23">
        <v>66.7</v>
      </c>
      <c r="L104" s="23">
        <v>60.11</v>
      </c>
      <c r="M104" s="23">
        <v>97.5</v>
      </c>
      <c r="N104" s="23">
        <v>93.84999999999999</v>
      </c>
      <c r="O104" s="23">
        <v>90.59999999999999</v>
      </c>
      <c r="P104" s="23">
        <v>90.7</v>
      </c>
      <c r="Q104" s="23">
        <v>43.32</v>
      </c>
      <c r="R104" s="23">
        <v>95.52</v>
      </c>
      <c r="S104" s="23">
        <v>97.22</v>
      </c>
      <c r="T104" s="23">
        <v>93.55</v>
      </c>
      <c r="U104" s="23">
        <v>90.31999999999999</v>
      </c>
      <c r="V104" s="23">
        <v>90.19</v>
      </c>
      <c r="W104" s="23">
        <v>44.4</v>
      </c>
      <c r="X104" s="23">
        <v>95.09999999999999</v>
      </c>
      <c r="Y104" s="8"/>
      <c r="Z104" s="8"/>
      <c r="AA104" s="23">
        <f>AA103+1</f>
        <v>1233</v>
      </c>
      <c r="AB104" s="8"/>
    </row>
    <row r="105" ht="16" customHeight="1">
      <c r="A105" s="19">
        <v>45715</v>
      </c>
      <c r="B105" s="23">
        <v>69.5</v>
      </c>
      <c r="C105" s="23">
        <v>64.7</v>
      </c>
      <c r="D105" s="23">
        <v>64.17</v>
      </c>
      <c r="E105" s="23">
        <v>68.05</v>
      </c>
      <c r="F105" s="23">
        <v>59.79</v>
      </c>
      <c r="G105" s="23">
        <v>62.5</v>
      </c>
      <c r="H105" s="23">
        <v>69</v>
      </c>
      <c r="I105" s="23">
        <v>64.09999999999999</v>
      </c>
      <c r="J105" s="23">
        <v>63.78</v>
      </c>
      <c r="K105" s="23">
        <v>65.90000000000001</v>
      </c>
      <c r="L105" s="23">
        <v>59.8</v>
      </c>
      <c r="M105" s="23">
        <v>97.48999999999999</v>
      </c>
      <c r="N105" s="23">
        <v>93.34</v>
      </c>
      <c r="O105" s="23">
        <v>90.40000000000001</v>
      </c>
      <c r="P105" s="23">
        <v>90.3</v>
      </c>
      <c r="Q105" s="23">
        <v>34.95</v>
      </c>
      <c r="R105" s="23">
        <v>94.5</v>
      </c>
      <c r="S105" s="23">
        <v>97.25</v>
      </c>
      <c r="T105" s="23">
        <v>93.09999999999999</v>
      </c>
      <c r="U105" s="23">
        <v>89.56999999999999</v>
      </c>
      <c r="V105" s="23">
        <v>89.86</v>
      </c>
      <c r="W105" s="23">
        <v>34.532</v>
      </c>
      <c r="X105" s="23">
        <v>94.44</v>
      </c>
      <c r="Y105" s="8"/>
      <c r="Z105" s="8"/>
      <c r="AA105" s="23">
        <f>AA104+1</f>
        <v>1234</v>
      </c>
      <c r="AB105" s="8"/>
    </row>
    <row r="106" ht="16" customHeight="1">
      <c r="A106" s="19">
        <v>45716</v>
      </c>
      <c r="B106" s="23">
        <v>69.7</v>
      </c>
      <c r="C106" s="23">
        <v>64.47</v>
      </c>
      <c r="D106" s="23">
        <v>64.15000000000001</v>
      </c>
      <c r="E106" s="23">
        <v>67.91</v>
      </c>
      <c r="F106" s="23">
        <v>59.59</v>
      </c>
      <c r="G106" s="23">
        <v>64</v>
      </c>
      <c r="H106" s="23">
        <v>68.69</v>
      </c>
      <c r="I106" s="23">
        <v>63.82</v>
      </c>
      <c r="J106" s="23">
        <v>63.53</v>
      </c>
      <c r="K106" s="23">
        <v>65.73999999999999</v>
      </c>
      <c r="L106" s="23">
        <v>59.31</v>
      </c>
      <c r="M106" s="23">
        <v>96.89</v>
      </c>
      <c r="N106" s="23">
        <v>92.98</v>
      </c>
      <c r="O106" s="23">
        <v>89.53</v>
      </c>
      <c r="P106" s="23">
        <v>89.90000000000001</v>
      </c>
      <c r="Q106" s="23">
        <v>34.001</v>
      </c>
      <c r="R106" s="23">
        <v>94.25</v>
      </c>
      <c r="S106" s="23">
        <v>96.5</v>
      </c>
      <c r="T106" s="23">
        <v>92.5</v>
      </c>
      <c r="U106" s="23">
        <v>89.3</v>
      </c>
      <c r="V106" s="23">
        <v>89.5</v>
      </c>
      <c r="W106" s="23">
        <v>33.8</v>
      </c>
      <c r="X106" s="23">
        <v>94</v>
      </c>
      <c r="Y106" s="8"/>
      <c r="Z106" s="8"/>
      <c r="AA106" s="23">
        <f>AA105+1</f>
        <v>1235</v>
      </c>
      <c r="AB106" s="8"/>
    </row>
    <row r="107" ht="16" customHeight="1">
      <c r="A107" s="19">
        <v>45721</v>
      </c>
      <c r="B107" s="23">
        <v>71.22</v>
      </c>
      <c r="C107" s="23">
        <v>66.19</v>
      </c>
      <c r="D107" s="23">
        <v>65.95999999999999</v>
      </c>
      <c r="E107" s="23">
        <v>69.55</v>
      </c>
      <c r="F107" s="23">
        <v>61.6</v>
      </c>
      <c r="G107" s="23">
        <v>63.35</v>
      </c>
      <c r="H107" s="23">
        <v>70</v>
      </c>
      <c r="I107" s="23">
        <v>65.65000000000001</v>
      </c>
      <c r="J107" s="23">
        <v>65.34999999999999</v>
      </c>
      <c r="K107" s="23">
        <v>67.7</v>
      </c>
      <c r="L107" s="23">
        <v>61.31</v>
      </c>
      <c r="M107" s="23">
        <v>97</v>
      </c>
      <c r="N107" s="23">
        <v>93</v>
      </c>
      <c r="O107" s="23">
        <v>90.25</v>
      </c>
      <c r="P107" s="23">
        <v>90.34999999999999</v>
      </c>
      <c r="Q107" s="23">
        <v>34.5</v>
      </c>
      <c r="R107" s="23">
        <v>94.5</v>
      </c>
      <c r="S107" s="23">
        <v>96.75</v>
      </c>
      <c r="T107" s="23">
        <v>93</v>
      </c>
      <c r="U107" s="23">
        <v>90.06999999999999</v>
      </c>
      <c r="V107" s="23">
        <v>90.25</v>
      </c>
      <c r="W107" s="23">
        <v>34.425</v>
      </c>
      <c r="X107" s="23">
        <v>94.5</v>
      </c>
      <c r="Y107" s="8"/>
      <c r="Z107" s="8"/>
      <c r="AA107" s="23">
        <f>AA106+1</f>
        <v>1236</v>
      </c>
      <c r="AB107" s="8"/>
    </row>
    <row r="108" ht="16" customHeight="1">
      <c r="A108" s="19">
        <v>45722</v>
      </c>
      <c r="B108" s="23">
        <v>71.89</v>
      </c>
      <c r="C108" s="23">
        <v>66.42</v>
      </c>
      <c r="D108" s="23">
        <v>66.39</v>
      </c>
      <c r="E108" s="23">
        <v>70.15000000000001</v>
      </c>
      <c r="F108" s="23">
        <v>61.55</v>
      </c>
      <c r="G108" s="23">
        <v>63.5</v>
      </c>
      <c r="H108" s="23">
        <v>69.67</v>
      </c>
      <c r="I108" s="23">
        <v>65.62</v>
      </c>
      <c r="J108" s="23">
        <v>65.41</v>
      </c>
      <c r="K108" s="23">
        <v>67.94</v>
      </c>
      <c r="L108" s="23">
        <v>61.56</v>
      </c>
      <c r="M108" s="23">
        <v>96.95</v>
      </c>
      <c r="N108" s="23">
        <v>92.93000000000001</v>
      </c>
      <c r="O108" s="23">
        <v>90.15000000000001</v>
      </c>
      <c r="P108" s="23">
        <v>90.52</v>
      </c>
      <c r="Q108" s="23">
        <v>35.614</v>
      </c>
      <c r="R108" s="23">
        <v>94.8</v>
      </c>
      <c r="S108" s="23">
        <v>96.7</v>
      </c>
      <c r="T108" s="23">
        <v>92.90000000000001</v>
      </c>
      <c r="U108" s="23">
        <v>90.14</v>
      </c>
      <c r="V108" s="23">
        <v>90.34999999999999</v>
      </c>
      <c r="W108" s="23">
        <v>34.5</v>
      </c>
      <c r="X108" s="23">
        <v>94.65000000000001</v>
      </c>
      <c r="Y108" s="8"/>
      <c r="Z108" s="8"/>
      <c r="AA108" s="23">
        <f>AA107+1</f>
        <v>1237</v>
      </c>
      <c r="AB108" s="8"/>
    </row>
    <row r="109" ht="16" customHeight="1">
      <c r="A109" s="19">
        <v>45723</v>
      </c>
      <c r="B109" s="23">
        <v>72.02</v>
      </c>
      <c r="C109" s="23">
        <v>66.31999999999999</v>
      </c>
      <c r="D109" s="23">
        <v>67.62</v>
      </c>
      <c r="E109" s="23">
        <v>71.20999999999999</v>
      </c>
      <c r="F109" s="23">
        <v>62.54</v>
      </c>
      <c r="G109" s="23">
        <v>65.84999999999999</v>
      </c>
      <c r="H109" s="23">
        <v>70.58</v>
      </c>
      <c r="I109" s="23">
        <v>65.65000000000001</v>
      </c>
      <c r="J109" s="23">
        <v>66.8</v>
      </c>
      <c r="K109" s="23">
        <v>69.25</v>
      </c>
      <c r="L109" s="23">
        <v>62.24</v>
      </c>
      <c r="M109" s="23">
        <v>96.95999999999999</v>
      </c>
      <c r="N109" s="23">
        <v>93</v>
      </c>
      <c r="O109" s="23">
        <v>90.27</v>
      </c>
      <c r="P109" s="23">
        <v>90.56999999999999</v>
      </c>
      <c r="Q109" s="23">
        <v>35.551</v>
      </c>
      <c r="R109" s="23">
        <v>95.2</v>
      </c>
      <c r="S109" s="23">
        <v>96.02</v>
      </c>
      <c r="T109" s="23">
        <v>93</v>
      </c>
      <c r="U109" s="23">
        <v>89.5</v>
      </c>
      <c r="V109" s="23">
        <v>90.5</v>
      </c>
      <c r="W109" s="23">
        <v>35.5</v>
      </c>
      <c r="X109" s="23">
        <v>95.04000000000001</v>
      </c>
      <c r="Y109" s="8"/>
      <c r="Z109" s="8"/>
      <c r="AA109" s="23">
        <f>AA108+1</f>
        <v>1238</v>
      </c>
      <c r="AB109" s="8"/>
    </row>
    <row r="110" ht="16" customHeight="1">
      <c r="A110" s="19">
        <v>45726</v>
      </c>
      <c r="B110" s="23">
        <v>71.33</v>
      </c>
      <c r="C110" s="23">
        <v>65.89</v>
      </c>
      <c r="D110" s="23">
        <v>66.42</v>
      </c>
      <c r="E110" s="23">
        <v>69.90000000000001</v>
      </c>
      <c r="F110" s="23">
        <v>61.47</v>
      </c>
      <c r="G110" s="23">
        <v>63.76</v>
      </c>
      <c r="H110" s="23">
        <v>69.62</v>
      </c>
      <c r="I110" s="23">
        <v>65.2</v>
      </c>
      <c r="J110" s="23">
        <v>66.09999999999999</v>
      </c>
      <c r="K110" s="23">
        <v>67.97</v>
      </c>
      <c r="L110" s="23">
        <v>61.4</v>
      </c>
      <c r="M110" s="23">
        <v>97.34999999999999</v>
      </c>
      <c r="N110" s="23">
        <v>92.7</v>
      </c>
      <c r="O110" s="23">
        <v>89.48999999999999</v>
      </c>
      <c r="P110" s="23">
        <v>89.76000000000001</v>
      </c>
      <c r="Q110" s="23">
        <v>35.378</v>
      </c>
      <c r="R110" s="23">
        <v>94.94</v>
      </c>
      <c r="S110" s="23">
        <v>97.14</v>
      </c>
      <c r="T110" s="23">
        <v>92.59999999999999</v>
      </c>
      <c r="U110" s="23">
        <v>89.40000000000001</v>
      </c>
      <c r="V110" s="23">
        <v>89.5</v>
      </c>
      <c r="W110" s="23">
        <v>35.5</v>
      </c>
      <c r="X110" s="23">
        <v>94.84999999999999</v>
      </c>
      <c r="Y110" s="8"/>
      <c r="Z110" s="8"/>
      <c r="AA110" s="23">
        <f>AA109+1</f>
        <v>1239</v>
      </c>
      <c r="AB110" s="8"/>
    </row>
    <row r="111" ht="16" customHeight="1">
      <c r="A111" s="19">
        <v>45727</v>
      </c>
      <c r="B111" s="23">
        <v>71.09999999999999</v>
      </c>
      <c r="C111" s="23">
        <v>65.73999999999999</v>
      </c>
      <c r="D111" s="23">
        <v>66.40000000000001</v>
      </c>
      <c r="E111" s="23">
        <v>69.7</v>
      </c>
      <c r="F111" s="23">
        <v>61.75</v>
      </c>
      <c r="G111" s="23">
        <v>63.55</v>
      </c>
      <c r="H111" s="23">
        <v>69.28</v>
      </c>
      <c r="I111" s="23">
        <v>65</v>
      </c>
      <c r="J111" s="23">
        <v>66.15000000000001</v>
      </c>
      <c r="K111" s="23">
        <v>67.81</v>
      </c>
      <c r="L111" s="23">
        <v>61.1</v>
      </c>
      <c r="M111" s="23">
        <v>97.40000000000001</v>
      </c>
      <c r="N111" s="23">
        <v>92.87</v>
      </c>
      <c r="O111" s="23">
        <v>89.59999999999999</v>
      </c>
      <c r="P111" s="23">
        <v>89.01000000000001</v>
      </c>
      <c r="Q111" s="23">
        <v>35.712</v>
      </c>
      <c r="R111" s="23">
        <v>95.05</v>
      </c>
      <c r="S111" s="23">
        <v>97.42</v>
      </c>
      <c r="T111" s="23">
        <v>92.7</v>
      </c>
      <c r="U111" s="23">
        <v>89.5</v>
      </c>
      <c r="V111" s="23">
        <v>89.25</v>
      </c>
      <c r="W111" s="23">
        <v>35.6</v>
      </c>
      <c r="X111" s="23">
        <v>95.05</v>
      </c>
      <c r="Y111" s="8"/>
      <c r="Z111" s="8"/>
      <c r="AA111" s="23">
        <f>AA110+1</f>
        <v>1240</v>
      </c>
      <c r="AB111" s="8"/>
    </row>
    <row r="112" ht="16" customHeight="1">
      <c r="A112" s="19">
        <v>45728</v>
      </c>
      <c r="B112" s="23">
        <v>71.04000000000001</v>
      </c>
      <c r="C112" s="23">
        <v>65.55</v>
      </c>
      <c r="D112" s="23">
        <v>66.3</v>
      </c>
      <c r="E112" s="23">
        <v>69.95</v>
      </c>
      <c r="F112" s="23">
        <v>61.6</v>
      </c>
      <c r="G112" s="23">
        <v>63.9</v>
      </c>
      <c r="H112" s="23">
        <v>69.02</v>
      </c>
      <c r="I112" s="23">
        <v>64.75</v>
      </c>
      <c r="J112" s="23">
        <v>65.90000000000001</v>
      </c>
      <c r="K112" s="23">
        <v>67.68000000000001</v>
      </c>
      <c r="L112" s="23">
        <v>60.75</v>
      </c>
      <c r="M112" s="23">
        <v>97.5</v>
      </c>
      <c r="N112" s="23">
        <v>92.5</v>
      </c>
      <c r="O112" s="23">
        <v>89.18000000000001</v>
      </c>
      <c r="P112" s="23">
        <v>89</v>
      </c>
      <c r="Q112" s="23">
        <v>36.672</v>
      </c>
      <c r="R112" s="23">
        <v>94.73999999999999</v>
      </c>
      <c r="S112" s="23">
        <v>97.09999999999999</v>
      </c>
      <c r="T112" s="23">
        <v>92.41</v>
      </c>
      <c r="U112" s="23">
        <v>89.06999999999999</v>
      </c>
      <c r="V112" s="23">
        <v>88.64</v>
      </c>
      <c r="W112" s="23">
        <v>35.35</v>
      </c>
      <c r="X112" s="23">
        <v>94.5</v>
      </c>
      <c r="Y112" s="8"/>
      <c r="Z112" s="8"/>
      <c r="AA112" s="23">
        <f>AA111+1</f>
        <v>1241</v>
      </c>
      <c r="AB112" s="8"/>
    </row>
    <row r="113" ht="16" customHeight="1">
      <c r="A113" s="19">
        <v>45729</v>
      </c>
      <c r="B113" s="23">
        <v>70.7</v>
      </c>
      <c r="C113" s="23">
        <v>65.25</v>
      </c>
      <c r="D113" s="23">
        <v>65.75</v>
      </c>
      <c r="E113" s="23">
        <v>69.37</v>
      </c>
      <c r="F113" s="23">
        <v>61.2</v>
      </c>
      <c r="G113" s="23">
        <v>64.64</v>
      </c>
      <c r="H113" s="23">
        <v>68.78</v>
      </c>
      <c r="I113" s="23">
        <v>64.44</v>
      </c>
      <c r="J113" s="23">
        <v>65.73999999999999</v>
      </c>
      <c r="K113" s="23">
        <v>67.31</v>
      </c>
      <c r="L113" s="23">
        <v>60.5</v>
      </c>
      <c r="M113" s="23">
        <v>97.45</v>
      </c>
      <c r="N113" s="23">
        <v>91.95</v>
      </c>
      <c r="O113" s="23">
        <v>88.56999999999999</v>
      </c>
      <c r="P113" s="23">
        <v>88.59999999999999</v>
      </c>
      <c r="Q113" s="23">
        <v>35.438</v>
      </c>
      <c r="R113" s="23">
        <v>94.7</v>
      </c>
      <c r="S113" s="23">
        <v>97.09999999999999</v>
      </c>
      <c r="T113" s="23">
        <v>91.7</v>
      </c>
      <c r="U113" s="23">
        <v>88.26000000000001</v>
      </c>
      <c r="V113" s="23">
        <v>88.42</v>
      </c>
      <c r="W113" s="23">
        <v>35.356</v>
      </c>
      <c r="X113" s="23">
        <v>94.43000000000001</v>
      </c>
      <c r="Y113" s="8"/>
      <c r="Z113" s="8"/>
      <c r="AA113" s="23">
        <f>AA112+1</f>
        <v>1242</v>
      </c>
      <c r="AB113" s="8"/>
    </row>
    <row r="114" ht="16" customHeight="1">
      <c r="A114" s="19">
        <v>45730</v>
      </c>
      <c r="B114" s="23">
        <v>71.14</v>
      </c>
      <c r="C114" s="23">
        <v>65.17</v>
      </c>
      <c r="D114" s="23">
        <v>65.75</v>
      </c>
      <c r="E114" s="23">
        <v>69.19</v>
      </c>
      <c r="F114" s="23">
        <v>60.9</v>
      </c>
      <c r="G114" s="23">
        <v>63.3</v>
      </c>
      <c r="H114" s="23">
        <v>68.8</v>
      </c>
      <c r="I114" s="23">
        <v>64.31999999999999</v>
      </c>
      <c r="J114" s="23">
        <v>65.55</v>
      </c>
      <c r="K114" s="23">
        <v>67</v>
      </c>
      <c r="L114" s="23">
        <v>60.8</v>
      </c>
      <c r="M114" s="23">
        <v>97.94</v>
      </c>
      <c r="N114" s="23">
        <v>92.29000000000001</v>
      </c>
      <c r="O114" s="23">
        <v>88.39</v>
      </c>
      <c r="P114" s="23">
        <v>88.5</v>
      </c>
      <c r="Q114" s="23">
        <v>35.53</v>
      </c>
      <c r="R114" s="23">
        <v>94.84999999999999</v>
      </c>
      <c r="S114" s="23">
        <v>97.8</v>
      </c>
      <c r="T114" s="23">
        <v>92.06999999999999</v>
      </c>
      <c r="U114" s="23">
        <v>88.19</v>
      </c>
      <c r="V114" s="23">
        <v>88.48</v>
      </c>
      <c r="W114" s="23">
        <v>35.332</v>
      </c>
      <c r="X114" s="23">
        <v>94.59999999999999</v>
      </c>
      <c r="Y114" s="8"/>
      <c r="Z114" s="8"/>
      <c r="AA114" s="23">
        <f>AA113+1</f>
        <v>1243</v>
      </c>
      <c r="AB114" s="8"/>
    </row>
    <row r="115" ht="16" customHeight="1">
      <c r="A115" s="19">
        <v>45733</v>
      </c>
      <c r="B115" s="23">
        <v>70.56</v>
      </c>
      <c r="C115" s="23">
        <v>64.89</v>
      </c>
      <c r="D115" s="23">
        <v>65.59999999999999</v>
      </c>
      <c r="E115" s="23">
        <v>69.31999999999999</v>
      </c>
      <c r="F115" s="23">
        <v>60.78</v>
      </c>
      <c r="G115" s="23">
        <v>63</v>
      </c>
      <c r="H115" s="23">
        <v>69.09999999999999</v>
      </c>
      <c r="I115" s="23">
        <v>64.08</v>
      </c>
      <c r="J115" s="23">
        <v>65.23999999999999</v>
      </c>
      <c r="K115" s="23">
        <v>67.02</v>
      </c>
      <c r="L115" s="23">
        <v>60.78</v>
      </c>
      <c r="M115" s="23">
        <v>97.7</v>
      </c>
      <c r="N115" s="23">
        <v>91.95</v>
      </c>
      <c r="O115" s="23">
        <v>88.03</v>
      </c>
      <c r="P115" s="23">
        <v>88.22</v>
      </c>
      <c r="Q115" s="23">
        <v>36.5</v>
      </c>
      <c r="R115" s="23">
        <v>94.5</v>
      </c>
      <c r="S115" s="23">
        <v>97.59999999999999</v>
      </c>
      <c r="T115" s="23">
        <v>91.8</v>
      </c>
      <c r="U115" s="23">
        <v>87.81999999999999</v>
      </c>
      <c r="V115" s="23">
        <v>88.20999999999999</v>
      </c>
      <c r="W115" s="23">
        <v>36.47</v>
      </c>
      <c r="X115" s="23">
        <v>94.09999999999999</v>
      </c>
      <c r="Y115" s="8"/>
      <c r="Z115" s="8"/>
      <c r="AA115" s="23">
        <f>AA114+1</f>
        <v>1244</v>
      </c>
      <c r="AB115" s="8"/>
    </row>
    <row r="116" ht="16" customHeight="1">
      <c r="A116" s="19">
        <v>45734</v>
      </c>
      <c r="B116" s="23">
        <v>69.29000000000001</v>
      </c>
      <c r="C116" s="23">
        <v>63.99</v>
      </c>
      <c r="D116" s="23">
        <v>64.02</v>
      </c>
      <c r="E116" s="23">
        <v>67.98999999999999</v>
      </c>
      <c r="F116" s="23">
        <v>59.3</v>
      </c>
      <c r="G116" s="23">
        <v>62.6</v>
      </c>
      <c r="H116" s="23">
        <v>68.31999999999999</v>
      </c>
      <c r="I116" s="23">
        <v>63.12</v>
      </c>
      <c r="J116" s="23">
        <v>63.88</v>
      </c>
      <c r="K116" s="23">
        <v>66.06</v>
      </c>
      <c r="L116" s="23">
        <v>59.12</v>
      </c>
      <c r="M116" s="23">
        <v>97.89</v>
      </c>
      <c r="N116" s="23">
        <v>91.59999999999999</v>
      </c>
      <c r="O116" s="23">
        <v>87.23</v>
      </c>
      <c r="P116" s="23">
        <v>87.08</v>
      </c>
      <c r="Q116" s="23">
        <v>34.4</v>
      </c>
      <c r="R116" s="23">
        <v>94.56999999999999</v>
      </c>
      <c r="S116" s="23">
        <v>97.01000000000001</v>
      </c>
      <c r="T116" s="23">
        <v>91.25</v>
      </c>
      <c r="U116" s="23">
        <v>87.2</v>
      </c>
      <c r="V116" s="23">
        <v>87.06</v>
      </c>
      <c r="W116" s="23">
        <v>34.5</v>
      </c>
      <c r="X116" s="23">
        <v>94.48999999999999</v>
      </c>
      <c r="Y116" s="8"/>
      <c r="Z116" s="8"/>
      <c r="AA116" s="23">
        <f>AA115+1</f>
        <v>1245</v>
      </c>
      <c r="AB116" s="8"/>
    </row>
    <row r="117" ht="16" customHeight="1">
      <c r="A117" s="19">
        <v>45735</v>
      </c>
      <c r="B117" s="23">
        <v>71.19</v>
      </c>
      <c r="C117" s="23">
        <v>65.20999999999999</v>
      </c>
      <c r="D117" s="23">
        <v>65.51000000000001</v>
      </c>
      <c r="E117" s="23">
        <v>68.75</v>
      </c>
      <c r="F117" s="23">
        <v>60.3</v>
      </c>
      <c r="G117" s="23">
        <v>62.87</v>
      </c>
      <c r="H117" s="23">
        <v>68.78</v>
      </c>
      <c r="I117" s="23">
        <v>64.3</v>
      </c>
      <c r="J117" s="23">
        <v>64.44</v>
      </c>
      <c r="K117" s="23">
        <v>66.7</v>
      </c>
      <c r="L117" s="23">
        <v>60.08</v>
      </c>
      <c r="M117" s="23">
        <v>99</v>
      </c>
      <c r="N117" s="23">
        <v>91.8</v>
      </c>
      <c r="O117" s="23">
        <v>87.5</v>
      </c>
      <c r="P117" s="23">
        <v>87.75</v>
      </c>
      <c r="Q117" s="23">
        <v>34.358</v>
      </c>
      <c r="R117" s="23">
        <v>94.3</v>
      </c>
      <c r="S117" s="23">
        <v>98.8</v>
      </c>
      <c r="T117" s="23">
        <v>91.59999999999999</v>
      </c>
      <c r="U117" s="23">
        <v>87.59999999999999</v>
      </c>
      <c r="V117" s="23">
        <v>87.59999999999999</v>
      </c>
      <c r="W117" s="23">
        <v>34.083</v>
      </c>
      <c r="X117" s="23">
        <v>94.17</v>
      </c>
      <c r="Y117" s="8"/>
      <c r="Z117" s="8"/>
      <c r="AA117" s="23">
        <f>AA116+1</f>
        <v>1246</v>
      </c>
      <c r="AB117" s="8"/>
    </row>
    <row r="118" ht="16" customHeight="1">
      <c r="A118" s="19">
        <v>45736</v>
      </c>
      <c r="B118" s="23">
        <v>71.13</v>
      </c>
      <c r="C118" s="23">
        <v>65.09</v>
      </c>
      <c r="D118" s="23">
        <v>65.48999999999999</v>
      </c>
      <c r="E118" s="23">
        <v>68.95</v>
      </c>
      <c r="F118" s="23">
        <v>60.31</v>
      </c>
      <c r="G118" s="23">
        <v>63.02</v>
      </c>
      <c r="H118" s="23">
        <v>69.41</v>
      </c>
      <c r="I118" s="23">
        <v>64.18000000000001</v>
      </c>
      <c r="J118" s="23">
        <v>64.68000000000001</v>
      </c>
      <c r="K118" s="23">
        <v>66.8</v>
      </c>
      <c r="L118" s="23">
        <v>60.89</v>
      </c>
      <c r="M118" s="23">
        <v>97.89</v>
      </c>
      <c r="N118" s="23">
        <v>91.44</v>
      </c>
      <c r="O118" s="23">
        <v>87.73999999999999</v>
      </c>
      <c r="P118" s="23">
        <v>87.66</v>
      </c>
      <c r="Q118" s="23">
        <v>34.862</v>
      </c>
      <c r="R118" s="23">
        <v>94.5</v>
      </c>
      <c r="S118" s="23">
        <v>97.75</v>
      </c>
      <c r="T118" s="23">
        <v>91.2</v>
      </c>
      <c r="U118" s="23">
        <v>87.55</v>
      </c>
      <c r="V118" s="23">
        <v>87.83</v>
      </c>
      <c r="W118" s="23">
        <v>34.7</v>
      </c>
      <c r="X118" s="23">
        <v>94.34999999999999</v>
      </c>
      <c r="Y118" s="8"/>
      <c r="Z118" s="8"/>
      <c r="AA118" s="23">
        <f>AA117+1</f>
        <v>1247</v>
      </c>
      <c r="AB118" s="8"/>
    </row>
    <row r="119" ht="16" customHeight="1">
      <c r="A119" s="19">
        <v>45737</v>
      </c>
      <c r="B119" s="23">
        <v>71.01000000000001</v>
      </c>
      <c r="C119" s="23">
        <v>65.15000000000001</v>
      </c>
      <c r="D119" s="23">
        <v>65.5</v>
      </c>
      <c r="E119" s="23">
        <v>68.77</v>
      </c>
      <c r="F119" s="23">
        <v>60.5</v>
      </c>
      <c r="G119" s="23">
        <v>62.48</v>
      </c>
      <c r="H119" s="23">
        <v>69.22</v>
      </c>
      <c r="I119" s="23">
        <v>64.22</v>
      </c>
      <c r="J119" s="23">
        <v>64.7</v>
      </c>
      <c r="K119" s="23">
        <v>66.8</v>
      </c>
      <c r="L119" s="23">
        <v>60.69</v>
      </c>
      <c r="M119" s="23">
        <v>98.91</v>
      </c>
      <c r="N119" s="23">
        <v>90.90000000000001</v>
      </c>
      <c r="O119" s="23">
        <v>89.81999999999999</v>
      </c>
      <c r="P119" s="23">
        <v>89.40000000000001</v>
      </c>
      <c r="Q119" s="23">
        <v>34.914</v>
      </c>
      <c r="R119" s="23">
        <v>95.5</v>
      </c>
      <c r="S119" s="23">
        <v>98.73</v>
      </c>
      <c r="T119" s="23">
        <v>91</v>
      </c>
      <c r="U119" s="23">
        <v>87.56</v>
      </c>
      <c r="V119" s="23">
        <v>89</v>
      </c>
      <c r="W119" s="23">
        <v>34.9</v>
      </c>
      <c r="X119" s="23">
        <v>95.2</v>
      </c>
      <c r="Y119" s="8"/>
      <c r="Z119" s="8"/>
      <c r="AA119" s="23">
        <f>AA118+1</f>
        <v>1248</v>
      </c>
      <c r="AB119" s="8"/>
    </row>
    <row r="120" ht="16" customHeight="1">
      <c r="A120" s="19">
        <v>45741</v>
      </c>
      <c r="B120" s="23">
        <v>71.15000000000001</v>
      </c>
      <c r="C120" s="23">
        <v>65.79000000000001</v>
      </c>
      <c r="D120" s="23">
        <v>65.45999999999999</v>
      </c>
      <c r="E120" s="23">
        <v>68.7</v>
      </c>
      <c r="F120" s="23">
        <v>60.35</v>
      </c>
      <c r="G120" s="23">
        <v>62.3</v>
      </c>
      <c r="H120" s="23">
        <v>70.19</v>
      </c>
      <c r="I120" s="23">
        <v>64.89</v>
      </c>
      <c r="J120" s="23">
        <v>64.66</v>
      </c>
      <c r="K120" s="23">
        <v>66.69</v>
      </c>
      <c r="L120" s="23">
        <v>60.2</v>
      </c>
      <c r="M120" s="23">
        <v>98.5</v>
      </c>
      <c r="N120" s="23">
        <v>92.2</v>
      </c>
      <c r="O120" s="23">
        <v>89.22</v>
      </c>
      <c r="P120" s="23">
        <v>88.8</v>
      </c>
      <c r="Q120" s="23">
        <v>34.207</v>
      </c>
      <c r="R120" s="23">
        <v>96.3</v>
      </c>
      <c r="S120" s="23">
        <v>98.25</v>
      </c>
      <c r="T120" s="23">
        <v>92.09999999999999</v>
      </c>
      <c r="U120" s="23">
        <v>89.09</v>
      </c>
      <c r="V120" s="23">
        <v>88.90000000000001</v>
      </c>
      <c r="W120" s="23">
        <v>34.9</v>
      </c>
      <c r="X120" s="23">
        <v>96</v>
      </c>
      <c r="Y120" s="8"/>
      <c r="Z120" s="8"/>
      <c r="AA120" s="23">
        <f>AA119+1</f>
        <v>1249</v>
      </c>
      <c r="AB120" s="8"/>
    </row>
    <row r="121" ht="16" customHeight="1">
      <c r="A121" s="19">
        <v>45742</v>
      </c>
      <c r="B121" s="23">
        <v>70.77</v>
      </c>
      <c r="C121" s="23">
        <v>65.13</v>
      </c>
      <c r="D121" s="23">
        <v>64.87</v>
      </c>
      <c r="E121" s="23">
        <v>68.29000000000001</v>
      </c>
      <c r="F121" s="23">
        <v>59.97</v>
      </c>
      <c r="G121" s="23">
        <v>61.85</v>
      </c>
      <c r="H121" s="23">
        <v>69.59999999999999</v>
      </c>
      <c r="I121" s="23">
        <v>64.28</v>
      </c>
      <c r="J121" s="23">
        <v>64.3</v>
      </c>
      <c r="K121" s="23">
        <v>66.45999999999999</v>
      </c>
      <c r="L121" s="23">
        <v>59.8</v>
      </c>
      <c r="M121" s="23">
        <v>98.22</v>
      </c>
      <c r="N121" s="23">
        <v>92.7</v>
      </c>
      <c r="O121" s="23">
        <v>89.09999999999999</v>
      </c>
      <c r="P121" s="23">
        <v>88.91</v>
      </c>
      <c r="Q121" s="23">
        <v>35.453</v>
      </c>
      <c r="R121" s="23">
        <v>96.90000000000001</v>
      </c>
      <c r="S121" s="23">
        <v>98</v>
      </c>
      <c r="T121" s="23">
        <v>92.5</v>
      </c>
      <c r="U121" s="23">
        <v>88.8</v>
      </c>
      <c r="V121" s="23">
        <v>88.51000000000001</v>
      </c>
      <c r="W121" s="23">
        <v>35.5</v>
      </c>
      <c r="X121" s="23">
        <v>96.65000000000001</v>
      </c>
      <c r="Y121" s="8"/>
      <c r="Z121" s="8"/>
      <c r="AA121" s="23">
        <f>AA120+1</f>
        <v>1250</v>
      </c>
      <c r="AB121" s="8"/>
    </row>
    <row r="122" ht="16" customHeight="1">
      <c r="A122" s="19">
        <v>45743</v>
      </c>
      <c r="B122" s="23">
        <v>70.69</v>
      </c>
      <c r="C122" s="23">
        <v>65.55</v>
      </c>
      <c r="D122" s="23">
        <v>65.09</v>
      </c>
      <c r="E122" s="23">
        <v>68.56</v>
      </c>
      <c r="F122" s="23">
        <v>60.16</v>
      </c>
      <c r="G122" s="23">
        <v>62.8</v>
      </c>
      <c r="H122" s="23">
        <v>69.25</v>
      </c>
      <c r="I122" s="23">
        <v>64.56</v>
      </c>
      <c r="J122" s="23">
        <v>64.55</v>
      </c>
      <c r="K122" s="23">
        <v>66.25</v>
      </c>
      <c r="L122" s="23">
        <v>59.92</v>
      </c>
      <c r="M122" s="23">
        <v>98.5</v>
      </c>
      <c r="N122" s="23">
        <v>93.7</v>
      </c>
      <c r="O122" s="23">
        <v>90.7</v>
      </c>
      <c r="P122" s="23">
        <v>90.45999999999999</v>
      </c>
      <c r="Q122" s="23">
        <v>36.048</v>
      </c>
      <c r="R122" s="23">
        <v>97</v>
      </c>
      <c r="S122" s="23">
        <v>98.42</v>
      </c>
      <c r="T122" s="23">
        <v>93.59999999999999</v>
      </c>
      <c r="U122" s="23">
        <v>90.5</v>
      </c>
      <c r="V122" s="23">
        <v>90.25</v>
      </c>
      <c r="W122" s="23">
        <v>35.624</v>
      </c>
      <c r="X122" s="23">
        <v>96.8</v>
      </c>
      <c r="Y122" s="8"/>
      <c r="Z122" s="8"/>
      <c r="AA122" s="23">
        <f>AA121+1</f>
        <v>1251</v>
      </c>
      <c r="AB122" s="8"/>
    </row>
    <row r="123" ht="16" customHeight="1">
      <c r="A123" s="19">
        <v>45744</v>
      </c>
      <c r="B123" s="23">
        <v>70</v>
      </c>
      <c r="C123" s="23">
        <v>64.5</v>
      </c>
      <c r="D123" s="23">
        <v>63.85</v>
      </c>
      <c r="E123" s="23">
        <v>67.54000000000001</v>
      </c>
      <c r="F123" s="23">
        <v>59.15</v>
      </c>
      <c r="G123" s="23">
        <v>61.95</v>
      </c>
      <c r="H123" s="23">
        <v>68.8</v>
      </c>
      <c r="I123" s="23">
        <v>63.71</v>
      </c>
      <c r="J123" s="23">
        <v>63.79</v>
      </c>
      <c r="K123" s="23">
        <v>65.64</v>
      </c>
      <c r="L123" s="23">
        <v>59.08</v>
      </c>
      <c r="M123" s="23">
        <v>98.5</v>
      </c>
      <c r="N123" s="23">
        <v>93.31</v>
      </c>
      <c r="O123" s="23">
        <v>90.42</v>
      </c>
      <c r="P123" s="23">
        <v>90.5</v>
      </c>
      <c r="Q123" s="23">
        <v>28.13</v>
      </c>
      <c r="R123" s="23">
        <v>96.39</v>
      </c>
      <c r="S123" s="23">
        <v>98.2</v>
      </c>
      <c r="T123" s="23">
        <v>93.34999999999999</v>
      </c>
      <c r="U123" s="23">
        <v>90.25</v>
      </c>
      <c r="V123" s="23">
        <v>90.3</v>
      </c>
      <c r="W123" s="23">
        <v>27.311</v>
      </c>
      <c r="X123" s="23">
        <v>96.27</v>
      </c>
      <c r="Y123" s="8"/>
      <c r="Z123" s="8"/>
      <c r="AA123" s="23">
        <f>AA122+1</f>
        <v>1252</v>
      </c>
      <c r="AB123" s="8"/>
    </row>
    <row r="124" ht="16" customHeight="1">
      <c r="A124" s="19">
        <v>45747</v>
      </c>
      <c r="B124" s="23">
        <v>70.5</v>
      </c>
      <c r="C124" s="23">
        <v>64.22</v>
      </c>
      <c r="D124" s="23">
        <v>63.63</v>
      </c>
      <c r="E124" s="23">
        <v>67.17</v>
      </c>
      <c r="F124" s="23">
        <v>58.75</v>
      </c>
      <c r="G124" s="23">
        <v>60.61</v>
      </c>
      <c r="H124" s="23">
        <v>68.55</v>
      </c>
      <c r="I124" s="23">
        <v>63.75</v>
      </c>
      <c r="J124" s="23">
        <v>63.16</v>
      </c>
      <c r="K124" s="23">
        <v>65.01000000000001</v>
      </c>
      <c r="L124" s="23">
        <v>58.52</v>
      </c>
      <c r="M124" s="23">
        <v>98.36</v>
      </c>
      <c r="N124" s="23">
        <v>93.59</v>
      </c>
      <c r="O124" s="23">
        <v>90.44</v>
      </c>
      <c r="P124" s="23">
        <v>90.5</v>
      </c>
      <c r="Q124" s="23">
        <v>28.59</v>
      </c>
      <c r="R124" s="23">
        <v>96.81</v>
      </c>
      <c r="S124" s="23">
        <v>98.40000000000001</v>
      </c>
      <c r="T124" s="23">
        <v>93.45</v>
      </c>
      <c r="U124" s="23">
        <v>90.41</v>
      </c>
      <c r="V124" s="23">
        <v>90.47</v>
      </c>
      <c r="W124" s="23">
        <v>26.841</v>
      </c>
      <c r="X124" s="23">
        <v>96.72</v>
      </c>
      <c r="Y124" s="8"/>
      <c r="Z124" s="8"/>
      <c r="AA124" s="23">
        <f>AA123+1</f>
        <v>1253</v>
      </c>
      <c r="AB124" s="8"/>
    </row>
    <row r="125" ht="16" customHeight="1">
      <c r="A125" s="19">
        <v>45748</v>
      </c>
      <c r="B125" s="23">
        <v>69.36</v>
      </c>
      <c r="C125" s="23">
        <v>64.73</v>
      </c>
      <c r="D125" s="23">
        <v>63.5</v>
      </c>
      <c r="E125" s="23">
        <v>67.06999999999999</v>
      </c>
      <c r="F125" s="23">
        <v>58.7</v>
      </c>
      <c r="G125" s="23">
        <v>61.6</v>
      </c>
      <c r="H125" s="23">
        <v>68.7</v>
      </c>
      <c r="I125" s="23">
        <v>63.6</v>
      </c>
      <c r="J125" s="23">
        <v>63.2</v>
      </c>
      <c r="K125" s="23">
        <v>65.31</v>
      </c>
      <c r="L125" s="23">
        <v>58.01</v>
      </c>
      <c r="M125" s="23">
        <v>98.59</v>
      </c>
      <c r="N125" s="23">
        <v>93.5</v>
      </c>
      <c r="O125" s="23">
        <v>90.75</v>
      </c>
      <c r="P125" s="23">
        <v>90.56</v>
      </c>
      <c r="Q125" s="23">
        <v>29</v>
      </c>
      <c r="R125" s="23">
        <v>96.95</v>
      </c>
      <c r="S125" s="23">
        <v>98.59999999999999</v>
      </c>
      <c r="T125" s="23">
        <v>93.36</v>
      </c>
      <c r="U125" s="23">
        <v>90.75</v>
      </c>
      <c r="V125" s="23">
        <v>90.5</v>
      </c>
      <c r="W125" s="23">
        <v>26.841</v>
      </c>
      <c r="X125" s="23">
        <v>97</v>
      </c>
      <c r="Y125" s="8"/>
      <c r="Z125" s="8"/>
      <c r="AA125" s="23">
        <f>AA124+1</f>
        <v>1254</v>
      </c>
      <c r="AB125" s="8"/>
    </row>
    <row r="126" ht="16" customHeight="1">
      <c r="A126" s="19">
        <v>45750</v>
      </c>
      <c r="B126" s="23">
        <v>69.98999999999999</v>
      </c>
      <c r="C126" s="23">
        <v>63.83</v>
      </c>
      <c r="D126" s="23">
        <v>62.4</v>
      </c>
      <c r="E126" s="23">
        <v>65.98999999999999</v>
      </c>
      <c r="F126" s="23">
        <v>57.5</v>
      </c>
      <c r="G126" s="23">
        <v>60.66</v>
      </c>
      <c r="H126" s="23">
        <v>68.27</v>
      </c>
      <c r="I126" s="23">
        <v>63.05</v>
      </c>
      <c r="J126" s="23">
        <v>62.01</v>
      </c>
      <c r="K126" s="23">
        <v>64.33</v>
      </c>
      <c r="L126" s="23">
        <v>57.52</v>
      </c>
      <c r="M126" s="23">
        <v>98.03</v>
      </c>
      <c r="N126" s="23">
        <v>93.25</v>
      </c>
      <c r="O126" s="23">
        <v>90.5</v>
      </c>
      <c r="P126" s="23">
        <v>90.55</v>
      </c>
      <c r="Q126" s="23">
        <v>26.939</v>
      </c>
      <c r="R126" s="23">
        <v>96.75</v>
      </c>
      <c r="S126" s="23">
        <v>98</v>
      </c>
      <c r="T126" s="23">
        <v>93.09999999999999</v>
      </c>
      <c r="U126" s="23">
        <v>90.56999999999999</v>
      </c>
      <c r="V126" s="23">
        <v>90.55</v>
      </c>
      <c r="W126" s="23">
        <v>26.841</v>
      </c>
      <c r="X126" s="23">
        <v>96.65000000000001</v>
      </c>
      <c r="Y126" s="8"/>
      <c r="Z126" s="8"/>
      <c r="AA126" s="23">
        <f>AA125+1</f>
        <v>1255</v>
      </c>
      <c r="AB126" s="8"/>
    </row>
    <row r="127" ht="16" customHeight="1">
      <c r="A127" s="19">
        <v>45751</v>
      </c>
      <c r="B127" s="23">
        <v>69.98</v>
      </c>
      <c r="C127" s="23">
        <v>63.11</v>
      </c>
      <c r="D127" s="23">
        <v>61.5</v>
      </c>
      <c r="E127" s="23">
        <v>65.5</v>
      </c>
      <c r="F127" s="23">
        <v>55.96</v>
      </c>
      <c r="G127" s="23">
        <v>59</v>
      </c>
      <c r="H127" s="23">
        <v>67</v>
      </c>
      <c r="I127" s="23">
        <v>61.92</v>
      </c>
      <c r="J127" s="23">
        <v>60.81</v>
      </c>
      <c r="K127" s="23">
        <v>62.95</v>
      </c>
      <c r="L127" s="23">
        <v>56.63</v>
      </c>
      <c r="M127" s="23">
        <v>98.19</v>
      </c>
      <c r="N127" s="23">
        <v>92.48999999999999</v>
      </c>
      <c r="O127" s="23">
        <v>90.14</v>
      </c>
      <c r="P127" s="23">
        <v>90.05</v>
      </c>
      <c r="Q127" s="23">
        <v>25.1</v>
      </c>
      <c r="R127" s="23">
        <v>95.53</v>
      </c>
      <c r="S127" s="23">
        <v>97.8</v>
      </c>
      <c r="T127" s="23">
        <v>92.90000000000001</v>
      </c>
      <c r="U127" s="23">
        <v>90.05</v>
      </c>
      <c r="V127" s="23">
        <v>90.34999999999999</v>
      </c>
      <c r="W127" s="23">
        <v>25.549</v>
      </c>
      <c r="X127" s="23">
        <v>95.95999999999999</v>
      </c>
      <c r="Y127" s="8"/>
      <c r="Z127" s="8"/>
      <c r="AA127" s="23">
        <f>AA126+1</f>
        <v>1256</v>
      </c>
      <c r="AB127" s="8"/>
    </row>
    <row r="128" ht="16" customHeight="1">
      <c r="A128" s="19">
        <v>45754</v>
      </c>
      <c r="B128" s="23">
        <v>66.95999999999999</v>
      </c>
      <c r="C128" s="23">
        <v>61.77</v>
      </c>
      <c r="D128" s="23">
        <v>58.52</v>
      </c>
      <c r="E128" s="23">
        <v>61.5</v>
      </c>
      <c r="F128" s="23">
        <v>53.84</v>
      </c>
      <c r="G128" s="23">
        <v>56.9</v>
      </c>
      <c r="H128" s="23">
        <v>64.94</v>
      </c>
      <c r="I128" s="23">
        <v>60.51</v>
      </c>
      <c r="J128" s="23">
        <v>57.7</v>
      </c>
      <c r="K128" s="23">
        <v>59.3</v>
      </c>
      <c r="L128" s="23">
        <v>53.3</v>
      </c>
      <c r="M128" s="23">
        <v>98.15000000000001</v>
      </c>
      <c r="N128" s="23">
        <v>91.5</v>
      </c>
      <c r="O128" s="23">
        <v>89.03</v>
      </c>
      <c r="P128" s="23">
        <v>89.47</v>
      </c>
      <c r="Q128" s="23">
        <v>28.105</v>
      </c>
      <c r="R128" s="23">
        <v>95</v>
      </c>
      <c r="S128" s="23">
        <v>98.40000000000001</v>
      </c>
      <c r="T128" s="23">
        <v>91.75</v>
      </c>
      <c r="U128" s="23">
        <v>89.09</v>
      </c>
      <c r="V128" s="23">
        <v>89.5</v>
      </c>
      <c r="W128" s="23">
        <v>25.549</v>
      </c>
      <c r="X128" s="23">
        <v>95.25</v>
      </c>
      <c r="Y128" s="8"/>
      <c r="Z128" s="8"/>
      <c r="AA128" s="23">
        <f>AA127+1</f>
        <v>1257</v>
      </c>
      <c r="AB128" s="8"/>
    </row>
    <row r="129" ht="16" customHeight="1">
      <c r="A129" s="19">
        <v>45755</v>
      </c>
      <c r="B129" s="23">
        <v>66.95</v>
      </c>
      <c r="C129" s="23">
        <v>61.51</v>
      </c>
      <c r="D129" s="23">
        <v>58</v>
      </c>
      <c r="E129" s="23">
        <v>61.23</v>
      </c>
      <c r="F129" s="23">
        <v>53.58</v>
      </c>
      <c r="G129" s="23">
        <v>56.4</v>
      </c>
      <c r="H129" s="23">
        <v>64.59999999999999</v>
      </c>
      <c r="I129" s="23">
        <v>59.49</v>
      </c>
      <c r="J129" s="23">
        <v>57.55</v>
      </c>
      <c r="K129" s="23">
        <v>59.1</v>
      </c>
      <c r="L129" s="23">
        <v>53.7</v>
      </c>
      <c r="M129" s="23">
        <v>97.8</v>
      </c>
      <c r="N129" s="23">
        <v>90.86</v>
      </c>
      <c r="O129" s="23">
        <v>89.17</v>
      </c>
      <c r="P129" s="23">
        <v>89</v>
      </c>
      <c r="Q129" s="23">
        <v>28</v>
      </c>
      <c r="R129" s="23">
        <v>95.26000000000001</v>
      </c>
      <c r="S129" s="23">
        <v>97.45</v>
      </c>
      <c r="T129" s="23">
        <v>91</v>
      </c>
      <c r="U129" s="23">
        <v>89.36</v>
      </c>
      <c r="V129" s="23">
        <v>89.5</v>
      </c>
      <c r="W129" s="23">
        <v>25.549</v>
      </c>
      <c r="X129" s="23">
        <v>95.5</v>
      </c>
      <c r="Y129" s="8"/>
      <c r="Z129" s="8"/>
      <c r="AA129" s="23">
        <f>AA128+1</f>
        <v>1258</v>
      </c>
      <c r="AB129" s="8"/>
    </row>
    <row r="130" ht="16" customHeight="1">
      <c r="A130" s="19">
        <v>45756</v>
      </c>
      <c r="B130" s="23">
        <v>69.5</v>
      </c>
      <c r="C130" s="23">
        <v>63.6</v>
      </c>
      <c r="D130" s="23">
        <v>61.15</v>
      </c>
      <c r="E130" s="23">
        <v>64.16</v>
      </c>
      <c r="F130" s="23">
        <v>56.28</v>
      </c>
      <c r="G130" s="23">
        <v>58.34</v>
      </c>
      <c r="H130" s="23">
        <v>67.90000000000001</v>
      </c>
      <c r="I130" s="23">
        <v>61.56</v>
      </c>
      <c r="J130" s="23">
        <v>60.65</v>
      </c>
      <c r="K130" s="23">
        <v>62</v>
      </c>
      <c r="L130" s="23">
        <v>56.21</v>
      </c>
      <c r="M130" s="23">
        <v>97.34999999999999</v>
      </c>
      <c r="N130" s="23">
        <v>93.5</v>
      </c>
      <c r="O130" s="23">
        <v>89.77</v>
      </c>
      <c r="P130" s="23">
        <v>91.25</v>
      </c>
      <c r="Q130" s="23">
        <v>28</v>
      </c>
      <c r="R130" s="23">
        <v>96.90000000000001</v>
      </c>
      <c r="S130" s="23">
        <v>97.90000000000001</v>
      </c>
      <c r="T130" s="23">
        <v>93</v>
      </c>
      <c r="U130" s="23">
        <v>90.25</v>
      </c>
      <c r="V130" s="23">
        <v>90</v>
      </c>
      <c r="W130" s="23">
        <v>25.549</v>
      </c>
      <c r="X130" s="23">
        <v>96.90000000000001</v>
      </c>
      <c r="Y130" s="8"/>
      <c r="Z130" s="8"/>
      <c r="AA130" s="23">
        <f>AA129+1</f>
        <v>1259</v>
      </c>
      <c r="AB130" s="8"/>
    </row>
    <row r="131" ht="16" customHeight="1">
      <c r="A131" s="19">
        <v>45757</v>
      </c>
      <c r="B131" s="23">
        <v>69</v>
      </c>
      <c r="C131" s="23">
        <v>63.75</v>
      </c>
      <c r="D131" s="23">
        <v>59.77</v>
      </c>
      <c r="E131" s="23">
        <v>63.08</v>
      </c>
      <c r="F131" s="23">
        <v>55.09</v>
      </c>
      <c r="G131" s="23">
        <v>58.75</v>
      </c>
      <c r="H131" s="23">
        <v>65.34999999999999</v>
      </c>
      <c r="I131" s="23">
        <v>61.07</v>
      </c>
      <c r="J131" s="23">
        <v>60</v>
      </c>
      <c r="K131" s="23">
        <v>61.53</v>
      </c>
      <c r="L131" s="23">
        <v>55.61</v>
      </c>
      <c r="M131" s="23">
        <v>97.55</v>
      </c>
      <c r="N131" s="23">
        <v>92.15000000000001</v>
      </c>
      <c r="O131" s="23">
        <v>89.75</v>
      </c>
      <c r="P131" s="23">
        <v>90</v>
      </c>
      <c r="Q131" s="23">
        <v>26.669</v>
      </c>
      <c r="R131" s="23">
        <v>97.15000000000001</v>
      </c>
      <c r="S131" s="23">
        <v>97.95</v>
      </c>
      <c r="T131" s="23">
        <v>92.25</v>
      </c>
      <c r="U131" s="23">
        <v>89.84999999999999</v>
      </c>
      <c r="V131" s="23">
        <v>89.75</v>
      </c>
      <c r="W131" s="23">
        <v>25.549</v>
      </c>
      <c r="X131" s="23">
        <v>97.54000000000001</v>
      </c>
      <c r="Y131" s="8"/>
      <c r="Z131" s="8"/>
      <c r="AA131" s="23">
        <f>AA130+1</f>
        <v>1260</v>
      </c>
      <c r="AB131" s="8"/>
    </row>
    <row r="132" ht="16" customHeight="1">
      <c r="A132" s="19">
        <v>45758</v>
      </c>
      <c r="B132" s="23">
        <v>70.22</v>
      </c>
      <c r="C132" s="23">
        <v>64.27</v>
      </c>
      <c r="D132" s="23">
        <v>60.8</v>
      </c>
      <c r="E132" s="23">
        <v>64.03</v>
      </c>
      <c r="F132" s="23">
        <v>56.05</v>
      </c>
      <c r="G132" s="23">
        <v>59.3</v>
      </c>
      <c r="H132" s="23">
        <v>67.5</v>
      </c>
      <c r="I132" s="23">
        <v>62.9</v>
      </c>
      <c r="J132" s="23">
        <v>60.7</v>
      </c>
      <c r="K132" s="23">
        <v>62.5</v>
      </c>
      <c r="L132" s="23">
        <v>55.71</v>
      </c>
      <c r="M132" s="23">
        <v>97.54000000000001</v>
      </c>
      <c r="N132" s="23">
        <v>93.04000000000001</v>
      </c>
      <c r="O132" s="23">
        <v>90.90000000000001</v>
      </c>
      <c r="P132" s="23">
        <v>90.86</v>
      </c>
      <c r="Q132" s="23">
        <v>27.195</v>
      </c>
      <c r="R132" s="23">
        <v>97.12</v>
      </c>
      <c r="S132" s="23">
        <v>97.28</v>
      </c>
      <c r="T132" s="23">
        <v>92.5</v>
      </c>
      <c r="U132" s="23">
        <v>90.51000000000001</v>
      </c>
      <c r="V132" s="23">
        <v>90.84999999999999</v>
      </c>
      <c r="W132" s="23">
        <v>26.433</v>
      </c>
      <c r="X132" s="23">
        <v>97.27</v>
      </c>
      <c r="Y132" s="8"/>
      <c r="Z132" s="8"/>
      <c r="AA132" s="23">
        <f>AA131+1</f>
        <v>1261</v>
      </c>
      <c r="AB132" s="8"/>
    </row>
    <row r="133" ht="16" customHeight="1">
      <c r="A133" s="19">
        <v>45761</v>
      </c>
      <c r="B133" s="23">
        <v>71.53</v>
      </c>
      <c r="C133" s="23">
        <v>67.59999999999999</v>
      </c>
      <c r="D133" s="23">
        <v>66.48999999999999</v>
      </c>
      <c r="E133" s="23">
        <v>69.7</v>
      </c>
      <c r="F133" s="23">
        <v>61.4</v>
      </c>
      <c r="G133" s="23">
        <v>63.91</v>
      </c>
      <c r="H133" s="23">
        <v>70.42</v>
      </c>
      <c r="I133" s="23">
        <v>66.14</v>
      </c>
      <c r="J133" s="23">
        <v>66.5</v>
      </c>
      <c r="K133" s="23">
        <v>67.89</v>
      </c>
      <c r="L133" s="23">
        <v>61.27</v>
      </c>
      <c r="M133" s="23">
        <v>98</v>
      </c>
      <c r="N133" s="23">
        <v>94.34999999999999</v>
      </c>
      <c r="O133" s="23">
        <v>90.95999999999999</v>
      </c>
      <c r="P133" s="23">
        <v>90.89</v>
      </c>
      <c r="Q133" s="23">
        <v>25.018</v>
      </c>
      <c r="R133" s="23">
        <v>97.2</v>
      </c>
      <c r="S133" s="23">
        <v>98.25</v>
      </c>
      <c r="T133" s="23">
        <v>94.5</v>
      </c>
      <c r="U133" s="23">
        <v>90.95</v>
      </c>
      <c r="V133" s="23">
        <v>91.18000000000001</v>
      </c>
      <c r="W133" s="23">
        <v>25.663</v>
      </c>
      <c r="X133" s="23">
        <v>96.90000000000001</v>
      </c>
      <c r="Y133" s="8"/>
      <c r="Z133" s="8"/>
      <c r="AA133" s="23">
        <f>AA132+1</f>
        <v>1262</v>
      </c>
      <c r="AB133" s="8"/>
    </row>
    <row r="134" ht="16" customHeight="1">
      <c r="A134" s="19">
        <v>45762</v>
      </c>
      <c r="B134" s="23">
        <v>71.34999999999999</v>
      </c>
      <c r="C134" s="23">
        <v>67.33</v>
      </c>
      <c r="D134" s="23">
        <v>66.75</v>
      </c>
      <c r="E134" s="23">
        <v>70.15000000000001</v>
      </c>
      <c r="F134" s="23">
        <v>61.7</v>
      </c>
      <c r="G134" s="23">
        <v>63.16</v>
      </c>
      <c r="H134" s="23">
        <v>70</v>
      </c>
      <c r="I134" s="23">
        <v>65.7</v>
      </c>
      <c r="J134" s="23">
        <v>66.05</v>
      </c>
      <c r="K134" s="23">
        <v>68.18000000000001</v>
      </c>
      <c r="L134" s="23">
        <v>62.09</v>
      </c>
      <c r="M134" s="23">
        <v>99.17</v>
      </c>
      <c r="N134" s="23">
        <v>95</v>
      </c>
      <c r="O134" s="23">
        <v>91.5</v>
      </c>
      <c r="P134" s="23">
        <v>91.5</v>
      </c>
      <c r="Q134" s="23">
        <v>26.34</v>
      </c>
      <c r="R134" s="23">
        <v>96</v>
      </c>
      <c r="S134" s="23">
        <v>98.8</v>
      </c>
      <c r="T134" s="23">
        <v>94.59999999999999</v>
      </c>
      <c r="U134" s="23">
        <v>91</v>
      </c>
      <c r="V134" s="23">
        <v>91</v>
      </c>
      <c r="W134" s="23">
        <v>25.663</v>
      </c>
      <c r="X134" s="23">
        <v>96.01000000000001</v>
      </c>
      <c r="Y134" s="8"/>
      <c r="Z134" s="8"/>
      <c r="AA134" s="23">
        <f>AA133+1</f>
        <v>1263</v>
      </c>
      <c r="AB134" s="8"/>
    </row>
    <row r="135" ht="16" customHeight="1">
      <c r="A135" s="19">
        <v>45763</v>
      </c>
      <c r="B135" s="23">
        <v>73.89</v>
      </c>
      <c r="C135" s="23">
        <v>66.8</v>
      </c>
      <c r="D135" s="23">
        <v>67.29000000000001</v>
      </c>
      <c r="E135" s="23">
        <v>70.39</v>
      </c>
      <c r="F135" s="23">
        <v>62.14</v>
      </c>
      <c r="G135" s="23">
        <v>64.40000000000001</v>
      </c>
      <c r="H135" s="23">
        <v>70</v>
      </c>
      <c r="I135" s="23">
        <v>65.75</v>
      </c>
      <c r="J135" s="23">
        <v>66.90000000000001</v>
      </c>
      <c r="K135" s="23">
        <v>68.48999999999999</v>
      </c>
      <c r="L135" s="23">
        <v>62.29</v>
      </c>
      <c r="M135" s="23">
        <v>99</v>
      </c>
      <c r="N135" s="23">
        <v>95.91</v>
      </c>
      <c r="O135" s="23">
        <v>92</v>
      </c>
      <c r="P135" s="23">
        <v>91.75</v>
      </c>
      <c r="Q135" s="23">
        <v>26.418</v>
      </c>
      <c r="R135" s="23">
        <v>96.2</v>
      </c>
      <c r="S135" s="23">
        <v>98.45</v>
      </c>
      <c r="T135" s="23">
        <v>95.5</v>
      </c>
      <c r="U135" s="23">
        <v>90.65000000000001</v>
      </c>
      <c r="V135" s="23">
        <v>91</v>
      </c>
      <c r="W135" s="23">
        <v>26.9</v>
      </c>
      <c r="X135" s="23">
        <v>95.98999999999999</v>
      </c>
      <c r="Y135" s="8"/>
      <c r="Z135" s="8"/>
      <c r="AA135" s="23">
        <f>AA134+1</f>
        <v>1264</v>
      </c>
      <c r="AB135" s="8"/>
    </row>
    <row r="136" ht="16" customHeight="1">
      <c r="A136" s="19">
        <v>45768</v>
      </c>
      <c r="B136" s="23">
        <v>72.90000000000001</v>
      </c>
      <c r="C136" s="23">
        <v>67.58</v>
      </c>
      <c r="D136" s="23">
        <v>66.56999999999999</v>
      </c>
      <c r="E136" s="23">
        <v>70.25</v>
      </c>
      <c r="F136" s="23">
        <v>61.78</v>
      </c>
      <c r="G136" s="23">
        <v>65</v>
      </c>
      <c r="H136" s="23">
        <v>69.31999999999999</v>
      </c>
      <c r="I136" s="23">
        <v>66.18000000000001</v>
      </c>
      <c r="J136" s="23">
        <v>66.15000000000001</v>
      </c>
      <c r="K136" s="23">
        <v>68.23</v>
      </c>
      <c r="L136" s="23">
        <v>61.45</v>
      </c>
      <c r="M136" s="23">
        <v>99.75</v>
      </c>
      <c r="N136" s="23">
        <v>96.09999999999999</v>
      </c>
      <c r="O136" s="23">
        <v>92.22</v>
      </c>
      <c r="P136" s="23">
        <v>91.8</v>
      </c>
      <c r="Q136" s="23">
        <v>25.376</v>
      </c>
      <c r="R136" s="23">
        <v>96.88</v>
      </c>
      <c r="S136" s="23">
        <v>98.8</v>
      </c>
      <c r="T136" s="23">
        <v>95.90000000000001</v>
      </c>
      <c r="U136" s="23">
        <v>91.3</v>
      </c>
      <c r="V136" s="23">
        <v>90.95</v>
      </c>
      <c r="W136" s="23">
        <v>25.555</v>
      </c>
      <c r="X136" s="23">
        <v>95.7</v>
      </c>
      <c r="Y136" s="8"/>
      <c r="Z136" s="8"/>
      <c r="AA136" s="23">
        <f>AA135+1</f>
        <v>1265</v>
      </c>
      <c r="AB136" s="8"/>
    </row>
    <row r="137" ht="16" customHeight="1">
      <c r="A137" s="19">
        <v>45769</v>
      </c>
      <c r="B137" s="23">
        <v>73.81</v>
      </c>
      <c r="C137" s="23">
        <v>69.09999999999999</v>
      </c>
      <c r="D137" s="23">
        <v>68.54000000000001</v>
      </c>
      <c r="E137" s="23">
        <v>72.09999999999999</v>
      </c>
      <c r="F137" s="23">
        <v>63.6</v>
      </c>
      <c r="G137" s="23">
        <v>65.81</v>
      </c>
      <c r="H137" s="23">
        <v>71.31999999999999</v>
      </c>
      <c r="I137" s="23">
        <v>67.77</v>
      </c>
      <c r="J137" s="23">
        <v>67.94</v>
      </c>
      <c r="K137" s="23">
        <v>69.79000000000001</v>
      </c>
      <c r="L137" s="23">
        <v>63.2</v>
      </c>
      <c r="M137" s="23">
        <v>100</v>
      </c>
      <c r="N137" s="23">
        <v>97</v>
      </c>
      <c r="O137" s="23">
        <v>92.89</v>
      </c>
      <c r="P137" s="23">
        <v>92.93000000000001</v>
      </c>
      <c r="Q137" s="23">
        <v>25.001</v>
      </c>
      <c r="R137" s="23">
        <v>97.34999999999999</v>
      </c>
      <c r="S137" s="23">
        <v>98.44</v>
      </c>
      <c r="T137" s="23">
        <v>95.25</v>
      </c>
      <c r="U137" s="23">
        <v>91.34999999999999</v>
      </c>
      <c r="V137" s="23">
        <v>91.5</v>
      </c>
      <c r="W137" s="23">
        <v>25.727</v>
      </c>
      <c r="X137" s="23">
        <v>95.95</v>
      </c>
      <c r="Y137" s="8"/>
      <c r="Z137" s="8"/>
      <c r="AA137" s="23">
        <f>AA136+1</f>
        <v>1266</v>
      </c>
      <c r="AB137" s="8"/>
    </row>
    <row r="138" ht="16" customHeight="1">
      <c r="A138" s="19">
        <v>45770</v>
      </c>
      <c r="B138" s="23">
        <v>72.77</v>
      </c>
      <c r="C138" s="23">
        <v>68.51000000000001</v>
      </c>
      <c r="D138" s="23">
        <v>68.66</v>
      </c>
      <c r="E138" s="23">
        <v>72.40000000000001</v>
      </c>
      <c r="F138" s="23">
        <v>63.9</v>
      </c>
      <c r="G138" s="23">
        <v>66.5</v>
      </c>
      <c r="H138" s="23">
        <v>71.92</v>
      </c>
      <c r="I138" s="23">
        <v>67.5</v>
      </c>
      <c r="J138" s="23">
        <v>68.17</v>
      </c>
      <c r="K138" s="23">
        <v>70.48999999999999</v>
      </c>
      <c r="L138" s="23">
        <v>63.98</v>
      </c>
      <c r="M138" s="23">
        <v>100</v>
      </c>
      <c r="N138" s="23">
        <v>97.2</v>
      </c>
      <c r="O138" s="23">
        <v>93.7</v>
      </c>
      <c r="P138" s="23">
        <v>93.31</v>
      </c>
      <c r="Q138" s="23">
        <v>25.4</v>
      </c>
      <c r="R138" s="23">
        <v>97.8</v>
      </c>
      <c r="S138" s="23">
        <v>98.25</v>
      </c>
      <c r="T138" s="23">
        <v>95.5</v>
      </c>
      <c r="U138" s="23">
        <v>92.01000000000001</v>
      </c>
      <c r="V138" s="23">
        <v>91.7</v>
      </c>
      <c r="W138" s="23">
        <v>25.587</v>
      </c>
      <c r="X138" s="23">
        <v>96.5</v>
      </c>
      <c r="Y138" s="8"/>
      <c r="Z138" s="8"/>
      <c r="AA138" s="23">
        <f>AA137+1</f>
        <v>1267</v>
      </c>
      <c r="AB138" s="8"/>
    </row>
    <row r="139" ht="16" customHeight="1">
      <c r="A139" s="19">
        <v>45771</v>
      </c>
      <c r="B139" s="23">
        <v>74.3</v>
      </c>
      <c r="C139" s="23">
        <v>68.95</v>
      </c>
      <c r="D139" s="23">
        <v>69.34</v>
      </c>
      <c r="E139" s="23">
        <v>73.3</v>
      </c>
      <c r="F139" s="23">
        <v>64.54000000000001</v>
      </c>
      <c r="G139" s="23">
        <v>66.3</v>
      </c>
      <c r="H139" s="23">
        <v>71.90000000000001</v>
      </c>
      <c r="I139" s="23">
        <v>67.92</v>
      </c>
      <c r="J139" s="23">
        <v>68.81999999999999</v>
      </c>
      <c r="K139" s="23">
        <v>71.19</v>
      </c>
      <c r="L139" s="23">
        <v>64.19</v>
      </c>
      <c r="M139" s="23">
        <v>99.92</v>
      </c>
      <c r="N139" s="23">
        <v>97.2</v>
      </c>
      <c r="O139" s="23">
        <v>93.3</v>
      </c>
      <c r="P139" s="23">
        <v>93.44</v>
      </c>
      <c r="Q139" s="23">
        <v>27.524</v>
      </c>
      <c r="R139" s="23">
        <v>97.5</v>
      </c>
      <c r="S139" s="23">
        <v>98.84999999999999</v>
      </c>
      <c r="T139" s="23">
        <v>95.90000000000001</v>
      </c>
      <c r="U139" s="23">
        <v>92.03</v>
      </c>
      <c r="V139" s="23">
        <v>92.19</v>
      </c>
      <c r="W139" s="23">
        <v>26.547</v>
      </c>
      <c r="X139" s="23">
        <v>96.40000000000001</v>
      </c>
      <c r="Y139" s="8"/>
      <c r="Z139" s="8"/>
      <c r="AA139" s="23">
        <f>AA138+1</f>
        <v>1268</v>
      </c>
      <c r="AB139" s="8"/>
    </row>
    <row r="140" ht="16" customHeight="1">
      <c r="A140" s="19">
        <v>45772</v>
      </c>
      <c r="B140" s="23">
        <v>74.59999999999999</v>
      </c>
      <c r="C140" s="23">
        <v>69.2</v>
      </c>
      <c r="D140" s="23">
        <v>69.84</v>
      </c>
      <c r="E140" s="23">
        <v>73.73</v>
      </c>
      <c r="F140" s="23">
        <v>64.34999999999999</v>
      </c>
      <c r="G140" s="23">
        <v>66.64</v>
      </c>
      <c r="H140" s="23">
        <v>71.98999999999999</v>
      </c>
      <c r="I140" s="23">
        <v>67.59999999999999</v>
      </c>
      <c r="J140" s="23">
        <v>68.90000000000001</v>
      </c>
      <c r="K140" s="23">
        <v>71.12</v>
      </c>
      <c r="L140" s="23">
        <v>64.40000000000001</v>
      </c>
      <c r="M140" s="23">
        <v>99.95999999999999</v>
      </c>
      <c r="N140" s="23">
        <v>97.58</v>
      </c>
      <c r="O140" s="23">
        <v>93.90000000000001</v>
      </c>
      <c r="P140" s="23">
        <v>93.76000000000001</v>
      </c>
      <c r="Q140" s="23">
        <v>26.578</v>
      </c>
      <c r="R140" s="23">
        <v>97.5</v>
      </c>
      <c r="S140" s="23">
        <v>98.65000000000001</v>
      </c>
      <c r="T140" s="23">
        <v>96.40000000000001</v>
      </c>
      <c r="U140" s="23">
        <v>92.7</v>
      </c>
      <c r="V140" s="23">
        <v>92.7</v>
      </c>
      <c r="W140" s="23">
        <v>25.961</v>
      </c>
      <c r="X140" s="23">
        <v>96.31999999999999</v>
      </c>
      <c r="Y140" s="8"/>
      <c r="Z140" s="8"/>
      <c r="AA140" s="23">
        <f>AA139+1</f>
        <v>1269</v>
      </c>
      <c r="AB140" s="8"/>
    </row>
    <row r="141" ht="16" customHeight="1">
      <c r="A141" s="19">
        <v>45775</v>
      </c>
      <c r="B141" s="23">
        <v>75</v>
      </c>
      <c r="C141" s="23">
        <v>69.09999999999999</v>
      </c>
      <c r="D141" s="23">
        <v>68.91</v>
      </c>
      <c r="E141" s="23">
        <v>73.2</v>
      </c>
      <c r="F141" s="23">
        <v>64.02</v>
      </c>
      <c r="G141" s="23">
        <v>67.23</v>
      </c>
      <c r="H141" s="23">
        <v>71.84</v>
      </c>
      <c r="I141" s="23">
        <v>67.76000000000001</v>
      </c>
      <c r="J141" s="23">
        <v>68.65000000000001</v>
      </c>
      <c r="K141" s="23">
        <v>70.62</v>
      </c>
      <c r="L141" s="23">
        <v>64.5</v>
      </c>
      <c r="M141" s="23">
        <v>100.75</v>
      </c>
      <c r="N141" s="23">
        <v>97.67</v>
      </c>
      <c r="O141" s="23">
        <v>94.3</v>
      </c>
      <c r="P141" s="23">
        <v>94.5</v>
      </c>
      <c r="Q141" s="23">
        <v>25.727</v>
      </c>
      <c r="R141" s="23">
        <v>97.65000000000001</v>
      </c>
      <c r="S141" s="23">
        <v>99</v>
      </c>
      <c r="T141" s="23">
        <v>96.09999999999999</v>
      </c>
      <c r="U141" s="23">
        <v>92.90000000000001</v>
      </c>
      <c r="V141" s="23">
        <v>93.2</v>
      </c>
      <c r="W141" s="23">
        <v>25.282</v>
      </c>
      <c r="X141" s="23">
        <v>96.2</v>
      </c>
      <c r="Y141" s="8"/>
      <c r="Z141" s="8"/>
      <c r="AA141" s="23">
        <f>AA140+1</f>
        <v>1270</v>
      </c>
      <c r="AB141" s="8"/>
    </row>
    <row r="142" ht="16" customHeight="1">
      <c r="A142" s="19">
        <v>45776</v>
      </c>
      <c r="B142" s="23">
        <v>74.40000000000001</v>
      </c>
      <c r="C142" s="23">
        <v>68.98</v>
      </c>
      <c r="D142" s="23">
        <v>68.86</v>
      </c>
      <c r="E142" s="23">
        <v>73.16</v>
      </c>
      <c r="F142" s="23">
        <v>64.16</v>
      </c>
      <c r="G142" s="23">
        <v>66.62</v>
      </c>
      <c r="H142" s="23">
        <v>71.77</v>
      </c>
      <c r="I142" s="23">
        <v>67.5</v>
      </c>
      <c r="J142" s="23">
        <v>68.25</v>
      </c>
      <c r="K142" s="23">
        <v>70.53</v>
      </c>
      <c r="L142" s="23">
        <v>64.05</v>
      </c>
      <c r="M142" s="23">
        <v>99.8</v>
      </c>
      <c r="N142" s="23">
        <v>95.48999999999999</v>
      </c>
      <c r="O142" s="23">
        <v>91.88</v>
      </c>
      <c r="P142" s="23">
        <v>91.8</v>
      </c>
      <c r="Q142" s="23">
        <v>17.201</v>
      </c>
      <c r="R142" s="23">
        <v>97.5</v>
      </c>
      <c r="S142" s="23">
        <v>97.5</v>
      </c>
      <c r="T142" s="23">
        <v>94.25</v>
      </c>
      <c r="U142" s="23">
        <v>90.59999999999999</v>
      </c>
      <c r="V142" s="23">
        <v>90.7</v>
      </c>
      <c r="W142" s="23">
        <v>17.074</v>
      </c>
      <c r="X142" s="23">
        <v>96.2</v>
      </c>
      <c r="Y142" s="8"/>
      <c r="Z142" s="8"/>
      <c r="AA142" s="23">
        <f>AA141+1</f>
        <v>1271</v>
      </c>
      <c r="AB142" s="8"/>
    </row>
    <row r="143" ht="16" customHeight="1">
      <c r="A143" s="19">
        <v>45777</v>
      </c>
      <c r="B143" s="23">
        <v>75.45</v>
      </c>
      <c r="C143" s="23">
        <v>68.7</v>
      </c>
      <c r="D143" s="23">
        <v>68.8</v>
      </c>
      <c r="E143" s="23">
        <v>73.5</v>
      </c>
      <c r="F143" s="23">
        <v>64.65000000000001</v>
      </c>
      <c r="G143" s="23">
        <v>65.98999999999999</v>
      </c>
      <c r="H143" s="23">
        <v>71.5</v>
      </c>
      <c r="I143" s="23">
        <v>67.34999999999999</v>
      </c>
      <c r="J143" s="23">
        <v>67.90000000000001</v>
      </c>
      <c r="K143" s="23">
        <v>70.45</v>
      </c>
      <c r="L143" s="23">
        <v>63.78</v>
      </c>
      <c r="M143" s="23">
        <v>99.25</v>
      </c>
      <c r="N143" s="23">
        <v>95.59</v>
      </c>
      <c r="O143" s="23">
        <v>91.8</v>
      </c>
      <c r="P143" s="23">
        <v>91.59</v>
      </c>
      <c r="Q143" s="23">
        <v>17.13</v>
      </c>
      <c r="R143" s="23">
        <v>97.65000000000001</v>
      </c>
      <c r="S143" s="23">
        <v>98</v>
      </c>
      <c r="T143" s="23">
        <v>94.48999999999999</v>
      </c>
      <c r="U143" s="23">
        <v>90.5</v>
      </c>
      <c r="V143" s="23">
        <v>90.5</v>
      </c>
      <c r="W143" s="23">
        <v>16.947</v>
      </c>
      <c r="X143" s="23">
        <v>96.25</v>
      </c>
      <c r="Y143" s="8"/>
      <c r="Z143" s="8"/>
      <c r="AA143" s="23">
        <f>AA142+1</f>
        <v>1272</v>
      </c>
      <c r="AB143" s="8"/>
    </row>
    <row r="144" ht="16" customHeight="1">
      <c r="A144" s="19">
        <v>45782</v>
      </c>
      <c r="B144" s="23">
        <v>73.54000000000001</v>
      </c>
      <c r="C144" s="23">
        <v>68.31</v>
      </c>
      <c r="D144" s="23">
        <v>68.17</v>
      </c>
      <c r="E144" s="23">
        <v>71.88</v>
      </c>
      <c r="F144" s="23">
        <v>63.1</v>
      </c>
      <c r="G144" s="23">
        <v>64.98999999999999</v>
      </c>
      <c r="H144" s="23">
        <v>71.17</v>
      </c>
      <c r="I144" s="23">
        <v>67.04000000000001</v>
      </c>
      <c r="J144" s="23">
        <v>67.25</v>
      </c>
      <c r="K144" s="23">
        <v>69.55</v>
      </c>
      <c r="L144" s="23">
        <v>63.25</v>
      </c>
      <c r="M144" s="23">
        <v>98.88</v>
      </c>
      <c r="N144" s="23">
        <v>95.41</v>
      </c>
      <c r="O144" s="23">
        <v>91.5</v>
      </c>
      <c r="P144" s="23">
        <v>91.65000000000001</v>
      </c>
      <c r="Q144" s="23">
        <v>17.3</v>
      </c>
      <c r="R144" s="23">
        <v>97.40000000000001</v>
      </c>
      <c r="S144" s="23">
        <v>97.47</v>
      </c>
      <c r="T144" s="23">
        <v>94.25</v>
      </c>
      <c r="U144" s="23">
        <v>90.40000000000001</v>
      </c>
      <c r="V144" s="23">
        <v>90.40000000000001</v>
      </c>
      <c r="W144" s="23">
        <v>17.249</v>
      </c>
      <c r="X144" s="23">
        <v>96.3</v>
      </c>
      <c r="Y144" s="8"/>
      <c r="Z144" s="8"/>
      <c r="AA144" s="23">
        <f>AA143+1</f>
        <v>1273</v>
      </c>
      <c r="AB144" s="8"/>
    </row>
    <row r="145" ht="16" customHeight="1">
      <c r="A145" s="19">
        <v>45783</v>
      </c>
      <c r="B145" s="23">
        <v>73.86</v>
      </c>
      <c r="C145" s="23">
        <v>69</v>
      </c>
      <c r="D145" s="23">
        <v>69.06999999999999</v>
      </c>
      <c r="E145" s="23">
        <v>73</v>
      </c>
      <c r="F145" s="23">
        <v>63.75</v>
      </c>
      <c r="G145" s="23">
        <v>65.79000000000001</v>
      </c>
      <c r="H145" s="23">
        <v>72.09999999999999</v>
      </c>
      <c r="I145" s="23">
        <v>67.43000000000001</v>
      </c>
      <c r="J145" s="23">
        <v>67.98999999999999</v>
      </c>
      <c r="K145" s="23">
        <v>70.5</v>
      </c>
      <c r="L145" s="23">
        <v>63.64</v>
      </c>
      <c r="M145" s="23">
        <v>99.75</v>
      </c>
      <c r="N145" s="23">
        <v>95.5</v>
      </c>
      <c r="O145" s="23">
        <v>91.56999999999999</v>
      </c>
      <c r="P145" s="23">
        <v>91.7</v>
      </c>
      <c r="Q145" s="23">
        <v>17.493</v>
      </c>
      <c r="R145" s="23">
        <v>97.40000000000001</v>
      </c>
      <c r="S145" s="23">
        <v>98.25</v>
      </c>
      <c r="T145" s="23">
        <v>94.40000000000001</v>
      </c>
      <c r="U145" s="23">
        <v>90.59999999999999</v>
      </c>
      <c r="V145" s="23">
        <v>90.73</v>
      </c>
      <c r="W145" s="23">
        <v>17.4</v>
      </c>
      <c r="X145" s="23">
        <v>96.5</v>
      </c>
      <c r="Y145" s="8"/>
      <c r="Z145" s="8"/>
      <c r="AA145" s="23">
        <f>AA144+1</f>
        <v>1274</v>
      </c>
      <c r="AB145" s="8"/>
    </row>
    <row r="146" ht="16" customHeight="1">
      <c r="A146" s="19">
        <v>45784</v>
      </c>
      <c r="B146" s="23">
        <v>74.61</v>
      </c>
      <c r="C146" s="23">
        <v>69.29000000000001</v>
      </c>
      <c r="D146" s="23">
        <v>68.87</v>
      </c>
      <c r="E146" s="23">
        <v>73.7</v>
      </c>
      <c r="F146" s="23">
        <v>64.39</v>
      </c>
      <c r="G146" s="23">
        <v>66.54000000000001</v>
      </c>
      <c r="H146" s="23">
        <v>72.5</v>
      </c>
      <c r="I146" s="23">
        <v>67.47</v>
      </c>
      <c r="J146" s="23">
        <v>68.40000000000001</v>
      </c>
      <c r="K146" s="23">
        <v>70.61</v>
      </c>
      <c r="L146" s="23">
        <v>63.9</v>
      </c>
      <c r="M146" s="23">
        <v>99.95999999999999</v>
      </c>
      <c r="N146" s="23">
        <v>95.7</v>
      </c>
      <c r="O146" s="23">
        <v>91.25</v>
      </c>
      <c r="P146" s="23">
        <v>91</v>
      </c>
      <c r="Q146" s="23">
        <v>18.2</v>
      </c>
      <c r="R146" s="23">
        <v>97.59999999999999</v>
      </c>
      <c r="S146" s="23">
        <v>99.08</v>
      </c>
      <c r="T146" s="23">
        <v>95</v>
      </c>
      <c r="U146" s="23">
        <v>89.84</v>
      </c>
      <c r="V146" s="23">
        <v>90.22</v>
      </c>
      <c r="W146" s="23">
        <v>18.032</v>
      </c>
      <c r="X146" s="23">
        <v>96.45</v>
      </c>
      <c r="Y146" s="8"/>
      <c r="Z146" s="8"/>
      <c r="AA146" s="23">
        <f>AA145+1</f>
        <v>1275</v>
      </c>
      <c r="AB146" s="8"/>
    </row>
    <row r="147" ht="16" customHeight="1">
      <c r="A147" s="19">
        <v>45785</v>
      </c>
      <c r="B147" s="23">
        <v>74.84999999999999</v>
      </c>
      <c r="C147" s="23">
        <v>69.06999999999999</v>
      </c>
      <c r="D147" s="23">
        <v>69.34999999999999</v>
      </c>
      <c r="E147" s="23">
        <v>73.63</v>
      </c>
      <c r="F147" s="23">
        <v>64.75</v>
      </c>
      <c r="G147" s="23">
        <v>67.8</v>
      </c>
      <c r="H147" s="23">
        <v>72.2</v>
      </c>
      <c r="I147" s="23">
        <v>67.33</v>
      </c>
      <c r="J147" s="23">
        <v>68.5</v>
      </c>
      <c r="K147" s="23">
        <v>71</v>
      </c>
      <c r="L147" s="23">
        <v>64.5</v>
      </c>
      <c r="M147" s="23">
        <v>100.5</v>
      </c>
      <c r="N147" s="23">
        <v>96</v>
      </c>
      <c r="O147" s="23">
        <v>91.75</v>
      </c>
      <c r="P147" s="23">
        <v>91.89</v>
      </c>
      <c r="Q147" s="23">
        <v>18.228</v>
      </c>
      <c r="R147" s="23">
        <v>97.76000000000001</v>
      </c>
      <c r="S147" s="23">
        <v>99</v>
      </c>
      <c r="T147" s="23">
        <v>94.65000000000001</v>
      </c>
      <c r="U147" s="23">
        <v>90.7</v>
      </c>
      <c r="V147" s="23">
        <v>91</v>
      </c>
      <c r="W147" s="23">
        <v>18.096</v>
      </c>
      <c r="X147" s="23">
        <v>96.8</v>
      </c>
      <c r="Y147" s="8"/>
      <c r="Z147" s="8"/>
      <c r="AA147" s="23">
        <f>AA146+1</f>
        <v>1276</v>
      </c>
      <c r="AB147" s="8"/>
    </row>
    <row r="148" ht="16" customHeight="1">
      <c r="A148" s="19">
        <v>45786</v>
      </c>
      <c r="B148" s="23">
        <v>74.5</v>
      </c>
      <c r="C148" s="23">
        <v>69.2</v>
      </c>
      <c r="D148" s="23">
        <v>69.23999999999999</v>
      </c>
      <c r="E148" s="23">
        <v>73.75</v>
      </c>
      <c r="F148" s="23">
        <v>64.25</v>
      </c>
      <c r="G148" s="23">
        <v>66.78</v>
      </c>
      <c r="H148" s="23">
        <v>72.33</v>
      </c>
      <c r="I148" s="23">
        <v>67.53</v>
      </c>
      <c r="J148" s="23">
        <v>68.58</v>
      </c>
      <c r="K148" s="23">
        <v>70.81</v>
      </c>
      <c r="L148" s="23">
        <v>64.5</v>
      </c>
      <c r="M148" s="23">
        <v>100.8</v>
      </c>
      <c r="N148" s="23">
        <v>96.7</v>
      </c>
      <c r="O148" s="23">
        <v>92.8</v>
      </c>
      <c r="P148" s="23">
        <v>92.73</v>
      </c>
      <c r="Q148" s="23">
        <v>18.682</v>
      </c>
      <c r="R148" s="23">
        <v>98.8</v>
      </c>
      <c r="S148" s="23">
        <v>99.40000000000001</v>
      </c>
      <c r="T148" s="23">
        <v>95.5</v>
      </c>
      <c r="U148" s="23">
        <v>91.59999999999999</v>
      </c>
      <c r="V148" s="23">
        <v>91.55</v>
      </c>
      <c r="W148" s="23">
        <v>18.366</v>
      </c>
      <c r="X148" s="23">
        <v>97.61</v>
      </c>
      <c r="Y148" s="8"/>
      <c r="Z148" s="8"/>
      <c r="AA148" s="23">
        <f>AA147+1</f>
        <v>1277</v>
      </c>
      <c r="AB148" s="8"/>
    </row>
    <row r="149" ht="16" customHeight="1">
      <c r="A149" s="19">
        <v>45789</v>
      </c>
      <c r="B149" s="23">
        <v>75.68000000000001</v>
      </c>
      <c r="C149" s="23">
        <v>70.08</v>
      </c>
      <c r="D149" s="23">
        <v>70.01000000000001</v>
      </c>
      <c r="E149" s="23">
        <v>74.25</v>
      </c>
      <c r="F149" s="23">
        <v>65.2</v>
      </c>
      <c r="G149" s="23">
        <v>68.05</v>
      </c>
      <c r="H149" s="23">
        <v>73.45</v>
      </c>
      <c r="I149" s="23">
        <v>68.2</v>
      </c>
      <c r="J149" s="23">
        <v>69.2</v>
      </c>
      <c r="K149" s="23">
        <v>71.3</v>
      </c>
      <c r="L149" s="23">
        <v>65.25</v>
      </c>
      <c r="M149" s="23">
        <v>102</v>
      </c>
      <c r="N149" s="23">
        <v>96.7</v>
      </c>
      <c r="O149" s="23">
        <v>93.47</v>
      </c>
      <c r="P149" s="23">
        <v>93.53</v>
      </c>
      <c r="Q149" s="23">
        <v>19.36</v>
      </c>
      <c r="R149" s="23">
        <v>98.09999999999999</v>
      </c>
      <c r="S149" s="23">
        <v>99.42</v>
      </c>
      <c r="T149" s="23">
        <v>95.5</v>
      </c>
      <c r="U149" s="23">
        <v>92.34999999999999</v>
      </c>
      <c r="V149" s="23">
        <v>92.55</v>
      </c>
      <c r="W149" s="23">
        <v>18.366</v>
      </c>
      <c r="X149" s="23">
        <v>97.65000000000001</v>
      </c>
      <c r="Y149" s="8"/>
      <c r="Z149" s="8"/>
      <c r="AA149" s="23">
        <f>AA148+1</f>
        <v>1278</v>
      </c>
      <c r="AB149" s="8"/>
    </row>
    <row r="150" ht="16" customHeight="1">
      <c r="A150" s="19">
        <v>45790</v>
      </c>
      <c r="B150" s="23">
        <v>75.09999999999999</v>
      </c>
      <c r="C150" s="23">
        <v>69.53</v>
      </c>
      <c r="D150" s="23">
        <v>70.05</v>
      </c>
      <c r="E150" s="23">
        <v>74.3</v>
      </c>
      <c r="F150" s="23">
        <v>65.09999999999999</v>
      </c>
      <c r="G150" s="23">
        <v>68.39</v>
      </c>
      <c r="H150" s="23">
        <v>72.8</v>
      </c>
      <c r="I150" s="23">
        <v>67.91</v>
      </c>
      <c r="J150" s="23">
        <v>69.09999999999999</v>
      </c>
      <c r="K150" s="23">
        <v>71.7</v>
      </c>
      <c r="L150" s="23">
        <v>65.09999999999999</v>
      </c>
      <c r="M150" s="23">
        <v>100.3</v>
      </c>
      <c r="N150" s="23">
        <v>96.7</v>
      </c>
      <c r="O150" s="23">
        <v>94.2</v>
      </c>
      <c r="P150" s="23">
        <v>94.2</v>
      </c>
      <c r="Q150" s="23">
        <v>19.429</v>
      </c>
      <c r="R150" s="23">
        <v>98.90000000000001</v>
      </c>
      <c r="S150" s="23">
        <v>99.05</v>
      </c>
      <c r="T150" s="23">
        <v>95.59999999999999</v>
      </c>
      <c r="U150" s="23">
        <v>93</v>
      </c>
      <c r="V150" s="23">
        <v>92.92</v>
      </c>
      <c r="W150" s="23">
        <v>19</v>
      </c>
      <c r="X150" s="23">
        <v>97.55</v>
      </c>
      <c r="Y150" s="8"/>
      <c r="Z150" s="8"/>
      <c r="AA150" s="23">
        <f>AA149+1</f>
        <v>1279</v>
      </c>
      <c r="AB150" s="8"/>
    </row>
    <row r="151" ht="16" customHeight="1">
      <c r="A151" s="19">
        <v>45791</v>
      </c>
      <c r="B151" s="23">
        <v>75.17</v>
      </c>
      <c r="C151" s="23">
        <v>69.98</v>
      </c>
      <c r="D151" s="23">
        <v>70.28</v>
      </c>
      <c r="E151" s="23">
        <v>74.64</v>
      </c>
      <c r="F151" s="23">
        <v>65.2</v>
      </c>
      <c r="G151" s="23">
        <v>67.84999999999999</v>
      </c>
      <c r="H151" s="23">
        <v>73.28</v>
      </c>
      <c r="I151" s="23">
        <v>68.06999999999999</v>
      </c>
      <c r="J151" s="23">
        <v>69.22</v>
      </c>
      <c r="K151" s="23">
        <v>71.51000000000001</v>
      </c>
      <c r="L151" s="23">
        <v>64.90000000000001</v>
      </c>
      <c r="M151" s="23">
        <v>100.35</v>
      </c>
      <c r="N151" s="23">
        <v>97.34999999999999</v>
      </c>
      <c r="O151" s="23">
        <v>94.84</v>
      </c>
      <c r="P151" s="23">
        <v>95</v>
      </c>
      <c r="Q151" s="23">
        <v>18.863</v>
      </c>
      <c r="R151" s="23">
        <v>99.15000000000001</v>
      </c>
      <c r="S151" s="23">
        <v>98.8</v>
      </c>
      <c r="T151" s="23">
        <v>95.67</v>
      </c>
      <c r="U151" s="23">
        <v>93.34</v>
      </c>
      <c r="V151" s="23">
        <v>93.3</v>
      </c>
      <c r="W151" s="23">
        <v>18.8</v>
      </c>
      <c r="X151" s="23">
        <v>97.75</v>
      </c>
      <c r="Y151" s="8"/>
      <c r="Z151" s="8"/>
      <c r="AA151" s="23">
        <f>AA150+1</f>
        <v>1280</v>
      </c>
      <c r="AB151" s="8"/>
    </row>
    <row r="152" ht="16" customHeight="1">
      <c r="A152" s="19">
        <v>45792</v>
      </c>
      <c r="B152" s="23">
        <v>74.89</v>
      </c>
      <c r="C152" s="23">
        <v>68.56</v>
      </c>
      <c r="D152" s="23">
        <v>69.7</v>
      </c>
      <c r="E152" s="23">
        <v>74.17</v>
      </c>
      <c r="F152" s="23">
        <v>64.45</v>
      </c>
      <c r="G152" s="23">
        <v>66.98999999999999</v>
      </c>
      <c r="H152" s="23">
        <v>72.73</v>
      </c>
      <c r="I152" s="23">
        <v>67.3</v>
      </c>
      <c r="J152" s="23">
        <v>68.72</v>
      </c>
      <c r="K152" s="23">
        <v>71.25</v>
      </c>
      <c r="L152" s="23">
        <v>64.43000000000001</v>
      </c>
      <c r="M152" s="23">
        <v>100.25</v>
      </c>
      <c r="N152" s="23">
        <v>97.2</v>
      </c>
      <c r="O152" s="23">
        <v>94.59999999999999</v>
      </c>
      <c r="P152" s="23">
        <v>94.8</v>
      </c>
      <c r="Q152" s="23">
        <v>19.1</v>
      </c>
      <c r="R152" s="23">
        <v>99.3</v>
      </c>
      <c r="S152" s="23">
        <v>98.5</v>
      </c>
      <c r="T152" s="23">
        <v>95.5</v>
      </c>
      <c r="U152" s="23">
        <v>93.05</v>
      </c>
      <c r="V152" s="23">
        <v>93.45999999999999</v>
      </c>
      <c r="W152" s="23">
        <v>19.177</v>
      </c>
      <c r="X152" s="23">
        <v>97.90000000000001</v>
      </c>
      <c r="Y152" s="8"/>
      <c r="Z152" s="8"/>
      <c r="AA152" s="23">
        <f>AA151+1</f>
        <v>1281</v>
      </c>
      <c r="AB152" s="8"/>
    </row>
    <row r="153" ht="16" customHeight="1">
      <c r="A153" s="19">
        <v>45793</v>
      </c>
      <c r="B153" s="23">
        <v>75.3</v>
      </c>
      <c r="C153" s="23">
        <v>68.73</v>
      </c>
      <c r="D153" s="23">
        <v>68.72</v>
      </c>
      <c r="E153" s="23">
        <v>73</v>
      </c>
      <c r="F153" s="23">
        <v>63.45</v>
      </c>
      <c r="G153" s="23">
        <v>66.43000000000001</v>
      </c>
      <c r="H153" s="23">
        <v>72.61</v>
      </c>
      <c r="I153" s="23">
        <v>66.52</v>
      </c>
      <c r="J153" s="23">
        <v>67.90000000000001</v>
      </c>
      <c r="K153" s="23">
        <v>70.40000000000001</v>
      </c>
      <c r="L153" s="23">
        <v>63.73</v>
      </c>
      <c r="M153" s="23">
        <v>99.90000000000001</v>
      </c>
      <c r="N153" s="23">
        <v>97.05</v>
      </c>
      <c r="O153" s="23">
        <v>94.5</v>
      </c>
      <c r="P153" s="23">
        <v>94.61</v>
      </c>
      <c r="Q153" s="23">
        <v>18.838</v>
      </c>
      <c r="R153" s="23">
        <v>99.09999999999999</v>
      </c>
      <c r="S153" s="23">
        <v>98.5</v>
      </c>
      <c r="T153" s="23">
        <v>95.5</v>
      </c>
      <c r="U153" s="23">
        <v>93.05</v>
      </c>
      <c r="V153" s="23">
        <v>93.31999999999999</v>
      </c>
      <c r="W153" s="23">
        <v>19.724</v>
      </c>
      <c r="X153" s="23">
        <v>97.55</v>
      </c>
      <c r="Y153" s="8"/>
      <c r="Z153" s="8"/>
      <c r="AA153" s="23">
        <f>AA152+1</f>
        <v>1282</v>
      </c>
      <c r="AB153" s="8"/>
    </row>
    <row r="154" ht="16" customHeight="1">
      <c r="A154" s="19">
        <v>45796</v>
      </c>
      <c r="B154" s="23">
        <v>75.34</v>
      </c>
      <c r="C154" s="23">
        <v>69.5</v>
      </c>
      <c r="D154" s="23">
        <v>69.45</v>
      </c>
      <c r="E154" s="23">
        <v>73.98999999999999</v>
      </c>
      <c r="F154" s="23">
        <v>64.40000000000001</v>
      </c>
      <c r="G154" s="23">
        <v>66.66</v>
      </c>
      <c r="H154" s="23">
        <v>73.45</v>
      </c>
      <c r="I154" s="23">
        <v>67.89</v>
      </c>
      <c r="J154" s="23">
        <v>69</v>
      </c>
      <c r="K154" s="23">
        <v>71.45999999999999</v>
      </c>
      <c r="L154" s="23">
        <v>64.05</v>
      </c>
      <c r="M154" s="23">
        <v>100.5</v>
      </c>
      <c r="N154" s="23">
        <v>97.5</v>
      </c>
      <c r="O154" s="23">
        <v>95.25</v>
      </c>
      <c r="P154" s="23">
        <v>95.61</v>
      </c>
      <c r="Q154" s="23">
        <v>18.131</v>
      </c>
      <c r="R154" s="23">
        <v>99.09999999999999</v>
      </c>
      <c r="S154" s="23">
        <v>98.75</v>
      </c>
      <c r="T154" s="23">
        <v>96.09</v>
      </c>
      <c r="U154" s="23">
        <v>93.83</v>
      </c>
      <c r="V154" s="23">
        <v>94.2</v>
      </c>
      <c r="W154" s="23">
        <v>19.724</v>
      </c>
      <c r="X154" s="23">
        <v>97.59999999999999</v>
      </c>
      <c r="Y154" s="8"/>
      <c r="Z154" s="8"/>
      <c r="AA154" s="23">
        <f>AA153+1</f>
        <v>1283</v>
      </c>
      <c r="AB154" s="8"/>
    </row>
    <row r="155" ht="16" customHeight="1">
      <c r="A155" s="19">
        <v>45797</v>
      </c>
      <c r="B155" s="23">
        <v>75.44</v>
      </c>
      <c r="C155" s="23">
        <v>69.95999999999999</v>
      </c>
      <c r="D155" s="23">
        <v>69.98999999999999</v>
      </c>
      <c r="E155" s="23">
        <v>74.2</v>
      </c>
      <c r="F155" s="23">
        <v>64.53</v>
      </c>
      <c r="G155" s="23">
        <v>66.97</v>
      </c>
      <c r="H155" s="23">
        <v>72.90000000000001</v>
      </c>
      <c r="I155" s="23">
        <v>67.95999999999999</v>
      </c>
      <c r="J155" s="23">
        <v>69.20999999999999</v>
      </c>
      <c r="K155" s="23">
        <v>71.7</v>
      </c>
      <c r="L155" s="23">
        <v>63.41</v>
      </c>
      <c r="M155" s="23">
        <v>100.1</v>
      </c>
      <c r="N155" s="23">
        <v>97.40000000000001</v>
      </c>
      <c r="O155" s="23">
        <v>95.45999999999999</v>
      </c>
      <c r="P155" s="23">
        <v>95.67</v>
      </c>
      <c r="Q155" s="23">
        <v>18.073</v>
      </c>
      <c r="R155" s="23">
        <v>98.91</v>
      </c>
      <c r="S155" s="23">
        <v>98.81</v>
      </c>
      <c r="T155" s="23">
        <v>95.98999999999999</v>
      </c>
      <c r="U155" s="23">
        <v>94</v>
      </c>
      <c r="V155" s="23">
        <v>94.5</v>
      </c>
      <c r="W155" s="23">
        <v>18.093</v>
      </c>
      <c r="X155" s="23">
        <v>97.66</v>
      </c>
      <c r="Y155" s="8"/>
      <c r="Z155" s="8"/>
      <c r="AA155" s="23">
        <f>AA154+1</f>
        <v>1284</v>
      </c>
      <c r="AB155" s="8"/>
    </row>
    <row r="156" ht="16" customHeight="1">
      <c r="A156" s="19">
        <v>45798</v>
      </c>
      <c r="B156" s="23">
        <v>75.55</v>
      </c>
      <c r="C156" s="23">
        <v>69.03</v>
      </c>
      <c r="D156" s="23">
        <v>69.34999999999999</v>
      </c>
      <c r="E156" s="23">
        <v>73.53</v>
      </c>
      <c r="F156" s="23">
        <v>64.2</v>
      </c>
      <c r="G156" s="23">
        <v>67</v>
      </c>
      <c r="H156" s="23">
        <v>72.72</v>
      </c>
      <c r="I156" s="23">
        <v>67.54000000000001</v>
      </c>
      <c r="J156" s="23">
        <v>69.08</v>
      </c>
      <c r="K156" s="23">
        <v>71</v>
      </c>
      <c r="L156" s="23">
        <v>63.41</v>
      </c>
      <c r="M156" s="23">
        <v>100.25</v>
      </c>
      <c r="N156" s="23">
        <v>97.39</v>
      </c>
      <c r="O156" s="23">
        <v>95.09999999999999</v>
      </c>
      <c r="P156" s="23">
        <v>95</v>
      </c>
      <c r="Q156" s="23">
        <v>19.193</v>
      </c>
      <c r="R156" s="23">
        <v>98.97</v>
      </c>
      <c r="S156" s="23">
        <v>99.09999999999999</v>
      </c>
      <c r="T156" s="23">
        <v>96</v>
      </c>
      <c r="U156" s="23">
        <v>93.93000000000001</v>
      </c>
      <c r="V156" s="23">
        <v>93.8</v>
      </c>
      <c r="W156" s="23">
        <v>18.25</v>
      </c>
      <c r="X156" s="23">
        <v>97.5</v>
      </c>
      <c r="Y156" s="8"/>
      <c r="Z156" s="8"/>
      <c r="AA156" s="23">
        <f>AA155+1</f>
        <v>1285</v>
      </c>
      <c r="AB156" s="8"/>
    </row>
    <row r="157" ht="16" customHeight="1">
      <c r="A157" s="19">
        <v>45799</v>
      </c>
      <c r="B157" s="23">
        <v>75.44</v>
      </c>
      <c r="C157" s="23">
        <v>70.13</v>
      </c>
      <c r="D157" s="23">
        <v>69.59999999999999</v>
      </c>
      <c r="E157" s="23">
        <v>74</v>
      </c>
      <c r="F157" s="23">
        <v>64.43000000000001</v>
      </c>
      <c r="G157" s="23">
        <v>67</v>
      </c>
      <c r="H157" s="23">
        <v>73.3</v>
      </c>
      <c r="I157" s="23">
        <v>68.06</v>
      </c>
      <c r="J157" s="23">
        <v>69.06</v>
      </c>
      <c r="K157" s="23">
        <v>71.55</v>
      </c>
      <c r="L157" s="23">
        <v>63.25</v>
      </c>
      <c r="M157" s="23">
        <v>100.5</v>
      </c>
      <c r="N157" s="23">
        <v>97.15000000000001</v>
      </c>
      <c r="O157" s="23">
        <v>95.40000000000001</v>
      </c>
      <c r="P157" s="23">
        <v>95.2</v>
      </c>
      <c r="Q157" s="23">
        <v>18.93</v>
      </c>
      <c r="R157" s="23">
        <v>98.55</v>
      </c>
      <c r="S157" s="23">
        <v>99.2</v>
      </c>
      <c r="T157" s="23">
        <v>95.90000000000001</v>
      </c>
      <c r="U157" s="23">
        <v>94.15000000000001</v>
      </c>
      <c r="V157" s="23">
        <v>94.05</v>
      </c>
      <c r="W157" s="23">
        <v>18.25</v>
      </c>
      <c r="X157" s="23">
        <v>97.3</v>
      </c>
      <c r="Y157" s="8"/>
      <c r="Z157" s="8"/>
      <c r="AA157" s="23">
        <f>AA156+1</f>
        <v>1286</v>
      </c>
      <c r="AB157" s="8"/>
    </row>
    <row r="158" ht="16" customHeight="1">
      <c r="A158" s="19">
        <v>45800</v>
      </c>
      <c r="B158" s="23">
        <v>75.09999999999999</v>
      </c>
      <c r="C158" s="23">
        <v>70.48999999999999</v>
      </c>
      <c r="D158" s="23">
        <v>69.8</v>
      </c>
      <c r="E158" s="23">
        <v>74.5</v>
      </c>
      <c r="F158" s="23">
        <v>64.59</v>
      </c>
      <c r="G158" s="23">
        <v>67</v>
      </c>
      <c r="H158" s="23">
        <v>73.06</v>
      </c>
      <c r="I158" s="23">
        <v>68.31</v>
      </c>
      <c r="J158" s="23">
        <v>69.18000000000001</v>
      </c>
      <c r="K158" s="23">
        <v>71.93000000000001</v>
      </c>
      <c r="L158" s="23">
        <v>62.8</v>
      </c>
      <c r="M158" s="23">
        <v>102</v>
      </c>
      <c r="N158" s="23">
        <v>97.66</v>
      </c>
      <c r="O158" s="23">
        <v>95.65000000000001</v>
      </c>
      <c r="P158" s="23">
        <v>95.59</v>
      </c>
      <c r="Q158" s="23">
        <v>18.88</v>
      </c>
      <c r="R158" s="23">
        <v>98.90000000000001</v>
      </c>
      <c r="S158" s="23">
        <v>99.34999999999999</v>
      </c>
      <c r="T158" s="23">
        <v>96.18000000000001</v>
      </c>
      <c r="U158" s="23">
        <v>94.3</v>
      </c>
      <c r="V158" s="23">
        <v>94</v>
      </c>
      <c r="W158" s="23">
        <v>18.25</v>
      </c>
      <c r="X158" s="23">
        <v>97.59999999999999</v>
      </c>
      <c r="Y158" s="8"/>
      <c r="Z158" s="8"/>
      <c r="AA158" s="23">
        <f>AA157+1</f>
        <v>1287</v>
      </c>
      <c r="AB158" s="8"/>
    </row>
    <row r="159" ht="16" customHeight="1">
      <c r="A159" s="19">
        <v>45803</v>
      </c>
      <c r="B159" s="23">
        <v>74.69</v>
      </c>
      <c r="C159" s="23">
        <v>69.97</v>
      </c>
      <c r="D159" s="23">
        <v>69.98</v>
      </c>
      <c r="E159" s="23">
        <v>74.41</v>
      </c>
      <c r="F159" s="23">
        <v>64.47</v>
      </c>
      <c r="G159" s="23">
        <v>66.77</v>
      </c>
      <c r="H159" s="23">
        <v>73.05</v>
      </c>
      <c r="I159" s="23">
        <v>67.98</v>
      </c>
      <c r="J159" s="23">
        <v>69.33</v>
      </c>
      <c r="K159" s="23">
        <v>71.98</v>
      </c>
      <c r="L159" s="23">
        <v>63.15</v>
      </c>
      <c r="M159" s="23">
        <v>100.25</v>
      </c>
      <c r="N159" s="23">
        <v>97.14</v>
      </c>
      <c r="O159" s="23">
        <v>95.09999999999999</v>
      </c>
      <c r="P159" s="23">
        <v>95.09999999999999</v>
      </c>
      <c r="Q159" s="23">
        <v>18.657</v>
      </c>
      <c r="R159" s="23">
        <v>99.34</v>
      </c>
      <c r="S159" s="23">
        <v>98.5</v>
      </c>
      <c r="T159" s="23">
        <v>96</v>
      </c>
      <c r="U159" s="23">
        <v>93.97</v>
      </c>
      <c r="V159" s="23">
        <v>93.67</v>
      </c>
      <c r="W159" s="23">
        <v>18.9</v>
      </c>
      <c r="X159" s="23">
        <v>97.98999999999999</v>
      </c>
      <c r="Y159" s="8"/>
      <c r="Z159" s="8"/>
      <c r="AA159" s="23">
        <f>AA158+1</f>
        <v>1288</v>
      </c>
      <c r="AB159" s="8"/>
    </row>
    <row r="160" ht="16" customHeight="1">
      <c r="A160" s="19">
        <v>45804</v>
      </c>
      <c r="B160" s="23">
        <v>75.25</v>
      </c>
      <c r="C160" s="23">
        <v>70.11</v>
      </c>
      <c r="D160" s="23">
        <v>69.67</v>
      </c>
      <c r="E160" s="23">
        <v>74</v>
      </c>
      <c r="F160" s="23">
        <v>64.38</v>
      </c>
      <c r="G160" s="23">
        <v>66.79000000000001</v>
      </c>
      <c r="H160" s="23">
        <v>72.79000000000001</v>
      </c>
      <c r="I160" s="23">
        <v>68.04000000000001</v>
      </c>
      <c r="J160" s="23">
        <v>69.01000000000001</v>
      </c>
      <c r="K160" s="23">
        <v>72.09</v>
      </c>
      <c r="L160" s="23">
        <v>63.35</v>
      </c>
      <c r="M160" s="23">
        <v>100.25</v>
      </c>
      <c r="N160" s="23">
        <v>97.17</v>
      </c>
      <c r="O160" s="23">
        <v>95.01000000000001</v>
      </c>
      <c r="P160" s="23">
        <v>95.5</v>
      </c>
      <c r="Q160" s="23">
        <v>18.315</v>
      </c>
      <c r="R160" s="23">
        <v>99.19</v>
      </c>
      <c r="S160" s="23">
        <v>99.25</v>
      </c>
      <c r="T160" s="23">
        <v>95.90000000000001</v>
      </c>
      <c r="U160" s="23">
        <v>93.90000000000001</v>
      </c>
      <c r="V160" s="23">
        <v>94.25</v>
      </c>
      <c r="W160" s="23">
        <v>18.9</v>
      </c>
      <c r="X160" s="23">
        <v>98</v>
      </c>
      <c r="Y160" s="8"/>
      <c r="Z160" s="8"/>
      <c r="AA160" s="23">
        <f>AA159+1</f>
        <v>1289</v>
      </c>
      <c r="AB160" s="8"/>
    </row>
    <row r="161" ht="16" customHeight="1">
      <c r="A161" s="19">
        <v>45805</v>
      </c>
      <c r="B161" s="23">
        <v>76.09</v>
      </c>
      <c r="C161" s="23">
        <v>70.36</v>
      </c>
      <c r="D161" s="23">
        <v>70.34999999999999</v>
      </c>
      <c r="E161" s="23">
        <v>74.77</v>
      </c>
      <c r="F161" s="23">
        <v>64.95</v>
      </c>
      <c r="G161" s="23">
        <v>67.56999999999999</v>
      </c>
      <c r="H161" s="23">
        <v>73.40000000000001</v>
      </c>
      <c r="I161" s="23">
        <v>68.70999999999999</v>
      </c>
      <c r="J161" s="23">
        <v>69.90000000000001</v>
      </c>
      <c r="K161" s="23">
        <v>72.84999999999999</v>
      </c>
      <c r="L161" s="23">
        <v>63.8</v>
      </c>
      <c r="M161" s="23">
        <v>99.95</v>
      </c>
      <c r="N161" s="23">
        <v>97.2</v>
      </c>
      <c r="O161" s="23">
        <v>95.09999999999999</v>
      </c>
      <c r="P161" s="23">
        <v>95.23999999999999</v>
      </c>
      <c r="Q161" s="23">
        <v>19.359</v>
      </c>
      <c r="R161" s="23">
        <v>99.59999999999999</v>
      </c>
      <c r="S161" s="23">
        <v>98.98</v>
      </c>
      <c r="T161" s="23">
        <v>96</v>
      </c>
      <c r="U161" s="23">
        <v>94.2</v>
      </c>
      <c r="V161" s="23">
        <v>93.75</v>
      </c>
      <c r="W161" s="23">
        <v>19.09</v>
      </c>
      <c r="X161" s="23">
        <v>98.59999999999999</v>
      </c>
      <c r="Y161" s="8"/>
      <c r="Z161" s="8"/>
      <c r="AA161" s="23">
        <f>AA160+1</f>
        <v>1290</v>
      </c>
      <c r="AB161" s="8"/>
    </row>
    <row r="162" ht="16" customHeight="1">
      <c r="A162" s="19">
        <v>45806</v>
      </c>
      <c r="B162" s="23">
        <v>75.28</v>
      </c>
      <c r="C162" s="23">
        <v>70.40000000000001</v>
      </c>
      <c r="D162" s="23">
        <v>70</v>
      </c>
      <c r="E162" s="23">
        <v>74.38</v>
      </c>
      <c r="F162" s="23">
        <v>64.81</v>
      </c>
      <c r="G162" s="23">
        <v>66.90000000000001</v>
      </c>
      <c r="H162" s="23">
        <v>73.09999999999999</v>
      </c>
      <c r="I162" s="23">
        <v>68.54000000000001</v>
      </c>
      <c r="J162" s="23">
        <v>69.72</v>
      </c>
      <c r="K162" s="23">
        <v>72.78</v>
      </c>
      <c r="L162" s="23">
        <v>63.86</v>
      </c>
      <c r="M162" s="23">
        <v>99.65000000000001</v>
      </c>
      <c r="N162" s="23">
        <v>96.59999999999999</v>
      </c>
      <c r="O162" s="23">
        <v>94.90000000000001</v>
      </c>
      <c r="P162" s="23">
        <v>94.95999999999999</v>
      </c>
      <c r="Q162" s="23">
        <v>19.005</v>
      </c>
      <c r="R162" s="23">
        <v>99.7</v>
      </c>
      <c r="S162" s="23">
        <v>98.5</v>
      </c>
      <c r="T162" s="23">
        <v>96.09999999999999</v>
      </c>
      <c r="U162" s="23">
        <v>93.97</v>
      </c>
      <c r="V162" s="23">
        <v>94.05</v>
      </c>
      <c r="W162" s="23">
        <v>19</v>
      </c>
      <c r="X162" s="23">
        <v>98.59999999999999</v>
      </c>
      <c r="Y162" s="8"/>
      <c r="Z162" s="8"/>
      <c r="AA162" s="23">
        <f>AA161+1</f>
        <v>1291</v>
      </c>
      <c r="AB162" s="8"/>
    </row>
    <row r="163" ht="16" customHeight="1">
      <c r="A163" s="19">
        <v>45807</v>
      </c>
      <c r="B163" s="23">
        <v>75</v>
      </c>
      <c r="C163" s="23">
        <v>70.05</v>
      </c>
      <c r="D163" s="23">
        <v>69.65000000000001</v>
      </c>
      <c r="E163" s="23">
        <v>73.90000000000001</v>
      </c>
      <c r="F163" s="23">
        <v>64.31999999999999</v>
      </c>
      <c r="G163" s="23">
        <v>66.04000000000001</v>
      </c>
      <c r="H163" s="23">
        <v>73.3</v>
      </c>
      <c r="I163" s="23">
        <v>68.31</v>
      </c>
      <c r="J163" s="23">
        <v>68.97</v>
      </c>
      <c r="K163" s="23">
        <v>72.09999999999999</v>
      </c>
      <c r="L163" s="23">
        <v>63.3</v>
      </c>
      <c r="M163" s="23">
        <v>99.95</v>
      </c>
      <c r="N163" s="23">
        <v>96.84999999999999</v>
      </c>
      <c r="O163" s="23">
        <v>95.23999999999999</v>
      </c>
      <c r="P163" s="23">
        <v>95.36</v>
      </c>
      <c r="Q163" s="23">
        <v>10.675</v>
      </c>
      <c r="R163" s="23">
        <v>99.59999999999999</v>
      </c>
      <c r="S163" s="23">
        <v>99</v>
      </c>
      <c r="T163" s="23">
        <v>96.15000000000001</v>
      </c>
      <c r="U163" s="23">
        <v>94.13</v>
      </c>
      <c r="V163" s="23">
        <v>94.31999999999999</v>
      </c>
      <c r="W163" s="23">
        <v>10.751</v>
      </c>
      <c r="X163" s="23">
        <v>98.65000000000001</v>
      </c>
      <c r="Y163" s="8"/>
      <c r="Z163" s="8"/>
      <c r="AA163" s="23">
        <f>AA162+1</f>
        <v>1292</v>
      </c>
      <c r="AB163" s="8"/>
    </row>
    <row r="164" ht="16" customHeight="1">
      <c r="A164" s="19">
        <v>45810</v>
      </c>
      <c r="B164" s="23">
        <v>75.48</v>
      </c>
      <c r="C164" s="23">
        <v>69.95</v>
      </c>
      <c r="D164" s="23">
        <v>69.45</v>
      </c>
      <c r="E164" s="23">
        <v>73.95999999999999</v>
      </c>
      <c r="F164" s="23">
        <v>64.33</v>
      </c>
      <c r="G164" s="23">
        <v>66.23</v>
      </c>
      <c r="H164" s="23">
        <v>73.59999999999999</v>
      </c>
      <c r="I164" s="23">
        <v>68.28</v>
      </c>
      <c r="J164" s="23">
        <v>68.72</v>
      </c>
      <c r="K164" s="23">
        <v>71.88</v>
      </c>
      <c r="L164" s="23">
        <v>63.53</v>
      </c>
      <c r="M164" s="23">
        <v>100.2</v>
      </c>
      <c r="N164" s="23">
        <v>97.23999999999999</v>
      </c>
      <c r="O164" s="23">
        <v>95.09999999999999</v>
      </c>
      <c r="P164" s="23">
        <v>95.25</v>
      </c>
      <c r="Q164" s="23">
        <v>9.81</v>
      </c>
      <c r="R164" s="23">
        <v>99.73999999999999</v>
      </c>
      <c r="S164" s="23">
        <v>99.3</v>
      </c>
      <c r="T164" s="23">
        <v>96.15000000000001</v>
      </c>
      <c r="U164" s="23">
        <v>94.34999999999999</v>
      </c>
      <c r="V164" s="23">
        <v>94.38</v>
      </c>
      <c r="W164" s="23">
        <v>9.779</v>
      </c>
      <c r="X164" s="23">
        <v>98.90000000000001</v>
      </c>
      <c r="Y164" s="8"/>
      <c r="Z164" s="8"/>
      <c r="AA164" s="23">
        <f>AA163+1</f>
        <v>1293</v>
      </c>
      <c r="AB164" s="8"/>
    </row>
    <row r="165" ht="16" customHeight="1">
      <c r="A165" s="19">
        <v>45811</v>
      </c>
      <c r="B165" s="23">
        <v>75.67</v>
      </c>
      <c r="C165" s="23">
        <v>69.8</v>
      </c>
      <c r="D165" s="23">
        <v>69.5</v>
      </c>
      <c r="E165" s="23">
        <v>73.8</v>
      </c>
      <c r="F165" s="23">
        <v>64.33</v>
      </c>
      <c r="G165" s="23">
        <v>66.5</v>
      </c>
      <c r="H165" s="23">
        <v>74.03</v>
      </c>
      <c r="I165" s="23">
        <v>68.17</v>
      </c>
      <c r="J165" s="23">
        <v>68.84999999999999</v>
      </c>
      <c r="K165" s="23">
        <v>71.78</v>
      </c>
      <c r="L165" s="23">
        <v>63.42</v>
      </c>
      <c r="M165" s="23">
        <v>99.58</v>
      </c>
      <c r="N165" s="23">
        <v>97.09999999999999</v>
      </c>
      <c r="O165" s="23">
        <v>95.33</v>
      </c>
      <c r="P165" s="23">
        <v>95.3</v>
      </c>
      <c r="Q165" s="23">
        <v>9.898999999999999</v>
      </c>
      <c r="R165" s="23">
        <v>99.3</v>
      </c>
      <c r="S165" s="23">
        <v>99</v>
      </c>
      <c r="T165" s="23">
        <v>96.5</v>
      </c>
      <c r="U165" s="23">
        <v>94.7</v>
      </c>
      <c r="V165" s="23">
        <v>94.7</v>
      </c>
      <c r="W165" s="23">
        <v>9.779</v>
      </c>
      <c r="X165" s="23">
        <v>98.7</v>
      </c>
      <c r="Y165" s="8"/>
      <c r="Z165" s="8"/>
      <c r="AA165" s="23">
        <f>AA164+1</f>
        <v>1294</v>
      </c>
      <c r="AB165" s="8"/>
    </row>
    <row r="166" ht="16" customHeight="1">
      <c r="A166" s="19">
        <v>45812</v>
      </c>
      <c r="B166" s="23">
        <v>74.70999999999999</v>
      </c>
      <c r="C166" s="23">
        <v>69.70999999999999</v>
      </c>
      <c r="D166" s="23">
        <v>69.12</v>
      </c>
      <c r="E166" s="23">
        <v>73.2</v>
      </c>
      <c r="F166" s="23">
        <v>63.63</v>
      </c>
      <c r="G166" s="23">
        <v>66.42</v>
      </c>
      <c r="H166" s="23">
        <v>73.78</v>
      </c>
      <c r="I166" s="23">
        <v>67.8</v>
      </c>
      <c r="J166" s="23">
        <v>68.3</v>
      </c>
      <c r="K166" s="23">
        <v>71.31</v>
      </c>
      <c r="L166" s="23">
        <v>63</v>
      </c>
      <c r="M166" s="23">
        <v>99.40000000000001</v>
      </c>
      <c r="N166" s="23">
        <v>97.5</v>
      </c>
      <c r="O166" s="23">
        <v>95.34999999999999</v>
      </c>
      <c r="P166" s="23">
        <v>95.5</v>
      </c>
      <c r="Q166" s="23">
        <v>10</v>
      </c>
      <c r="R166" s="23">
        <v>99.01000000000001</v>
      </c>
      <c r="S166" s="23">
        <v>98.75</v>
      </c>
      <c r="T166" s="23">
        <v>96.59999999999999</v>
      </c>
      <c r="U166" s="23">
        <v>94.7</v>
      </c>
      <c r="V166" s="23">
        <v>94.90000000000001</v>
      </c>
      <c r="W166" s="23">
        <v>9.779</v>
      </c>
      <c r="X166" s="23">
        <v>98.59999999999999</v>
      </c>
      <c r="Y166" s="8"/>
      <c r="Z166" s="8"/>
      <c r="AA166" s="23">
        <f>AA165+1</f>
        <v>1295</v>
      </c>
      <c r="AB166" s="8"/>
    </row>
    <row r="167" ht="16" customHeight="1">
      <c r="A167" s="19">
        <v>45813</v>
      </c>
      <c r="B167" s="23">
        <v>74.51000000000001</v>
      </c>
      <c r="C167" s="23">
        <v>68.8</v>
      </c>
      <c r="D167" s="23">
        <v>68.3</v>
      </c>
      <c r="E167" s="23">
        <v>72.77</v>
      </c>
      <c r="F167" s="23">
        <v>63.3</v>
      </c>
      <c r="G167" s="23">
        <v>65.29000000000001</v>
      </c>
      <c r="H167" s="23">
        <v>73.04000000000001</v>
      </c>
      <c r="I167" s="23">
        <v>67.20999999999999</v>
      </c>
      <c r="J167" s="23">
        <v>67.87</v>
      </c>
      <c r="K167" s="23">
        <v>70.7</v>
      </c>
      <c r="L167" s="23">
        <v>62.66</v>
      </c>
      <c r="M167" s="23">
        <v>99.45</v>
      </c>
      <c r="N167" s="23">
        <v>97.18000000000001</v>
      </c>
      <c r="O167" s="23">
        <v>95.5</v>
      </c>
      <c r="P167" s="23">
        <v>95.41</v>
      </c>
      <c r="Q167" s="23">
        <v>9.401</v>
      </c>
      <c r="R167" s="23">
        <v>98.95</v>
      </c>
      <c r="S167" s="23">
        <v>99</v>
      </c>
      <c r="T167" s="23">
        <v>96.75</v>
      </c>
      <c r="U167" s="23">
        <v>94.95</v>
      </c>
      <c r="V167" s="23">
        <v>95</v>
      </c>
      <c r="W167" s="23">
        <v>9.779</v>
      </c>
      <c r="X167" s="23">
        <v>98.59999999999999</v>
      </c>
      <c r="Y167" s="8"/>
      <c r="Z167" s="8"/>
      <c r="AA167" s="23">
        <f>AA166+1</f>
        <v>1296</v>
      </c>
      <c r="AB167" s="8"/>
    </row>
    <row r="168" ht="16" customHeight="1">
      <c r="A168" s="19">
        <v>45814</v>
      </c>
      <c r="B168" s="23">
        <v>74.68000000000001</v>
      </c>
      <c r="C168" s="23">
        <v>69.40000000000001</v>
      </c>
      <c r="D168" s="23">
        <v>68.56</v>
      </c>
      <c r="E168" s="23">
        <v>72.7</v>
      </c>
      <c r="F168" s="23">
        <v>63.3</v>
      </c>
      <c r="G168" s="23">
        <v>65.25</v>
      </c>
      <c r="H168" s="23">
        <v>73.61</v>
      </c>
      <c r="I168" s="23">
        <v>67.62</v>
      </c>
      <c r="J168" s="23">
        <v>67.86</v>
      </c>
      <c r="K168" s="23">
        <v>71</v>
      </c>
      <c r="L168" s="23">
        <v>62.49</v>
      </c>
      <c r="M168" s="23">
        <v>100.2</v>
      </c>
      <c r="N168" s="23">
        <v>97.18000000000001</v>
      </c>
      <c r="O168" s="23">
        <v>95.7</v>
      </c>
      <c r="P168" s="23">
        <v>95.73999999999999</v>
      </c>
      <c r="Q168" s="23">
        <v>9.31</v>
      </c>
      <c r="R168" s="23">
        <v>99.13</v>
      </c>
      <c r="S168" s="23">
        <v>99.5</v>
      </c>
      <c r="T168" s="23">
        <v>96.91</v>
      </c>
      <c r="U168" s="23">
        <v>95.2</v>
      </c>
      <c r="V168" s="23">
        <v>95.51000000000001</v>
      </c>
      <c r="W168" s="23">
        <v>9.779</v>
      </c>
      <c r="X168" s="23">
        <v>98.59999999999999</v>
      </c>
      <c r="Y168" s="8"/>
      <c r="Z168" s="8"/>
      <c r="AA168" s="23">
        <f>AA167+1</f>
        <v>1297</v>
      </c>
      <c r="AB168" s="8"/>
    </row>
    <row r="169" ht="16" customHeight="1">
      <c r="A169" s="19">
        <v>45817</v>
      </c>
      <c r="B169" s="23">
        <v>75.28</v>
      </c>
      <c r="C169" s="23">
        <v>69.7</v>
      </c>
      <c r="D169" s="23">
        <v>68.72</v>
      </c>
      <c r="E169" s="23">
        <v>72.72</v>
      </c>
      <c r="F169" s="23">
        <v>63.4</v>
      </c>
      <c r="G169" s="23">
        <v>65.5</v>
      </c>
      <c r="H169" s="23">
        <v>73.8</v>
      </c>
      <c r="I169" s="23">
        <v>67.97</v>
      </c>
      <c r="J169" s="23">
        <v>68.17</v>
      </c>
      <c r="K169" s="23">
        <v>71.09</v>
      </c>
      <c r="L169" s="23">
        <v>62.35</v>
      </c>
      <c r="M169" s="23">
        <v>99.76000000000001</v>
      </c>
      <c r="N169" s="23">
        <v>97.40000000000001</v>
      </c>
      <c r="O169" s="23">
        <v>95.69</v>
      </c>
      <c r="P169" s="23">
        <v>95.75</v>
      </c>
      <c r="Q169" s="23">
        <v>9.090999999999999</v>
      </c>
      <c r="R169" s="23">
        <v>99.09999999999999</v>
      </c>
      <c r="S169" s="23">
        <v>99.25</v>
      </c>
      <c r="T169" s="23">
        <v>97.05</v>
      </c>
      <c r="U169" s="23">
        <v>95.29000000000001</v>
      </c>
      <c r="V169" s="23">
        <v>95.06999999999999</v>
      </c>
      <c r="W169" s="23">
        <v>9.779</v>
      </c>
      <c r="X169" s="23">
        <v>98.55</v>
      </c>
      <c r="Y169" s="8"/>
      <c r="Z169" s="8"/>
      <c r="AA169" s="23">
        <f>AA168+1</f>
        <v>1298</v>
      </c>
      <c r="AB169" s="8"/>
    </row>
    <row r="170" ht="16" customHeight="1">
      <c r="A170" s="19">
        <v>45818</v>
      </c>
      <c r="B170" s="23">
        <v>75.78</v>
      </c>
      <c r="C170" s="23">
        <v>70.59999999999999</v>
      </c>
      <c r="D170" s="23">
        <v>69.31999999999999</v>
      </c>
      <c r="E170" s="23">
        <v>74</v>
      </c>
      <c r="F170" s="23">
        <v>64.39</v>
      </c>
      <c r="G170" s="23">
        <v>66.2</v>
      </c>
      <c r="H170" s="23">
        <v>74.45</v>
      </c>
      <c r="I170" s="23">
        <v>68.73</v>
      </c>
      <c r="J170" s="23">
        <v>68.8</v>
      </c>
      <c r="K170" s="23">
        <v>72</v>
      </c>
      <c r="L170" s="23">
        <v>63.46</v>
      </c>
      <c r="M170" s="23">
        <v>99.90000000000001</v>
      </c>
      <c r="N170" s="23">
        <v>97.5</v>
      </c>
      <c r="O170" s="23">
        <v>95.77</v>
      </c>
      <c r="P170" s="23">
        <v>95.65000000000001</v>
      </c>
      <c r="Q170" s="23">
        <v>9.35</v>
      </c>
      <c r="R170" s="23">
        <v>98.90000000000001</v>
      </c>
      <c r="S170" s="23">
        <v>99.51000000000001</v>
      </c>
      <c r="T170" s="23">
        <v>97</v>
      </c>
      <c r="U170" s="23">
        <v>95.5</v>
      </c>
      <c r="V170" s="23">
        <v>95.55</v>
      </c>
      <c r="W170" s="23">
        <v>9.199999999999999</v>
      </c>
      <c r="X170" s="23">
        <v>98.59999999999999</v>
      </c>
      <c r="Y170" s="8"/>
      <c r="Z170" s="8"/>
      <c r="AA170" s="23">
        <f>AA169+1</f>
        <v>1299</v>
      </c>
      <c r="AB170" s="8"/>
    </row>
    <row r="171" ht="16" customHeight="1">
      <c r="A171" s="19">
        <v>45819</v>
      </c>
      <c r="B171" s="23">
        <v>76</v>
      </c>
      <c r="C171" s="23">
        <v>70.34999999999999</v>
      </c>
      <c r="D171" s="23">
        <v>69.65000000000001</v>
      </c>
      <c r="E171" s="23">
        <v>73.73</v>
      </c>
      <c r="F171" s="23">
        <v>64.13</v>
      </c>
      <c r="G171" s="23">
        <v>66.25</v>
      </c>
      <c r="H171" s="23">
        <v>74.02</v>
      </c>
      <c r="I171" s="23">
        <v>68.45999999999999</v>
      </c>
      <c r="J171" s="23">
        <v>68.90000000000001</v>
      </c>
      <c r="K171" s="23">
        <v>72.13</v>
      </c>
      <c r="L171" s="23">
        <v>63.33</v>
      </c>
      <c r="M171" s="23">
        <v>100</v>
      </c>
      <c r="N171" s="23">
        <v>97.8</v>
      </c>
      <c r="O171" s="23">
        <v>95.31999999999999</v>
      </c>
      <c r="P171" s="23">
        <v>95.5</v>
      </c>
      <c r="Q171" s="23">
        <v>8.800000000000001</v>
      </c>
      <c r="R171" s="23">
        <v>98.95</v>
      </c>
      <c r="S171" s="23">
        <v>99.84999999999999</v>
      </c>
      <c r="T171" s="23">
        <v>97.65000000000001</v>
      </c>
      <c r="U171" s="23">
        <v>95</v>
      </c>
      <c r="V171" s="23">
        <v>95.17</v>
      </c>
      <c r="W171" s="23">
        <v>9.4</v>
      </c>
      <c r="X171" s="23">
        <v>98.7</v>
      </c>
      <c r="Y171" s="8"/>
      <c r="Z171" s="8"/>
      <c r="AA171" s="23">
        <f>AA170+1</f>
        <v>1300</v>
      </c>
      <c r="AB171" s="8"/>
    </row>
    <row r="172" ht="16" customHeight="1">
      <c r="A172" s="19">
        <v>45820</v>
      </c>
      <c r="B172" s="23">
        <v>75.09</v>
      </c>
      <c r="C172" s="23">
        <v>70.37</v>
      </c>
      <c r="D172" s="23">
        <v>69.41</v>
      </c>
      <c r="E172" s="23">
        <v>73.84999999999999</v>
      </c>
      <c r="F172" s="23">
        <v>64.3</v>
      </c>
      <c r="G172" s="23">
        <v>65.97</v>
      </c>
      <c r="H172" s="23">
        <v>73.97</v>
      </c>
      <c r="I172" s="23">
        <v>68.44</v>
      </c>
      <c r="J172" s="23">
        <v>69.05</v>
      </c>
      <c r="K172" s="23">
        <v>71.95999999999999</v>
      </c>
      <c r="L172" s="23">
        <v>63.24</v>
      </c>
      <c r="M172" s="23">
        <v>100.5</v>
      </c>
      <c r="N172" s="23">
        <v>97.90000000000001</v>
      </c>
      <c r="O172" s="23">
        <v>95.20999999999999</v>
      </c>
      <c r="P172" s="23">
        <v>95.40000000000001</v>
      </c>
      <c r="Q172" s="23">
        <v>9.109999999999999</v>
      </c>
      <c r="R172" s="23">
        <v>98.81</v>
      </c>
      <c r="S172" s="23">
        <v>100.05</v>
      </c>
      <c r="T172" s="23">
        <v>97.41</v>
      </c>
      <c r="U172" s="23">
        <v>94.90000000000001</v>
      </c>
      <c r="V172" s="23">
        <v>95.02</v>
      </c>
      <c r="W172" s="23">
        <v>9.282999999999999</v>
      </c>
      <c r="X172" s="23">
        <v>98.56</v>
      </c>
      <c r="Y172" s="8"/>
      <c r="Z172" s="8"/>
      <c r="AA172" s="23">
        <f>AA171+1</f>
        <v>1301</v>
      </c>
      <c r="AB172" s="8"/>
    </row>
    <row r="173" ht="16" customHeight="1">
      <c r="A173" s="19">
        <v>45821</v>
      </c>
      <c r="B173" s="23">
        <v>74.93000000000001</v>
      </c>
      <c r="C173" s="23">
        <v>69.40000000000001</v>
      </c>
      <c r="D173" s="23">
        <v>68.40000000000001</v>
      </c>
      <c r="E173" s="23">
        <v>73.09999999999999</v>
      </c>
      <c r="F173" s="23">
        <v>63.4</v>
      </c>
      <c r="G173" s="23">
        <v>65.78</v>
      </c>
      <c r="H173" s="23">
        <v>73.28</v>
      </c>
      <c r="I173" s="23">
        <v>67.56</v>
      </c>
      <c r="J173" s="23">
        <v>68</v>
      </c>
      <c r="K173" s="23">
        <v>71.01000000000001</v>
      </c>
      <c r="L173" s="23">
        <v>62.41</v>
      </c>
      <c r="M173" s="23">
        <v>100.35</v>
      </c>
      <c r="N173" s="23">
        <v>97.98</v>
      </c>
      <c r="O173" s="23">
        <v>95.34999999999999</v>
      </c>
      <c r="P173" s="23">
        <v>95.40000000000001</v>
      </c>
      <c r="Q173" s="23">
        <v>9.369999999999999</v>
      </c>
      <c r="R173" s="23">
        <v>98.84999999999999</v>
      </c>
      <c r="S173" s="23">
        <v>100</v>
      </c>
      <c r="T173" s="23">
        <v>97.5</v>
      </c>
      <c r="U173" s="23">
        <v>95.11</v>
      </c>
      <c r="V173" s="23">
        <v>95.03</v>
      </c>
      <c r="W173" s="23">
        <v>9.35</v>
      </c>
      <c r="X173" s="23">
        <v>98.66</v>
      </c>
      <c r="Y173" s="8"/>
      <c r="Z173" s="8"/>
      <c r="AA173" s="23">
        <f>AA172+1</f>
        <v>1302</v>
      </c>
      <c r="AB173" s="8"/>
    </row>
    <row r="174" ht="16" customHeight="1">
      <c r="A174" s="19">
        <v>45825</v>
      </c>
      <c r="B174" s="23">
        <v>74.72</v>
      </c>
      <c r="C174" s="23">
        <v>69.13</v>
      </c>
      <c r="D174" s="23">
        <v>67.91</v>
      </c>
      <c r="E174" s="23">
        <v>72.63</v>
      </c>
      <c r="F174" s="23">
        <v>62.46</v>
      </c>
      <c r="G174" s="23">
        <v>65</v>
      </c>
      <c r="H174" s="23">
        <v>73</v>
      </c>
      <c r="I174" s="23">
        <v>67.3</v>
      </c>
      <c r="J174" s="23">
        <v>67.59999999999999</v>
      </c>
      <c r="K174" s="23">
        <v>70.7</v>
      </c>
      <c r="L174" s="23">
        <v>62.25</v>
      </c>
      <c r="M174" s="23">
        <v>101.1</v>
      </c>
      <c r="N174" s="23">
        <v>98.06</v>
      </c>
      <c r="O174" s="23">
        <v>95.26000000000001</v>
      </c>
      <c r="P174" s="23">
        <v>95.40000000000001</v>
      </c>
      <c r="Q174" s="23">
        <v>9.4</v>
      </c>
      <c r="R174" s="23">
        <v>98.88</v>
      </c>
      <c r="S174" s="23">
        <v>100.5</v>
      </c>
      <c r="T174" s="23">
        <v>97.5</v>
      </c>
      <c r="U174" s="23">
        <v>94.84999999999999</v>
      </c>
      <c r="V174" s="23">
        <v>94.75</v>
      </c>
      <c r="W174" s="23">
        <v>9.359</v>
      </c>
      <c r="X174" s="23">
        <v>98.65000000000001</v>
      </c>
      <c r="Y174" s="8"/>
      <c r="Z174" s="8"/>
      <c r="AA174" s="23">
        <f>AA173+1</f>
        <v>1303</v>
      </c>
      <c r="AB174" s="8"/>
    </row>
    <row r="175" ht="16" customHeight="1">
      <c r="A175" s="19">
        <v>45826</v>
      </c>
      <c r="B175" s="23">
        <v>75.06</v>
      </c>
      <c r="C175" s="23">
        <v>69.25</v>
      </c>
      <c r="D175" s="23">
        <v>67.73</v>
      </c>
      <c r="E175" s="23">
        <v>72</v>
      </c>
      <c r="F175" s="23">
        <v>62.62</v>
      </c>
      <c r="G175" s="23">
        <v>65.73999999999999</v>
      </c>
      <c r="H175" s="23">
        <v>73.48</v>
      </c>
      <c r="I175" s="23">
        <v>67.41</v>
      </c>
      <c r="J175" s="23">
        <v>67.56999999999999</v>
      </c>
      <c r="K175" s="23">
        <v>70.26000000000001</v>
      </c>
      <c r="L175" s="23">
        <v>61.85</v>
      </c>
      <c r="M175" s="23">
        <v>102</v>
      </c>
      <c r="N175" s="23">
        <v>97.53</v>
      </c>
      <c r="O175" s="23">
        <v>94.84999999999999</v>
      </c>
      <c r="P175" s="23">
        <v>95.40000000000001</v>
      </c>
      <c r="Q175" s="23">
        <v>9.4</v>
      </c>
      <c r="R175" s="23">
        <v>98.98</v>
      </c>
      <c r="S175" s="23">
        <v>101.2</v>
      </c>
      <c r="T175" s="23">
        <v>97.09999999999999</v>
      </c>
      <c r="U175" s="23">
        <v>94.51000000000001</v>
      </c>
      <c r="V175" s="23">
        <v>94.5</v>
      </c>
      <c r="W175" s="23">
        <v>9.359</v>
      </c>
      <c r="X175" s="23">
        <v>98.59999999999999</v>
      </c>
      <c r="Y175" s="8"/>
      <c r="Z175" s="8"/>
      <c r="AA175" s="23">
        <f>AA174+1</f>
        <v>1304</v>
      </c>
      <c r="AB175" s="8"/>
    </row>
    <row r="176" ht="16" customHeight="1">
      <c r="A176" s="19">
        <v>45827</v>
      </c>
      <c r="B176" s="23">
        <v>75.29000000000001</v>
      </c>
      <c r="C176" s="23">
        <v>69.12</v>
      </c>
      <c r="D176" s="23">
        <v>67.84</v>
      </c>
      <c r="E176" s="23">
        <v>72.03</v>
      </c>
      <c r="F176" s="23">
        <v>62.55</v>
      </c>
      <c r="G176" s="23">
        <v>65.48999999999999</v>
      </c>
      <c r="H176" s="23">
        <v>73.90000000000001</v>
      </c>
      <c r="I176" s="23">
        <v>67.23</v>
      </c>
      <c r="J176" s="23">
        <v>67.48999999999999</v>
      </c>
      <c r="K176" s="23">
        <v>70.45</v>
      </c>
      <c r="L176" s="23">
        <v>61.88</v>
      </c>
      <c r="M176" s="23">
        <v>100.8</v>
      </c>
      <c r="N176" s="23">
        <v>97.22</v>
      </c>
      <c r="O176" s="23">
        <v>94.97</v>
      </c>
      <c r="P176" s="23">
        <v>95.40000000000001</v>
      </c>
      <c r="Q176" s="42"/>
      <c r="R176" s="23">
        <v>98.69</v>
      </c>
      <c r="S176" s="23">
        <v>100.2</v>
      </c>
      <c r="T176" s="23">
        <v>96.76000000000001</v>
      </c>
      <c r="U176" s="23">
        <v>94.63</v>
      </c>
      <c r="V176" s="23">
        <v>94.7</v>
      </c>
      <c r="W176" s="23">
        <v>0</v>
      </c>
      <c r="X176" s="23">
        <v>98.69</v>
      </c>
      <c r="Y176" s="8"/>
      <c r="Z176" s="8"/>
      <c r="AA176" s="23">
        <f>AA175+1</f>
        <v>1305</v>
      </c>
      <c r="AB176" s="8"/>
    </row>
    <row r="177" ht="16" customHeight="1">
      <c r="A177" s="19">
        <v>45831</v>
      </c>
      <c r="B177" s="23">
        <v>75.04000000000001</v>
      </c>
      <c r="C177" s="23">
        <v>69.7</v>
      </c>
      <c r="D177" s="23">
        <v>68.36</v>
      </c>
      <c r="E177" s="23">
        <v>72.43000000000001</v>
      </c>
      <c r="F177" s="23">
        <v>62.75</v>
      </c>
      <c r="G177" s="23">
        <v>64.7</v>
      </c>
      <c r="H177" s="23">
        <v>73.7</v>
      </c>
      <c r="I177" s="23">
        <v>68.05</v>
      </c>
      <c r="J177" s="23">
        <v>68.13</v>
      </c>
      <c r="K177" s="23">
        <v>70.5</v>
      </c>
      <c r="L177" s="23">
        <v>61.8</v>
      </c>
      <c r="M177" s="23">
        <v>100.7</v>
      </c>
      <c r="N177" s="23">
        <v>97.91</v>
      </c>
      <c r="O177" s="23">
        <v>94.5</v>
      </c>
      <c r="P177" s="23">
        <v>95.40000000000001</v>
      </c>
      <c r="Q177" s="42"/>
      <c r="R177" s="23">
        <v>99.05</v>
      </c>
      <c r="S177" s="23">
        <v>99.40000000000001</v>
      </c>
      <c r="T177" s="23">
        <v>97.5</v>
      </c>
      <c r="U177" s="23">
        <v>94.2</v>
      </c>
      <c r="V177" s="23">
        <v>94.2</v>
      </c>
      <c r="W177" s="23">
        <v>0</v>
      </c>
      <c r="X177" s="23">
        <v>98.69</v>
      </c>
      <c r="Y177" s="8"/>
      <c r="Z177" s="8"/>
      <c r="AA177" s="23">
        <f>AA176+1</f>
        <v>1306</v>
      </c>
      <c r="AB177" s="8"/>
    </row>
    <row r="178" ht="16" customHeight="1">
      <c r="A178" s="19">
        <v>45832</v>
      </c>
      <c r="B178" s="23">
        <v>75.61</v>
      </c>
      <c r="C178" s="23">
        <v>70.98999999999999</v>
      </c>
      <c r="D178" s="23">
        <v>70.06</v>
      </c>
      <c r="E178" s="23">
        <v>73.98</v>
      </c>
      <c r="F178" s="23">
        <v>64.5</v>
      </c>
      <c r="G178" s="23">
        <v>66.16</v>
      </c>
      <c r="H178" s="23">
        <v>74.40000000000001</v>
      </c>
      <c r="I178" s="23">
        <v>69.03</v>
      </c>
      <c r="J178" s="23">
        <v>69.59999999999999</v>
      </c>
      <c r="K178" s="23">
        <v>72.40000000000001</v>
      </c>
      <c r="L178" s="23">
        <v>63.5</v>
      </c>
      <c r="M178" s="42"/>
      <c r="N178" s="23">
        <v>97.55</v>
      </c>
      <c r="O178" s="23">
        <v>95.23999999999999</v>
      </c>
      <c r="P178" s="23">
        <v>94.8</v>
      </c>
      <c r="Q178" s="42"/>
      <c r="R178" s="23">
        <v>99.14</v>
      </c>
      <c r="S178" s="42"/>
      <c r="T178" s="23">
        <v>97.56</v>
      </c>
      <c r="U178" s="23">
        <v>95.02</v>
      </c>
      <c r="V178" s="23">
        <v>94.65000000000001</v>
      </c>
      <c r="W178" s="23">
        <v>0</v>
      </c>
      <c r="X178" s="23">
        <v>98.69</v>
      </c>
      <c r="Y178" s="8"/>
      <c r="Z178" s="8"/>
      <c r="AA178" s="23">
        <f>AA177+1</f>
        <v>1307</v>
      </c>
      <c r="AB178" s="8"/>
    </row>
    <row r="179" ht="16" customHeight="1">
      <c r="A179" s="19">
        <v>45833</v>
      </c>
      <c r="B179" s="23">
        <v>76.59999999999999</v>
      </c>
      <c r="C179" s="23">
        <v>70.65000000000001</v>
      </c>
      <c r="D179" s="23">
        <v>69.59999999999999</v>
      </c>
      <c r="E179" s="23">
        <v>73.76000000000001</v>
      </c>
      <c r="F179" s="23">
        <v>64.08</v>
      </c>
      <c r="G179" s="23">
        <v>66.2</v>
      </c>
      <c r="H179" s="23">
        <v>74.69</v>
      </c>
      <c r="I179" s="23">
        <v>68.77</v>
      </c>
      <c r="J179" s="23">
        <v>69.09999999999999</v>
      </c>
      <c r="K179" s="23">
        <v>71.95</v>
      </c>
      <c r="L179" s="23">
        <v>62.99</v>
      </c>
      <c r="M179" s="42"/>
      <c r="N179" s="23">
        <v>98.11</v>
      </c>
      <c r="O179" s="23">
        <v>95</v>
      </c>
      <c r="P179" s="23">
        <v>95</v>
      </c>
      <c r="Q179" s="42"/>
      <c r="R179" s="23">
        <v>99.29000000000001</v>
      </c>
      <c r="S179" s="42"/>
      <c r="T179" s="23">
        <v>97.84</v>
      </c>
      <c r="U179" s="23">
        <v>94.7</v>
      </c>
      <c r="V179" s="23">
        <v>94.75</v>
      </c>
      <c r="W179" s="23">
        <v>0</v>
      </c>
      <c r="X179" s="23">
        <v>98.69</v>
      </c>
      <c r="Y179" s="8"/>
      <c r="Z179" s="8"/>
      <c r="AA179" s="23">
        <f>AA178+1</f>
        <v>1308</v>
      </c>
      <c r="AB179" s="8"/>
    </row>
    <row r="180" ht="16" customHeight="1">
      <c r="A180" s="19">
        <v>45834</v>
      </c>
      <c r="B180" s="23">
        <v>76.40000000000001</v>
      </c>
      <c r="C180" s="23">
        <v>71.09</v>
      </c>
      <c r="D180" s="23">
        <v>69.84999999999999</v>
      </c>
      <c r="E180" s="23">
        <v>74.40000000000001</v>
      </c>
      <c r="F180" s="23">
        <v>64.39</v>
      </c>
      <c r="G180" s="23">
        <v>66.48999999999999</v>
      </c>
      <c r="H180" s="23">
        <v>74.48999999999999</v>
      </c>
      <c r="I180" s="23">
        <v>69.23999999999999</v>
      </c>
      <c r="J180" s="23">
        <v>69.34</v>
      </c>
      <c r="K180" s="23">
        <v>72.47</v>
      </c>
      <c r="L180" s="23">
        <v>63.38</v>
      </c>
      <c r="M180" s="42"/>
      <c r="N180" s="23">
        <v>98.34999999999999</v>
      </c>
      <c r="O180" s="23">
        <v>95.59999999999999</v>
      </c>
      <c r="P180" s="23">
        <v>95.15000000000001</v>
      </c>
      <c r="Q180" s="42"/>
      <c r="R180" s="23">
        <v>99.65000000000001</v>
      </c>
      <c r="S180" s="42"/>
      <c r="T180" s="23">
        <v>98</v>
      </c>
      <c r="U180" s="23">
        <v>95</v>
      </c>
      <c r="V180" s="23">
        <v>95</v>
      </c>
      <c r="W180" s="23">
        <v>0</v>
      </c>
      <c r="X180" s="23">
        <v>98.69</v>
      </c>
      <c r="Y180" s="8"/>
      <c r="Z180" s="8"/>
      <c r="AA180" s="23">
        <f>AA179+1</f>
        <v>1309</v>
      </c>
      <c r="AB180" s="8"/>
    </row>
    <row r="181" ht="16" customHeight="1">
      <c r="A181" s="19">
        <v>45835</v>
      </c>
      <c r="B181" s="23">
        <v>76.98999999999999</v>
      </c>
      <c r="C181" s="23">
        <v>70.72</v>
      </c>
      <c r="D181" s="23">
        <v>70</v>
      </c>
      <c r="E181" s="23">
        <v>74.31</v>
      </c>
      <c r="F181" s="23">
        <v>64.90000000000001</v>
      </c>
      <c r="G181" s="23">
        <v>66.81999999999999</v>
      </c>
      <c r="H181" s="23">
        <v>74.62</v>
      </c>
      <c r="I181" s="23">
        <v>69.09999999999999</v>
      </c>
      <c r="J181" s="23">
        <v>69.48</v>
      </c>
      <c r="K181" s="23">
        <v>72.29000000000001</v>
      </c>
      <c r="L181" s="23">
        <v>64</v>
      </c>
      <c r="M181" s="42"/>
      <c r="N181" s="23">
        <v>98.40000000000001</v>
      </c>
      <c r="O181" s="23">
        <v>95.53</v>
      </c>
      <c r="P181" s="23">
        <v>95.55</v>
      </c>
      <c r="Q181" s="42"/>
      <c r="R181" s="23">
        <v>99.65000000000001</v>
      </c>
      <c r="S181" s="42"/>
      <c r="T181" s="23">
        <v>98.09999999999999</v>
      </c>
      <c r="U181" s="23">
        <v>95.14</v>
      </c>
      <c r="V181" s="23">
        <v>95.09999999999999</v>
      </c>
      <c r="W181" s="23">
        <v>0</v>
      </c>
      <c r="X181" s="23">
        <v>99.3</v>
      </c>
      <c r="Y181" s="23">
        <v>0</v>
      </c>
      <c r="Z181" s="23">
        <v>0</v>
      </c>
      <c r="AA181" s="23">
        <f>AA180+1</f>
        <v>1310</v>
      </c>
      <c r="AB181" s="8"/>
    </row>
    <row r="182" ht="16" customHeight="1">
      <c r="A182" s="19">
        <v>45838</v>
      </c>
      <c r="B182" s="23">
        <v>76</v>
      </c>
      <c r="C182" s="23">
        <v>70.23</v>
      </c>
      <c r="D182" s="23">
        <v>69.5</v>
      </c>
      <c r="E182" s="23">
        <v>73.97</v>
      </c>
      <c r="F182" s="23">
        <v>64.11</v>
      </c>
      <c r="G182" s="23">
        <v>65.91</v>
      </c>
      <c r="H182" s="23">
        <v>74.14</v>
      </c>
      <c r="I182" s="23">
        <v>68.45</v>
      </c>
      <c r="J182" s="23">
        <v>68.5</v>
      </c>
      <c r="K182" s="23">
        <v>71.43000000000001</v>
      </c>
      <c r="L182" s="23">
        <v>63.21</v>
      </c>
      <c r="M182" s="42"/>
      <c r="N182" s="23">
        <v>98.98999999999999</v>
      </c>
      <c r="O182" s="23">
        <v>96.40000000000001</v>
      </c>
      <c r="P182" s="23">
        <v>95.8</v>
      </c>
      <c r="Q182" s="42"/>
      <c r="R182" s="23">
        <v>99.98</v>
      </c>
      <c r="S182" s="42"/>
      <c r="T182" s="23">
        <v>98.19</v>
      </c>
      <c r="U182" s="23">
        <v>96</v>
      </c>
      <c r="V182" s="23">
        <v>95.73999999999999</v>
      </c>
      <c r="W182" s="23">
        <v>0</v>
      </c>
      <c r="X182" s="23">
        <v>99.72</v>
      </c>
      <c r="Y182" s="23">
        <v>80</v>
      </c>
      <c r="Z182" s="23">
        <v>84</v>
      </c>
      <c r="AA182" s="23">
        <f>AA181+1</f>
        <v>1311</v>
      </c>
      <c r="AB182" s="8"/>
    </row>
    <row r="183" ht="16" customHeight="1">
      <c r="A183" s="19">
        <v>45839</v>
      </c>
      <c r="B183" s="23">
        <v>75.79000000000001</v>
      </c>
      <c r="C183" s="23">
        <v>70.15000000000001</v>
      </c>
      <c r="D183" s="23">
        <v>69.34999999999999</v>
      </c>
      <c r="E183" s="23">
        <v>73.5</v>
      </c>
      <c r="F183" s="23">
        <v>64.11</v>
      </c>
      <c r="G183" s="23">
        <v>66.2</v>
      </c>
      <c r="H183" s="23">
        <v>73.75</v>
      </c>
      <c r="I183" s="23">
        <v>68.42</v>
      </c>
      <c r="J183" s="23">
        <v>68.54000000000001</v>
      </c>
      <c r="K183" s="23">
        <v>71.40000000000001</v>
      </c>
      <c r="L183" s="23">
        <v>62.96</v>
      </c>
      <c r="M183" s="42"/>
      <c r="N183" s="23">
        <v>98.42</v>
      </c>
      <c r="O183" s="23">
        <v>96.13</v>
      </c>
      <c r="P183" s="23">
        <v>96.05</v>
      </c>
      <c r="Q183" s="42"/>
      <c r="R183" s="23">
        <v>99.59999999999999</v>
      </c>
      <c r="S183" s="42"/>
      <c r="T183" s="23">
        <v>98.11</v>
      </c>
      <c r="U183" s="23">
        <v>96.05</v>
      </c>
      <c r="V183" s="23">
        <v>95.8</v>
      </c>
      <c r="W183" s="23">
        <v>0</v>
      </c>
      <c r="X183" s="23">
        <v>99.38</v>
      </c>
      <c r="Y183" s="8"/>
      <c r="Z183" s="23">
        <v>80.5</v>
      </c>
      <c r="AA183" s="23">
        <f>AA182+1</f>
        <v>1312</v>
      </c>
      <c r="AB183" s="8"/>
    </row>
    <row r="184" ht="16" customHeight="1">
      <c r="A184" s="19">
        <v>45840</v>
      </c>
      <c r="B184" s="23">
        <v>75.62</v>
      </c>
      <c r="C184" s="23">
        <v>70.34</v>
      </c>
      <c r="D184" s="23">
        <v>69.5</v>
      </c>
      <c r="E184" s="23">
        <v>73.55</v>
      </c>
      <c r="F184" s="23">
        <v>64.15000000000001</v>
      </c>
      <c r="G184" s="23">
        <v>66.03</v>
      </c>
      <c r="H184" s="23">
        <v>73.95999999999999</v>
      </c>
      <c r="I184" s="23">
        <v>68.86</v>
      </c>
      <c r="J184" s="23">
        <v>68.86</v>
      </c>
      <c r="K184" s="23">
        <v>71.7</v>
      </c>
      <c r="L184" s="23">
        <v>62.85</v>
      </c>
      <c r="M184" s="42"/>
      <c r="N184" s="23">
        <v>98.84999999999999</v>
      </c>
      <c r="O184" s="23">
        <v>97.5</v>
      </c>
      <c r="P184" s="23">
        <v>96.63</v>
      </c>
      <c r="Q184" s="42"/>
      <c r="R184" s="23">
        <v>99.59999999999999</v>
      </c>
      <c r="S184" s="42"/>
      <c r="T184" s="23">
        <v>98.55</v>
      </c>
      <c r="U184" s="23">
        <v>97.31999999999999</v>
      </c>
      <c r="V184" s="23">
        <v>96.34999999999999</v>
      </c>
      <c r="W184" s="23">
        <v>0</v>
      </c>
      <c r="X184" s="23">
        <v>99.5</v>
      </c>
      <c r="Y184" s="23">
        <v>82</v>
      </c>
      <c r="Z184" s="23">
        <v>82</v>
      </c>
      <c r="AA184" s="23">
        <f>AA183+1</f>
        <v>1313</v>
      </c>
      <c r="AB184" s="8"/>
    </row>
    <row r="185" ht="16" customHeight="1">
      <c r="A185" s="19">
        <v>45841</v>
      </c>
      <c r="B185" s="23">
        <v>76.23999999999999</v>
      </c>
      <c r="C185" s="23">
        <v>70.53</v>
      </c>
      <c r="D185" s="23">
        <v>69.45999999999999</v>
      </c>
      <c r="E185" s="23">
        <v>73.76000000000001</v>
      </c>
      <c r="F185" s="23">
        <v>64.41</v>
      </c>
      <c r="G185" s="23">
        <v>66.77</v>
      </c>
      <c r="H185" s="23">
        <v>74</v>
      </c>
      <c r="I185" s="23">
        <v>68.81999999999999</v>
      </c>
      <c r="J185" s="23">
        <v>68.65000000000001</v>
      </c>
      <c r="K185" s="23">
        <v>71.73</v>
      </c>
      <c r="L185" s="23">
        <v>63.48</v>
      </c>
      <c r="M185" s="42"/>
      <c r="N185" s="23">
        <v>98.8</v>
      </c>
      <c r="O185" s="23">
        <v>97.7</v>
      </c>
      <c r="P185" s="23">
        <v>97.09999999999999</v>
      </c>
      <c r="Q185" s="42"/>
      <c r="R185" s="23">
        <v>99.75</v>
      </c>
      <c r="S185" s="42"/>
      <c r="T185" s="23">
        <v>98.84999999999999</v>
      </c>
      <c r="U185" s="23">
        <v>97.59999999999999</v>
      </c>
      <c r="V185" s="23">
        <v>97</v>
      </c>
      <c r="W185" s="23">
        <v>0</v>
      </c>
      <c r="X185" s="23">
        <v>99.8</v>
      </c>
      <c r="Y185" s="23">
        <v>82.75</v>
      </c>
      <c r="Z185" s="23">
        <v>82.40000000000001</v>
      </c>
      <c r="AA185" s="23">
        <f>AA184+1</f>
        <v>1314</v>
      </c>
      <c r="AB185" s="8"/>
    </row>
    <row r="186" ht="16" customHeight="1">
      <c r="A186" s="19">
        <v>45842</v>
      </c>
      <c r="B186" s="23">
        <v>75.95</v>
      </c>
      <c r="C186" s="23">
        <v>70.59999999999999</v>
      </c>
      <c r="D186" s="23">
        <v>69.56</v>
      </c>
      <c r="E186" s="23">
        <v>74.23999999999999</v>
      </c>
      <c r="F186" s="23">
        <v>64.3</v>
      </c>
      <c r="G186" s="23">
        <v>66.20999999999999</v>
      </c>
      <c r="H186" s="23">
        <v>74.34999999999999</v>
      </c>
      <c r="I186" s="23">
        <v>68.95</v>
      </c>
      <c r="J186" s="23">
        <v>68.8</v>
      </c>
      <c r="K186" s="23">
        <v>72.03</v>
      </c>
      <c r="L186" s="23">
        <v>63.87</v>
      </c>
      <c r="M186" s="42"/>
      <c r="N186" s="23">
        <v>99</v>
      </c>
      <c r="O186" s="23">
        <v>97.42</v>
      </c>
      <c r="P186" s="23">
        <v>97.41</v>
      </c>
      <c r="Q186" s="42"/>
      <c r="R186" s="23">
        <v>100</v>
      </c>
      <c r="S186" s="42"/>
      <c r="T186" s="23">
        <v>98.98999999999999</v>
      </c>
      <c r="U186" s="23">
        <v>97.42</v>
      </c>
      <c r="V186" s="23">
        <v>97.23</v>
      </c>
      <c r="W186" s="23">
        <v>0</v>
      </c>
      <c r="X186" s="23">
        <v>100.2</v>
      </c>
      <c r="Y186" s="23">
        <v>83.75</v>
      </c>
      <c r="Z186" s="23">
        <v>83.5</v>
      </c>
      <c r="AA186" s="23">
        <f>AA185+1</f>
        <v>1315</v>
      </c>
      <c r="AB186" s="8"/>
    </row>
    <row r="187" ht="16" customHeight="1">
      <c r="A187" s="19">
        <v>45845</v>
      </c>
      <c r="B187" s="23">
        <v>74.44</v>
      </c>
      <c r="C187" s="23">
        <v>69.67</v>
      </c>
      <c r="D187" s="23">
        <v>68.59999999999999</v>
      </c>
      <c r="E187" s="23">
        <v>73.48999999999999</v>
      </c>
      <c r="F187" s="23">
        <v>63.25</v>
      </c>
      <c r="G187" s="23">
        <v>65.3</v>
      </c>
      <c r="H187" s="23">
        <v>73.45</v>
      </c>
      <c r="I187" s="23">
        <v>67.98999999999999</v>
      </c>
      <c r="J187" s="23">
        <v>67.70999999999999</v>
      </c>
      <c r="K187" s="23">
        <v>70.92</v>
      </c>
      <c r="L187" s="23">
        <v>62.38</v>
      </c>
      <c r="M187" s="42"/>
      <c r="N187" s="23">
        <v>99.15000000000001</v>
      </c>
      <c r="O187" s="23">
        <v>96.89</v>
      </c>
      <c r="P187" s="23">
        <v>96.34999999999999</v>
      </c>
      <c r="Q187" s="42"/>
      <c r="R187" s="23">
        <v>100.7</v>
      </c>
      <c r="S187" s="42"/>
      <c r="T187" s="23">
        <v>98.97</v>
      </c>
      <c r="U187" s="23">
        <v>96.81999999999999</v>
      </c>
      <c r="V187" s="23">
        <v>96.25</v>
      </c>
      <c r="W187" s="23">
        <v>0</v>
      </c>
      <c r="X187" s="23">
        <v>100.5</v>
      </c>
      <c r="Y187" s="23">
        <v>82.09999999999999</v>
      </c>
      <c r="Z187" s="23">
        <v>81.90000000000001</v>
      </c>
      <c r="AA187" s="23">
        <f>AA186+1</f>
        <v>1316</v>
      </c>
      <c r="AB187" s="8"/>
    </row>
    <row r="188" ht="16" customHeight="1">
      <c r="A188" s="19">
        <v>45846</v>
      </c>
      <c r="B188" s="23">
        <v>65.59999999999999</v>
      </c>
      <c r="C188" s="23">
        <v>61.6</v>
      </c>
      <c r="D188" s="23">
        <v>66.59999999999999</v>
      </c>
      <c r="E188" s="23">
        <v>70.54000000000001</v>
      </c>
      <c r="F188" s="23">
        <v>61.88</v>
      </c>
      <c r="G188" s="23">
        <v>61.36</v>
      </c>
      <c r="H188" s="23">
        <v>63.7</v>
      </c>
      <c r="I188" s="23">
        <v>59.95</v>
      </c>
      <c r="J188" s="23">
        <v>65.72</v>
      </c>
      <c r="K188" s="23">
        <v>68.25</v>
      </c>
      <c r="L188" s="23">
        <v>60.55</v>
      </c>
      <c r="M188" s="42"/>
      <c r="N188" s="23">
        <v>99.37</v>
      </c>
      <c r="O188" s="23">
        <v>97.29000000000001</v>
      </c>
      <c r="P188" s="23">
        <v>96.84999999999999</v>
      </c>
      <c r="Q188" s="42"/>
      <c r="R188" s="23">
        <v>101.5</v>
      </c>
      <c r="S188" s="42"/>
      <c r="T188" s="23">
        <v>99.25</v>
      </c>
      <c r="U188" s="23">
        <v>97</v>
      </c>
      <c r="V188" s="23">
        <v>96.7</v>
      </c>
      <c r="W188" s="23">
        <v>0</v>
      </c>
      <c r="X188" s="23">
        <v>101.3</v>
      </c>
      <c r="Y188" s="23">
        <v>82.98</v>
      </c>
      <c r="Z188" s="23">
        <v>82</v>
      </c>
      <c r="AA188" s="23">
        <f>AA187+1</f>
        <v>1317</v>
      </c>
      <c r="AB188" s="8"/>
    </row>
    <row r="189" ht="16" customHeight="1">
      <c r="A189" s="19">
        <v>45848</v>
      </c>
      <c r="B189" s="23">
        <v>65.5</v>
      </c>
      <c r="C189" s="23">
        <v>61.85</v>
      </c>
      <c r="D189" s="23">
        <v>66.98999999999999</v>
      </c>
      <c r="E189" s="23">
        <v>71.2</v>
      </c>
      <c r="F189" s="23">
        <v>62.44</v>
      </c>
      <c r="G189" s="23">
        <v>61.95</v>
      </c>
      <c r="H189" s="23">
        <v>63.78</v>
      </c>
      <c r="I189" s="23">
        <v>60.44</v>
      </c>
      <c r="J189" s="23">
        <v>66.01000000000001</v>
      </c>
      <c r="K189" s="23">
        <v>68.86</v>
      </c>
      <c r="L189" s="23">
        <v>61.17</v>
      </c>
      <c r="M189" s="42"/>
      <c r="N189" s="23">
        <v>99.17</v>
      </c>
      <c r="O189" s="23">
        <v>96.98999999999999</v>
      </c>
      <c r="P189" s="23">
        <v>96.88</v>
      </c>
      <c r="Q189" s="42"/>
      <c r="R189" s="23">
        <v>101.1</v>
      </c>
      <c r="S189" s="42"/>
      <c r="T189" s="23">
        <v>99.15000000000001</v>
      </c>
      <c r="U189" s="23">
        <v>96.65000000000001</v>
      </c>
      <c r="V189" s="23">
        <v>96.5</v>
      </c>
      <c r="W189" s="23">
        <v>0</v>
      </c>
      <c r="X189" s="23">
        <v>101.1</v>
      </c>
      <c r="Y189" s="23">
        <v>82.09999999999999</v>
      </c>
      <c r="Z189" s="23">
        <v>81.8</v>
      </c>
      <c r="AA189" s="23">
        <f>AA188+1</f>
        <v>1318</v>
      </c>
      <c r="AB189" s="8"/>
    </row>
    <row r="190" ht="16" customHeight="1">
      <c r="A190" s="19">
        <v>45849</v>
      </c>
      <c r="B190" s="23">
        <v>65.17</v>
      </c>
      <c r="C190" s="23">
        <v>61.24</v>
      </c>
      <c r="D190" s="23">
        <v>66.40000000000001</v>
      </c>
      <c r="E190" s="23">
        <v>70.45</v>
      </c>
      <c r="F190" s="23">
        <v>61.4</v>
      </c>
      <c r="G190" s="23">
        <v>61.96</v>
      </c>
      <c r="H190" s="23">
        <v>63.61</v>
      </c>
      <c r="I190" s="23">
        <v>59.86</v>
      </c>
      <c r="J190" s="23">
        <v>65.45999999999999</v>
      </c>
      <c r="K190" s="23">
        <v>68.14</v>
      </c>
      <c r="L190" s="23">
        <v>60.57</v>
      </c>
      <c r="M190" s="42"/>
      <c r="N190" s="23">
        <v>99.5</v>
      </c>
      <c r="O190" s="23">
        <v>97.04000000000001</v>
      </c>
      <c r="P190" s="23">
        <v>97</v>
      </c>
      <c r="Q190" s="42"/>
      <c r="R190" s="23">
        <v>100.95</v>
      </c>
      <c r="S190" s="42"/>
      <c r="T190" s="23">
        <v>99.25</v>
      </c>
      <c r="U190" s="23">
        <v>96.8</v>
      </c>
      <c r="V190" s="23">
        <v>96.75</v>
      </c>
      <c r="W190" s="23">
        <v>0</v>
      </c>
      <c r="X190" s="23">
        <v>100.8</v>
      </c>
      <c r="Y190" s="23">
        <v>82.05</v>
      </c>
      <c r="Z190" s="23">
        <v>81.90000000000001</v>
      </c>
      <c r="AA190" s="23">
        <f>AA189+1</f>
        <v>1319</v>
      </c>
      <c r="AB190" s="8"/>
    </row>
    <row r="191" ht="16" customHeight="1">
      <c r="A191" s="19">
        <v>45852</v>
      </c>
      <c r="B191" s="23">
        <v>64.05</v>
      </c>
      <c r="C191" s="23">
        <v>60.72</v>
      </c>
      <c r="D191" s="23">
        <v>65.23999999999999</v>
      </c>
      <c r="E191" s="23">
        <v>69.39</v>
      </c>
      <c r="F191" s="23">
        <v>60.43</v>
      </c>
      <c r="G191" s="23">
        <v>60.9</v>
      </c>
      <c r="H191" s="23">
        <v>63.06</v>
      </c>
      <c r="I191" s="23">
        <v>59.61</v>
      </c>
      <c r="J191" s="23">
        <v>64.34</v>
      </c>
      <c r="K191" s="23">
        <v>67.05</v>
      </c>
      <c r="L191" s="23">
        <v>59.71</v>
      </c>
      <c r="M191" s="42"/>
      <c r="N191" s="23">
        <v>99.47</v>
      </c>
      <c r="O191" s="23">
        <v>96.98999999999999</v>
      </c>
      <c r="P191" s="23">
        <v>97.11</v>
      </c>
      <c r="Q191" s="42"/>
      <c r="R191" s="23">
        <v>100.7</v>
      </c>
      <c r="S191" s="42"/>
      <c r="T191" s="23">
        <v>99.2</v>
      </c>
      <c r="U191" s="23">
        <v>96.61</v>
      </c>
      <c r="V191" s="23">
        <v>96.7</v>
      </c>
      <c r="W191" s="23">
        <v>0</v>
      </c>
      <c r="X191" s="23">
        <v>100.45</v>
      </c>
      <c r="Y191" s="23">
        <v>81.90000000000001</v>
      </c>
      <c r="Z191" s="23">
        <v>81.5</v>
      </c>
      <c r="AA191" s="23">
        <f>AA190+1</f>
        <v>1320</v>
      </c>
      <c r="AB191" s="8"/>
    </row>
    <row r="192" ht="16" customHeight="1">
      <c r="A192" s="19">
        <v>45853</v>
      </c>
      <c r="B192" s="23">
        <v>64</v>
      </c>
      <c r="C192" s="23">
        <v>60.8</v>
      </c>
      <c r="D192" s="23">
        <v>65.29000000000001</v>
      </c>
      <c r="E192" s="23">
        <v>69.75</v>
      </c>
      <c r="F192" s="23">
        <v>60.52</v>
      </c>
      <c r="G192" s="23">
        <v>62</v>
      </c>
      <c r="H192" s="23">
        <v>63.98</v>
      </c>
      <c r="I192" s="23">
        <v>59.55</v>
      </c>
      <c r="J192" s="23">
        <v>64.58</v>
      </c>
      <c r="K192" s="23">
        <v>67.34999999999999</v>
      </c>
      <c r="L192" s="23">
        <v>59.51</v>
      </c>
      <c r="M192" s="42"/>
      <c r="N192" s="23">
        <v>99.5</v>
      </c>
      <c r="O192" s="23">
        <v>97.3</v>
      </c>
      <c r="P192" s="23">
        <v>97.3</v>
      </c>
      <c r="Q192" s="42"/>
      <c r="R192" s="23">
        <v>101.05</v>
      </c>
      <c r="S192" s="42"/>
      <c r="T192" s="23">
        <v>99.11</v>
      </c>
      <c r="U192" s="23">
        <v>97.02</v>
      </c>
      <c r="V192" s="23">
        <v>97</v>
      </c>
      <c r="W192" s="23">
        <v>0</v>
      </c>
      <c r="X192" s="23">
        <v>101</v>
      </c>
      <c r="Y192" s="23">
        <v>81.8</v>
      </c>
      <c r="Z192" s="23">
        <v>81.40000000000001</v>
      </c>
      <c r="AA192" s="23">
        <f>AA191+1</f>
        <v>1321</v>
      </c>
      <c r="AB192" s="8"/>
    </row>
    <row r="193" ht="16" customHeight="1">
      <c r="A193" s="19">
        <v>45854</v>
      </c>
      <c r="B193" s="23">
        <v>64.2</v>
      </c>
      <c r="C193" s="23">
        <v>60.91</v>
      </c>
      <c r="D193" s="23">
        <v>65.09999999999999</v>
      </c>
      <c r="E193" s="23">
        <v>69.25</v>
      </c>
      <c r="F193" s="23">
        <v>60.15</v>
      </c>
      <c r="G193" s="23">
        <v>61.93</v>
      </c>
      <c r="H193" s="23">
        <v>63.5</v>
      </c>
      <c r="I193" s="23">
        <v>59.52</v>
      </c>
      <c r="J193" s="23">
        <v>63.9</v>
      </c>
      <c r="K193" s="23">
        <v>66.90000000000001</v>
      </c>
      <c r="L193" s="23">
        <v>59.1</v>
      </c>
      <c r="M193" s="42"/>
      <c r="N193" s="23">
        <v>99.59999999999999</v>
      </c>
      <c r="O193" s="23">
        <v>97.55</v>
      </c>
      <c r="P193" s="23">
        <v>97.25</v>
      </c>
      <c r="Q193" s="42"/>
      <c r="R193" s="23">
        <v>101.3</v>
      </c>
      <c r="S193" s="42"/>
      <c r="T193" s="23">
        <v>99.45</v>
      </c>
      <c r="U193" s="23">
        <v>97.20999999999999</v>
      </c>
      <c r="V193" s="23">
        <v>97.03</v>
      </c>
      <c r="W193" s="23">
        <v>0</v>
      </c>
      <c r="X193" s="23">
        <v>101</v>
      </c>
      <c r="Y193" s="23">
        <v>81.45</v>
      </c>
      <c r="Z193" s="23">
        <v>81.3</v>
      </c>
      <c r="AA193" s="23">
        <f>AA192+1</f>
        <v>1322</v>
      </c>
      <c r="AB193" s="8"/>
    </row>
    <row r="194" ht="16" customHeight="1">
      <c r="A194" s="19">
        <v>45855</v>
      </c>
      <c r="B194" s="23">
        <v>63.5</v>
      </c>
      <c r="C194" s="23">
        <v>60.47</v>
      </c>
      <c r="D194" s="23">
        <v>64.48999999999999</v>
      </c>
      <c r="E194" s="23">
        <v>68.5</v>
      </c>
      <c r="F194" s="23">
        <v>59.69</v>
      </c>
      <c r="G194" s="23">
        <v>61.14</v>
      </c>
      <c r="H194" s="23">
        <v>62.52</v>
      </c>
      <c r="I194" s="23">
        <v>59.02</v>
      </c>
      <c r="J194" s="23">
        <v>63.7</v>
      </c>
      <c r="K194" s="23">
        <v>66.36</v>
      </c>
      <c r="L194" s="23">
        <v>58.62</v>
      </c>
      <c r="M194" s="42"/>
      <c r="N194" s="23">
        <v>99.47</v>
      </c>
      <c r="O194" s="23">
        <v>97.45</v>
      </c>
      <c r="P194" s="23">
        <v>97.34</v>
      </c>
      <c r="Q194" s="42"/>
      <c r="R194" s="23">
        <v>101.35</v>
      </c>
      <c r="S194" s="42"/>
      <c r="T194" s="23">
        <v>99.15000000000001</v>
      </c>
      <c r="U194" s="23">
        <v>97.15000000000001</v>
      </c>
      <c r="V194" s="23">
        <v>96.95</v>
      </c>
      <c r="W194" s="23">
        <v>0</v>
      </c>
      <c r="X194" s="23">
        <v>101</v>
      </c>
      <c r="Y194" s="23">
        <v>81.7</v>
      </c>
      <c r="Z194" s="23">
        <v>81.09999999999999</v>
      </c>
      <c r="AA194" s="23">
        <f>AA193+1</f>
        <v>1323</v>
      </c>
      <c r="AB194" s="8"/>
    </row>
    <row r="195" ht="16" customHeight="1">
      <c r="A195" s="19">
        <v>45856</v>
      </c>
      <c r="B195" s="23">
        <v>63.36</v>
      </c>
      <c r="C195" s="23">
        <v>60.6</v>
      </c>
      <c r="D195" s="23">
        <v>64.94</v>
      </c>
      <c r="E195" s="23">
        <v>69.15000000000001</v>
      </c>
      <c r="F195" s="23">
        <v>59.99</v>
      </c>
      <c r="G195" s="23">
        <v>60.79</v>
      </c>
      <c r="H195" s="23">
        <v>62.24</v>
      </c>
      <c r="I195" s="23">
        <v>58.97</v>
      </c>
      <c r="J195" s="23">
        <v>63.8</v>
      </c>
      <c r="K195" s="23">
        <v>66.7</v>
      </c>
      <c r="L195" s="23">
        <v>58.85</v>
      </c>
      <c r="M195" s="42"/>
      <c r="N195" s="23">
        <v>99.52</v>
      </c>
      <c r="O195" s="23">
        <v>97.36</v>
      </c>
      <c r="P195" s="23">
        <v>97.09999999999999</v>
      </c>
      <c r="Q195" s="42"/>
      <c r="R195" s="23">
        <v>101.2</v>
      </c>
      <c r="S195" s="42"/>
      <c r="T195" s="23">
        <v>99.14</v>
      </c>
      <c r="U195" s="23">
        <v>97.2</v>
      </c>
      <c r="V195" s="23">
        <v>96.8</v>
      </c>
      <c r="W195" s="23">
        <v>0</v>
      </c>
      <c r="X195" s="23">
        <v>100.95</v>
      </c>
      <c r="Y195" s="23">
        <v>81.40000000000001</v>
      </c>
      <c r="Z195" s="23">
        <v>81.05</v>
      </c>
      <c r="AA195" s="23">
        <f>AA194+1</f>
        <v>1324</v>
      </c>
      <c r="AB195" s="8"/>
    </row>
    <row r="196" ht="16" customHeight="1">
      <c r="A196" s="19">
        <v>45859</v>
      </c>
      <c r="B196" s="23">
        <v>63.9</v>
      </c>
      <c r="C196" s="23">
        <v>60.79</v>
      </c>
      <c r="D196" s="23">
        <v>65.05</v>
      </c>
      <c r="E196" s="23">
        <v>69.20999999999999</v>
      </c>
      <c r="F196" s="23">
        <v>60.01</v>
      </c>
      <c r="G196" s="23">
        <v>60.47</v>
      </c>
      <c r="H196" s="23">
        <v>62.05</v>
      </c>
      <c r="I196" s="23">
        <v>59.08</v>
      </c>
      <c r="J196" s="23">
        <v>63.77</v>
      </c>
      <c r="K196" s="23">
        <v>66.69</v>
      </c>
      <c r="L196" s="23">
        <v>58.52</v>
      </c>
      <c r="M196" s="42"/>
      <c r="N196" s="23">
        <v>99.31999999999999</v>
      </c>
      <c r="O196" s="23">
        <v>97.25</v>
      </c>
      <c r="P196" s="23">
        <v>97.05</v>
      </c>
      <c r="Q196" s="42"/>
      <c r="R196" s="23">
        <v>101.2</v>
      </c>
      <c r="S196" s="42"/>
      <c r="T196" s="23">
        <v>99.2</v>
      </c>
      <c r="U196" s="23">
        <v>97</v>
      </c>
      <c r="V196" s="23">
        <v>96.8</v>
      </c>
      <c r="W196" s="23">
        <v>0</v>
      </c>
      <c r="X196" s="23">
        <v>100.9</v>
      </c>
      <c r="Y196" s="23">
        <v>81.36</v>
      </c>
      <c r="Z196" s="23">
        <v>81.15000000000001</v>
      </c>
      <c r="AA196" s="23">
        <f>AA195+1</f>
        <v>1325</v>
      </c>
      <c r="AB196" s="8"/>
    </row>
    <row r="197" ht="16" customHeight="1">
      <c r="A197" s="19">
        <v>45860</v>
      </c>
      <c r="B197" s="23">
        <v>63.69</v>
      </c>
      <c r="C197" s="23">
        <v>60.44</v>
      </c>
      <c r="D197" s="23">
        <v>64.58</v>
      </c>
      <c r="E197" s="23">
        <v>69.06999999999999</v>
      </c>
      <c r="F197" s="23">
        <v>59.76</v>
      </c>
      <c r="G197" s="23">
        <v>60.89</v>
      </c>
      <c r="H197" s="23">
        <v>62.13</v>
      </c>
      <c r="I197" s="23">
        <v>58.87</v>
      </c>
      <c r="J197" s="23">
        <v>63.33</v>
      </c>
      <c r="K197" s="23">
        <v>66.45999999999999</v>
      </c>
      <c r="L197" s="23">
        <v>58.29</v>
      </c>
      <c r="M197" s="42"/>
      <c r="N197" s="23">
        <v>99.3</v>
      </c>
      <c r="O197" s="23">
        <v>97.06999999999999</v>
      </c>
      <c r="P197" s="23">
        <v>97.06</v>
      </c>
      <c r="Q197" s="42"/>
      <c r="R197" s="23">
        <v>101.05</v>
      </c>
      <c r="S197" s="42"/>
      <c r="T197" s="23">
        <v>99.09999999999999</v>
      </c>
      <c r="U197" s="23">
        <v>97.01000000000001</v>
      </c>
      <c r="V197" s="23">
        <v>97.05</v>
      </c>
      <c r="W197" s="23">
        <v>0</v>
      </c>
      <c r="X197" s="23">
        <v>100.9</v>
      </c>
      <c r="Y197" s="23">
        <v>81.06999999999999</v>
      </c>
      <c r="Z197" s="23">
        <v>80.94</v>
      </c>
      <c r="AA197" s="23">
        <f>AA196+1</f>
        <v>1326</v>
      </c>
      <c r="AB197" s="8"/>
    </row>
    <row r="198" ht="16" customHeight="1">
      <c r="A198" s="19">
        <v>45861</v>
      </c>
      <c r="B198" s="23">
        <v>63.83</v>
      </c>
      <c r="C198" s="23">
        <v>60.47</v>
      </c>
      <c r="D198" s="23">
        <v>64.45999999999999</v>
      </c>
      <c r="E198" s="23">
        <v>68.76000000000001</v>
      </c>
      <c r="F198" s="23">
        <v>59.75</v>
      </c>
      <c r="G198" s="23">
        <v>60.72</v>
      </c>
      <c r="H198" s="23">
        <v>62.1</v>
      </c>
      <c r="I198" s="23">
        <v>58.85</v>
      </c>
      <c r="J198" s="23">
        <v>63.27</v>
      </c>
      <c r="K198" s="23">
        <v>66.31</v>
      </c>
      <c r="L198" s="23">
        <v>58.21</v>
      </c>
      <c r="M198" s="42"/>
      <c r="N198" s="23">
        <v>99.34999999999999</v>
      </c>
      <c r="O198" s="23">
        <v>97.34</v>
      </c>
      <c r="P198" s="23">
        <v>97</v>
      </c>
      <c r="Q198" s="42"/>
      <c r="R198" s="23">
        <v>101.1</v>
      </c>
      <c r="S198" s="42"/>
      <c r="T198" s="23">
        <v>99.20999999999999</v>
      </c>
      <c r="U198" s="23">
        <v>97.19</v>
      </c>
      <c r="V198" s="23">
        <v>96.8</v>
      </c>
      <c r="W198" s="23">
        <v>0</v>
      </c>
      <c r="X198" s="23">
        <v>100.95</v>
      </c>
      <c r="Y198" s="23">
        <v>80.70999999999999</v>
      </c>
      <c r="Z198" s="23">
        <v>80.47</v>
      </c>
      <c r="AA198" s="23">
        <f>AA197+1</f>
        <v>1327</v>
      </c>
      <c r="AB198" s="8"/>
    </row>
    <row r="199" ht="16" customHeight="1">
      <c r="A199" s="19">
        <v>45862</v>
      </c>
      <c r="B199" s="23">
        <v>64.45</v>
      </c>
      <c r="C199" s="23">
        <v>61.45</v>
      </c>
      <c r="D199" s="23">
        <v>65.40000000000001</v>
      </c>
      <c r="E199" s="23">
        <v>69.23</v>
      </c>
      <c r="F199" s="23">
        <v>60.6</v>
      </c>
      <c r="G199" s="23">
        <v>60.95</v>
      </c>
      <c r="H199" s="23">
        <v>63.28</v>
      </c>
      <c r="I199" s="23">
        <v>59.69</v>
      </c>
      <c r="J199" s="23">
        <v>64.17</v>
      </c>
      <c r="K199" s="23">
        <v>67.05</v>
      </c>
      <c r="L199" s="23">
        <v>58.99</v>
      </c>
      <c r="M199" s="42"/>
      <c r="N199" s="23">
        <v>99.25</v>
      </c>
      <c r="O199" s="23">
        <v>97.45</v>
      </c>
      <c r="P199" s="23">
        <v>97.34999999999999</v>
      </c>
      <c r="Q199" s="42"/>
      <c r="R199" s="23">
        <v>100.4</v>
      </c>
      <c r="S199" s="42"/>
      <c r="T199" s="23">
        <v>99.15000000000001</v>
      </c>
      <c r="U199" s="23">
        <v>97.2</v>
      </c>
      <c r="V199" s="23">
        <v>96.98999999999999</v>
      </c>
      <c r="W199" s="23">
        <v>0</v>
      </c>
      <c r="X199" s="23">
        <v>100.65</v>
      </c>
      <c r="Y199" s="23">
        <v>80.5</v>
      </c>
      <c r="Z199" s="23">
        <v>80.40000000000001</v>
      </c>
      <c r="AA199" s="23">
        <f>AA198+1</f>
        <v>1328</v>
      </c>
      <c r="AB199" s="8"/>
    </row>
    <row r="200" ht="16" customHeight="1">
      <c r="A200" s="19">
        <v>45863</v>
      </c>
      <c r="B200" s="23">
        <v>64.68000000000001</v>
      </c>
      <c r="C200" s="23">
        <v>61.72</v>
      </c>
      <c r="D200" s="23">
        <v>65.84999999999999</v>
      </c>
      <c r="E200" s="23">
        <v>69.95999999999999</v>
      </c>
      <c r="F200" s="23">
        <v>60.97</v>
      </c>
      <c r="G200" s="23">
        <v>61.43</v>
      </c>
      <c r="H200" s="23">
        <v>63.55</v>
      </c>
      <c r="I200" s="23">
        <v>59.84</v>
      </c>
      <c r="J200" s="23">
        <v>64.98999999999999</v>
      </c>
      <c r="K200" s="23">
        <v>67.65000000000001</v>
      </c>
      <c r="L200" s="23">
        <v>59.2</v>
      </c>
      <c r="M200" s="42"/>
      <c r="N200" s="23">
        <v>99.59999999999999</v>
      </c>
      <c r="O200" s="23">
        <v>97.29000000000001</v>
      </c>
      <c r="P200" s="23">
        <v>97.02</v>
      </c>
      <c r="Q200" s="42"/>
      <c r="R200" s="23">
        <v>100.7</v>
      </c>
      <c r="S200" s="42"/>
      <c r="T200" s="23">
        <v>99.34999999999999</v>
      </c>
      <c r="U200" s="23">
        <v>97.27</v>
      </c>
      <c r="V200" s="23">
        <v>96.95</v>
      </c>
      <c r="W200" s="23">
        <v>0</v>
      </c>
      <c r="X200" s="23">
        <v>100.7</v>
      </c>
      <c r="Y200" s="23">
        <v>80.5</v>
      </c>
      <c r="Z200" s="23">
        <v>80.28</v>
      </c>
      <c r="AA200" s="23">
        <f>AA199+1</f>
        <v>1329</v>
      </c>
      <c r="AB200" s="8"/>
    </row>
    <row r="201" ht="16" customHeight="1">
      <c r="A201" s="19">
        <v>45866</v>
      </c>
      <c r="B201" s="23">
        <v>65.09</v>
      </c>
      <c r="C201" s="23">
        <v>61.84</v>
      </c>
      <c r="D201" s="23">
        <v>66.34</v>
      </c>
      <c r="E201" s="23">
        <v>70.7</v>
      </c>
      <c r="F201" s="23">
        <v>61.27</v>
      </c>
      <c r="G201" s="23">
        <v>61.35</v>
      </c>
      <c r="H201" s="23">
        <v>64.02</v>
      </c>
      <c r="I201" s="23">
        <v>60.08</v>
      </c>
      <c r="J201" s="23">
        <v>65.47</v>
      </c>
      <c r="K201" s="23">
        <v>68.20999999999999</v>
      </c>
      <c r="L201" s="23">
        <v>59.78</v>
      </c>
      <c r="M201" s="42"/>
      <c r="N201" s="23">
        <v>99.44</v>
      </c>
      <c r="O201" s="23">
        <v>97.31</v>
      </c>
      <c r="P201" s="23">
        <v>96.98999999999999</v>
      </c>
      <c r="Q201" s="42"/>
      <c r="R201" s="23">
        <v>100.75</v>
      </c>
      <c r="S201" s="42"/>
      <c r="T201" s="23">
        <v>99.25</v>
      </c>
      <c r="U201" s="23">
        <v>97</v>
      </c>
      <c r="V201" s="23">
        <v>96.64</v>
      </c>
      <c r="W201" s="23">
        <v>0</v>
      </c>
      <c r="X201" s="23">
        <v>100.5</v>
      </c>
      <c r="Y201" s="23">
        <v>80.68000000000001</v>
      </c>
      <c r="Z201" s="23">
        <v>80.40000000000001</v>
      </c>
      <c r="AA201" s="23">
        <f>AA200+1</f>
        <v>1330</v>
      </c>
      <c r="AB201" s="8"/>
    </row>
    <row r="202" ht="16" customHeight="1">
      <c r="A202" s="19">
        <v>45867</v>
      </c>
      <c r="B202" s="23">
        <v>65.75</v>
      </c>
      <c r="C202" s="23">
        <v>61.92</v>
      </c>
      <c r="D202" s="23">
        <v>66.28</v>
      </c>
      <c r="E202" s="23">
        <v>70.87</v>
      </c>
      <c r="F202" s="23">
        <v>61.41</v>
      </c>
      <c r="G202" s="23">
        <v>63</v>
      </c>
      <c r="H202" s="23">
        <v>64.09999999999999</v>
      </c>
      <c r="I202" s="23">
        <v>60.16</v>
      </c>
      <c r="J202" s="23">
        <v>65.37</v>
      </c>
      <c r="K202" s="23">
        <v>68.34999999999999</v>
      </c>
      <c r="L202" s="23">
        <v>59.99</v>
      </c>
      <c r="M202" s="42"/>
      <c r="N202" s="23">
        <v>99.15000000000001</v>
      </c>
      <c r="O202" s="23">
        <v>97.06</v>
      </c>
      <c r="P202" s="23">
        <v>96.34999999999999</v>
      </c>
      <c r="Q202" s="42"/>
      <c r="R202" s="23">
        <v>100.45</v>
      </c>
      <c r="S202" s="42"/>
      <c r="T202" s="23">
        <v>98.90000000000001</v>
      </c>
      <c r="U202" s="23">
        <v>96.93000000000001</v>
      </c>
      <c r="V202" s="23">
        <v>96.26000000000001</v>
      </c>
      <c r="W202" s="23">
        <v>0</v>
      </c>
      <c r="X202" s="23">
        <v>100.25</v>
      </c>
      <c r="Y202" s="23">
        <v>80.55</v>
      </c>
      <c r="Z202" s="23">
        <v>80.45</v>
      </c>
      <c r="AA202" s="23">
        <f>AA201+1</f>
        <v>1331</v>
      </c>
      <c r="AB202" s="8"/>
    </row>
    <row r="203" ht="16" customHeight="1">
      <c r="A203" s="19">
        <v>45868</v>
      </c>
      <c r="B203" s="23">
        <v>65.54000000000001</v>
      </c>
      <c r="C203" s="23">
        <v>62.21</v>
      </c>
      <c r="D203" s="23">
        <v>66.5</v>
      </c>
      <c r="E203" s="23">
        <v>70.90000000000001</v>
      </c>
      <c r="F203" s="23">
        <v>61.6</v>
      </c>
      <c r="G203" s="23">
        <v>61.96</v>
      </c>
      <c r="H203" s="23">
        <v>63.59</v>
      </c>
      <c r="I203" s="23">
        <v>60.39</v>
      </c>
      <c r="J203" s="23">
        <v>65.43000000000001</v>
      </c>
      <c r="K203" s="23">
        <v>68.45</v>
      </c>
      <c r="L203" s="23">
        <v>60.22</v>
      </c>
      <c r="M203" s="42"/>
      <c r="N203" s="23">
        <v>99.05</v>
      </c>
      <c r="O203" s="23">
        <v>95.91</v>
      </c>
      <c r="P203" s="23">
        <v>95.45</v>
      </c>
      <c r="Q203" s="42"/>
      <c r="R203" s="23">
        <v>100.1</v>
      </c>
      <c r="S203" s="42"/>
      <c r="T203" s="23">
        <v>98.90000000000001</v>
      </c>
      <c r="U203" s="23">
        <v>95.70999999999999</v>
      </c>
      <c r="V203" s="23">
        <v>95.29000000000001</v>
      </c>
      <c r="W203" s="23">
        <v>0</v>
      </c>
      <c r="X203" s="23">
        <v>99.93000000000001</v>
      </c>
      <c r="Y203" s="23">
        <v>80.67</v>
      </c>
      <c r="Z203" s="23">
        <v>80.40000000000001</v>
      </c>
      <c r="AA203" s="23">
        <f>AA202+1</f>
        <v>1332</v>
      </c>
      <c r="AB203" s="8"/>
    </row>
    <row r="204" ht="16" customHeight="1">
      <c r="A204" s="19">
        <v>45869</v>
      </c>
      <c r="B204" s="23">
        <v>64.45999999999999</v>
      </c>
      <c r="C204" s="23">
        <v>61.79</v>
      </c>
      <c r="D204" s="23">
        <v>66.09999999999999</v>
      </c>
      <c r="E204" s="23">
        <v>70.19</v>
      </c>
      <c r="F204" s="23">
        <v>61.06</v>
      </c>
      <c r="G204" s="23">
        <v>61.3</v>
      </c>
      <c r="H204" s="23">
        <v>62.95</v>
      </c>
      <c r="I204" s="23">
        <v>59.92</v>
      </c>
      <c r="J204" s="23">
        <v>65.20999999999999</v>
      </c>
      <c r="K204" s="23">
        <v>67.51000000000001</v>
      </c>
      <c r="L204" s="23">
        <v>59.57</v>
      </c>
      <c r="M204" s="42"/>
      <c r="N204" s="23">
        <v>98.84999999999999</v>
      </c>
      <c r="O204" s="23">
        <v>96.13</v>
      </c>
      <c r="P204" s="23">
        <v>96.08</v>
      </c>
      <c r="Q204" s="42"/>
      <c r="R204" s="23">
        <v>99.5</v>
      </c>
      <c r="S204" s="42"/>
      <c r="T204" s="23">
        <v>98.84</v>
      </c>
      <c r="U204" s="23">
        <v>96.12</v>
      </c>
      <c r="V204" s="23">
        <v>95.90000000000001</v>
      </c>
      <c r="W204" s="23">
        <v>0</v>
      </c>
      <c r="X204" s="23">
        <v>99.25</v>
      </c>
      <c r="Y204" s="23">
        <v>80.23</v>
      </c>
      <c r="Z204" s="23">
        <v>80.20999999999999</v>
      </c>
      <c r="AA204" s="23">
        <f>AA203+1</f>
        <v>1333</v>
      </c>
      <c r="AB204" s="8"/>
    </row>
    <row r="205" ht="16" customHeight="1">
      <c r="A205" s="19">
        <v>45870</v>
      </c>
      <c r="B205" s="23">
        <v>64.26000000000001</v>
      </c>
      <c r="C205" s="23">
        <v>61.28</v>
      </c>
      <c r="D205" s="23">
        <v>65.43000000000001</v>
      </c>
      <c r="E205" s="23">
        <v>69.84</v>
      </c>
      <c r="F205" s="23">
        <v>60.29</v>
      </c>
      <c r="G205" s="23">
        <v>61.1</v>
      </c>
      <c r="H205" s="23">
        <v>62.18</v>
      </c>
      <c r="I205" s="23">
        <v>59.27</v>
      </c>
      <c r="J205" s="23">
        <v>64.41</v>
      </c>
      <c r="K205" s="23">
        <v>66.98</v>
      </c>
      <c r="L205" s="23">
        <v>59.19</v>
      </c>
      <c r="M205" s="42"/>
      <c r="N205" s="23">
        <v>98.59999999999999</v>
      </c>
      <c r="O205" s="23">
        <v>95.98999999999999</v>
      </c>
      <c r="P205" s="23">
        <v>95.79000000000001</v>
      </c>
      <c r="Q205" s="42"/>
      <c r="R205" s="23">
        <v>99.04000000000001</v>
      </c>
      <c r="S205" s="42"/>
      <c r="T205" s="23">
        <v>98.45</v>
      </c>
      <c r="U205" s="23">
        <v>95.8</v>
      </c>
      <c r="V205" s="23">
        <v>95.64</v>
      </c>
      <c r="W205" s="23">
        <v>0</v>
      </c>
      <c r="X205" s="23">
        <v>98.95</v>
      </c>
      <c r="Y205" s="23">
        <v>80.3</v>
      </c>
      <c r="Z205" s="23">
        <v>80.09</v>
      </c>
      <c r="AA205" s="23">
        <f>AA204+1</f>
        <v>1334</v>
      </c>
      <c r="AB205" s="8"/>
    </row>
    <row r="206" ht="16" customHeight="1">
      <c r="A206" s="19">
        <v>45873</v>
      </c>
      <c r="B206" s="23">
        <v>64.59</v>
      </c>
      <c r="C206" s="23">
        <v>61.77</v>
      </c>
      <c r="D206" s="23">
        <v>65.81</v>
      </c>
      <c r="E206" s="23">
        <v>70.18000000000001</v>
      </c>
      <c r="F206" s="23">
        <v>60.62</v>
      </c>
      <c r="G206" s="23">
        <v>60.99</v>
      </c>
      <c r="H206" s="23">
        <v>62.65</v>
      </c>
      <c r="I206" s="23">
        <v>59.86</v>
      </c>
      <c r="J206" s="23">
        <v>64.67</v>
      </c>
      <c r="K206" s="23">
        <v>67.33</v>
      </c>
      <c r="L206" s="23">
        <v>59.3</v>
      </c>
      <c r="M206" s="42"/>
      <c r="N206" s="23">
        <v>98.61</v>
      </c>
      <c r="O206" s="23">
        <v>95.53</v>
      </c>
      <c r="P206" s="23">
        <v>95.20999999999999</v>
      </c>
      <c r="Q206" s="42"/>
      <c r="R206" s="23">
        <v>99.34999999999999</v>
      </c>
      <c r="S206" s="42"/>
      <c r="T206" s="23">
        <v>98.43000000000001</v>
      </c>
      <c r="U206" s="23">
        <v>95.2</v>
      </c>
      <c r="V206" s="23">
        <v>95.03</v>
      </c>
      <c r="W206" s="23">
        <v>0</v>
      </c>
      <c r="X206" s="23">
        <v>99.18000000000001</v>
      </c>
      <c r="Y206" s="23">
        <v>80.12</v>
      </c>
      <c r="Z206" s="23">
        <v>80.09999999999999</v>
      </c>
      <c r="AA206" s="23">
        <f>AA205+1</f>
        <v>1335</v>
      </c>
      <c r="AB206" s="8"/>
    </row>
    <row r="207" ht="16" customHeight="1">
      <c r="A207" s="19">
        <v>45874</v>
      </c>
      <c r="B207" s="23">
        <v>65.16</v>
      </c>
      <c r="C207" s="23">
        <v>62.05</v>
      </c>
      <c r="D207" s="23">
        <v>66.26000000000001</v>
      </c>
      <c r="E207" s="23">
        <v>70.66</v>
      </c>
      <c r="F207" s="23">
        <v>61.22</v>
      </c>
      <c r="G207" s="23">
        <v>61.5</v>
      </c>
      <c r="H207" s="23">
        <v>63</v>
      </c>
      <c r="I207" s="23">
        <v>60.15</v>
      </c>
      <c r="J207" s="23">
        <v>65.27</v>
      </c>
      <c r="K207" s="23">
        <v>68.01000000000001</v>
      </c>
      <c r="L207" s="23">
        <v>59.96</v>
      </c>
      <c r="M207" s="42"/>
      <c r="N207" s="23">
        <v>98.77</v>
      </c>
      <c r="O207" s="23">
        <v>95.7</v>
      </c>
      <c r="P207" s="23">
        <v>95.64</v>
      </c>
      <c r="Q207" s="42"/>
      <c r="R207" s="23">
        <v>99.22</v>
      </c>
      <c r="S207" s="42"/>
      <c r="T207" s="23">
        <v>98.64</v>
      </c>
      <c r="U207" s="23">
        <v>95.59999999999999</v>
      </c>
      <c r="V207" s="23">
        <v>95.5</v>
      </c>
      <c r="W207" s="23">
        <v>0</v>
      </c>
      <c r="X207" s="23">
        <v>99.2</v>
      </c>
      <c r="Y207" s="23">
        <v>80.27</v>
      </c>
      <c r="Z207" s="23">
        <v>80.2</v>
      </c>
      <c r="AA207" s="23">
        <f>AA206+1</f>
        <v>1336</v>
      </c>
      <c r="AB207" s="8"/>
    </row>
    <row r="208" ht="16" customHeight="1">
      <c r="A208" s="19">
        <v>45875</v>
      </c>
      <c r="B208" s="23">
        <v>65.34999999999999</v>
      </c>
      <c r="C208" s="23">
        <v>62.3</v>
      </c>
      <c r="D208" s="23">
        <v>66.59999999999999</v>
      </c>
      <c r="E208" s="23">
        <v>70.89</v>
      </c>
      <c r="F208" s="23">
        <v>61.41</v>
      </c>
      <c r="G208" s="23">
        <v>61.38</v>
      </c>
      <c r="H208" s="23">
        <v>62.7</v>
      </c>
      <c r="I208" s="23">
        <v>60.28</v>
      </c>
      <c r="J208" s="23">
        <v>65.47</v>
      </c>
      <c r="K208" s="23">
        <v>68.2</v>
      </c>
      <c r="L208" s="23">
        <v>60.07</v>
      </c>
      <c r="M208" s="42"/>
      <c r="N208" s="23">
        <v>98.84999999999999</v>
      </c>
      <c r="O208" s="23">
        <v>95.62</v>
      </c>
      <c r="P208" s="23">
        <v>95.45</v>
      </c>
      <c r="Q208" s="42"/>
      <c r="R208" s="23">
        <v>99.66</v>
      </c>
      <c r="S208" s="42"/>
      <c r="T208" s="23">
        <v>98.66</v>
      </c>
      <c r="U208" s="23">
        <v>95.5</v>
      </c>
      <c r="V208" s="23">
        <v>95.15000000000001</v>
      </c>
      <c r="W208" s="23">
        <v>0</v>
      </c>
      <c r="X208" s="23">
        <v>99.8</v>
      </c>
      <c r="Y208" s="23">
        <v>80.15000000000001</v>
      </c>
      <c r="Z208" s="23">
        <v>80.05</v>
      </c>
      <c r="AA208" s="23">
        <f>AA207+1</f>
        <v>1337</v>
      </c>
      <c r="AB208" s="8"/>
    </row>
    <row r="209" ht="16" customHeight="1">
      <c r="A209" s="19">
        <v>45876</v>
      </c>
      <c r="B209" s="23">
        <v>65.86</v>
      </c>
      <c r="C209" s="23">
        <v>62.21</v>
      </c>
      <c r="D209" s="23">
        <v>66.75</v>
      </c>
      <c r="E209" s="23">
        <v>71.31999999999999</v>
      </c>
      <c r="F209" s="23">
        <v>61.7</v>
      </c>
      <c r="G209" s="23">
        <v>61.63</v>
      </c>
      <c r="H209" s="23">
        <v>63.05</v>
      </c>
      <c r="I209" s="23">
        <v>60.25</v>
      </c>
      <c r="J209" s="23">
        <v>65.8</v>
      </c>
      <c r="K209" s="23">
        <v>68.39</v>
      </c>
      <c r="L209" s="23">
        <v>60.33</v>
      </c>
      <c r="M209" s="42"/>
      <c r="N209" s="23">
        <v>99.25</v>
      </c>
      <c r="O209" s="23">
        <v>96.34999999999999</v>
      </c>
      <c r="P209" s="23">
        <v>95.81999999999999</v>
      </c>
      <c r="Q209" s="42"/>
      <c r="R209" s="23">
        <v>100.2</v>
      </c>
      <c r="S209" s="42"/>
      <c r="T209" s="23">
        <v>99</v>
      </c>
      <c r="U209" s="23">
        <v>96.2</v>
      </c>
      <c r="V209" s="23">
        <v>96</v>
      </c>
      <c r="W209" s="23">
        <v>0</v>
      </c>
      <c r="X209" s="23">
        <v>99.90000000000001</v>
      </c>
      <c r="Y209" s="23">
        <v>80.25</v>
      </c>
      <c r="Z209" s="23">
        <v>80</v>
      </c>
      <c r="AA209" s="23">
        <f>AA208+1</f>
        <v>1338</v>
      </c>
      <c r="AB209" s="8"/>
    </row>
    <row r="210" ht="16" customHeight="1">
      <c r="A210" s="19">
        <v>45877</v>
      </c>
      <c r="B210" s="23">
        <v>65.53</v>
      </c>
      <c r="C210" s="23">
        <v>62.31</v>
      </c>
      <c r="D210" s="23">
        <v>66.70999999999999</v>
      </c>
      <c r="E210" s="23">
        <v>71.06999999999999</v>
      </c>
      <c r="F210" s="23">
        <v>61.43</v>
      </c>
      <c r="G210" s="23">
        <v>61.41</v>
      </c>
      <c r="H210" s="23">
        <v>63.2</v>
      </c>
      <c r="I210" s="23">
        <v>60.34</v>
      </c>
      <c r="J210" s="23">
        <v>65.5</v>
      </c>
      <c r="K210" s="23">
        <v>68.40000000000001</v>
      </c>
      <c r="L210" s="23">
        <v>60.11</v>
      </c>
      <c r="M210" s="42"/>
      <c r="N210" s="23">
        <v>98.81</v>
      </c>
      <c r="O210" s="23">
        <v>96.73</v>
      </c>
      <c r="P210" s="23">
        <v>96.25</v>
      </c>
      <c r="Q210" s="42"/>
      <c r="R210" s="23">
        <v>100.1</v>
      </c>
      <c r="S210" s="42"/>
      <c r="T210" s="23">
        <v>98.59999999999999</v>
      </c>
      <c r="U210" s="23">
        <v>96.48999999999999</v>
      </c>
      <c r="V210" s="23">
        <v>96.06</v>
      </c>
      <c r="W210" s="23">
        <v>0</v>
      </c>
      <c r="X210" s="23">
        <v>99.93000000000001</v>
      </c>
      <c r="Y210" s="23">
        <v>80.09999999999999</v>
      </c>
      <c r="Z210" s="23">
        <v>79.7</v>
      </c>
      <c r="AA210" s="23">
        <f>AA209+1</f>
        <v>1339</v>
      </c>
      <c r="AB210" s="8"/>
    </row>
    <row r="211" ht="16" customHeight="1">
      <c r="A211" s="19">
        <v>45880</v>
      </c>
      <c r="B211" s="23">
        <v>65.03</v>
      </c>
      <c r="C211" s="23">
        <v>62.27</v>
      </c>
      <c r="D211" s="23">
        <v>66.79000000000001</v>
      </c>
      <c r="E211" s="23">
        <v>71.15000000000001</v>
      </c>
      <c r="F211" s="23">
        <v>61.69</v>
      </c>
      <c r="G211" s="23">
        <v>61.52</v>
      </c>
      <c r="H211" s="23">
        <v>62.98</v>
      </c>
      <c r="I211" s="23">
        <v>60.38</v>
      </c>
      <c r="J211" s="23">
        <v>65.54000000000001</v>
      </c>
      <c r="K211" s="23">
        <v>68.15000000000001</v>
      </c>
      <c r="L211" s="23">
        <v>60.08</v>
      </c>
      <c r="M211" s="42"/>
      <c r="N211" s="23">
        <v>98.7</v>
      </c>
      <c r="O211" s="23">
        <v>96.53</v>
      </c>
      <c r="P211" s="23">
        <v>96.27</v>
      </c>
      <c r="Q211" s="42"/>
      <c r="R211" s="23">
        <v>100.15</v>
      </c>
      <c r="S211" s="42"/>
      <c r="T211" s="23">
        <v>98.59</v>
      </c>
      <c r="U211" s="23">
        <v>96.34</v>
      </c>
      <c r="V211" s="23">
        <v>96.06999999999999</v>
      </c>
      <c r="W211" s="23">
        <v>0</v>
      </c>
      <c r="X211" s="23">
        <v>99.98999999999999</v>
      </c>
      <c r="Y211" s="23">
        <v>80.3</v>
      </c>
      <c r="Z211" s="23">
        <v>80.2</v>
      </c>
      <c r="AA211" s="23">
        <f>AA210+1</f>
        <v>1340</v>
      </c>
      <c r="AB211" s="8"/>
    </row>
    <row r="212" ht="16" customHeight="1">
      <c r="A212" s="19">
        <v>45881</v>
      </c>
      <c r="B212" s="23">
        <v>65.59999999999999</v>
      </c>
      <c r="C212" s="23">
        <v>62.53</v>
      </c>
      <c r="D212" s="23">
        <v>67.22</v>
      </c>
      <c r="E212" s="23">
        <v>71.40000000000001</v>
      </c>
      <c r="F212" s="23">
        <v>62.04</v>
      </c>
      <c r="G212" s="23">
        <v>61.68</v>
      </c>
      <c r="H212" s="23">
        <v>63.37</v>
      </c>
      <c r="I212" s="23">
        <v>60.88</v>
      </c>
      <c r="J212" s="23">
        <v>65.90000000000001</v>
      </c>
      <c r="K212" s="23">
        <v>68.61</v>
      </c>
      <c r="L212" s="23">
        <v>60.56</v>
      </c>
      <c r="M212" s="42"/>
      <c r="N212" s="23">
        <v>98.90000000000001</v>
      </c>
      <c r="O212" s="23">
        <v>96.28</v>
      </c>
      <c r="P212" s="23">
        <v>96</v>
      </c>
      <c r="Q212" s="42"/>
      <c r="R212" s="23">
        <v>100.5</v>
      </c>
      <c r="S212" s="42"/>
      <c r="T212" s="23">
        <v>98.58</v>
      </c>
      <c r="U212" s="23">
        <v>96</v>
      </c>
      <c r="V212" s="23">
        <v>95.89</v>
      </c>
      <c r="W212" s="23">
        <v>0</v>
      </c>
      <c r="X212" s="23">
        <v>100.25</v>
      </c>
      <c r="Y212" s="23">
        <v>79.98</v>
      </c>
      <c r="Z212" s="23">
        <v>79.75</v>
      </c>
      <c r="AA212" s="23">
        <f>AA211+1</f>
        <v>1341</v>
      </c>
      <c r="AB212" s="8"/>
    </row>
    <row r="213" ht="16" customHeight="1">
      <c r="A213" s="19">
        <v>45882</v>
      </c>
      <c r="B213" s="23">
        <v>65.8</v>
      </c>
      <c r="C213" s="23">
        <v>62.75</v>
      </c>
      <c r="D213" s="23">
        <v>67.84999999999999</v>
      </c>
      <c r="E213" s="23">
        <v>72.38</v>
      </c>
      <c r="F213" s="23">
        <v>62.7</v>
      </c>
      <c r="G213" s="23">
        <v>62.11</v>
      </c>
      <c r="H213" s="23">
        <v>63.62</v>
      </c>
      <c r="I213" s="23">
        <v>61.12</v>
      </c>
      <c r="J213" s="23">
        <v>66.40000000000001</v>
      </c>
      <c r="K213" s="23">
        <v>69.26000000000001</v>
      </c>
      <c r="L213" s="23">
        <v>61.12</v>
      </c>
      <c r="M213" s="42"/>
      <c r="N213" s="23">
        <v>98.95</v>
      </c>
      <c r="O213" s="23">
        <v>96.20999999999999</v>
      </c>
      <c r="P213" s="23">
        <v>95.75</v>
      </c>
      <c r="Q213" s="42"/>
      <c r="R213" s="23">
        <v>101.3</v>
      </c>
      <c r="S213" s="42"/>
      <c r="T213" s="23">
        <v>98.70999999999999</v>
      </c>
      <c r="U213" s="23">
        <v>96.05</v>
      </c>
      <c r="V213" s="23">
        <v>95.90000000000001</v>
      </c>
      <c r="W213" s="23">
        <v>0</v>
      </c>
      <c r="X213" s="23">
        <v>101</v>
      </c>
      <c r="Y213" s="23">
        <v>79.95</v>
      </c>
      <c r="Z213" s="23">
        <v>79.73</v>
      </c>
      <c r="AA213" s="23">
        <f>AA212+1</f>
        <v>1342</v>
      </c>
      <c r="AB213" s="8"/>
    </row>
    <row r="214" ht="16" customHeight="1">
      <c r="A214" s="19">
        <v>45883</v>
      </c>
      <c r="B214" s="23">
        <v>65.38</v>
      </c>
      <c r="C214" s="23">
        <v>62.65</v>
      </c>
      <c r="D214" s="23">
        <v>67.55</v>
      </c>
      <c r="E214" s="23">
        <v>71.92</v>
      </c>
      <c r="F214" s="23">
        <v>62.45</v>
      </c>
      <c r="G214" s="23">
        <v>62.17</v>
      </c>
      <c r="H214" s="23">
        <v>63.4</v>
      </c>
      <c r="I214" s="23">
        <v>60.87</v>
      </c>
      <c r="J214" s="23">
        <v>66</v>
      </c>
      <c r="K214" s="23">
        <v>68.52</v>
      </c>
      <c r="L214" s="23">
        <v>60.52</v>
      </c>
      <c r="M214" s="42"/>
      <c r="N214" s="23">
        <v>98.73999999999999</v>
      </c>
      <c r="O214" s="23">
        <v>96.25</v>
      </c>
      <c r="P214" s="23">
        <v>96</v>
      </c>
      <c r="Q214" s="42"/>
      <c r="R214" s="23">
        <v>101.6</v>
      </c>
      <c r="S214" s="42"/>
      <c r="T214" s="23">
        <v>98.40000000000001</v>
      </c>
      <c r="U214" s="23">
        <v>96</v>
      </c>
      <c r="V214" s="23">
        <v>95.75</v>
      </c>
      <c r="W214" s="23">
        <v>0</v>
      </c>
      <c r="X214" s="23">
        <v>101.45</v>
      </c>
      <c r="Y214" s="23">
        <v>79.68000000000001</v>
      </c>
      <c r="Z214" s="23">
        <v>79.5</v>
      </c>
      <c r="AA214" s="23">
        <f>AA213+1</f>
        <v>1343</v>
      </c>
      <c r="AB214" s="8"/>
    </row>
    <row r="215" ht="16" customHeight="1">
      <c r="A215" s="19">
        <v>45887</v>
      </c>
      <c r="B215" s="23">
        <v>66.31999999999999</v>
      </c>
      <c r="C215" s="23">
        <v>63</v>
      </c>
      <c r="D215" s="23">
        <v>67.90000000000001</v>
      </c>
      <c r="E215" s="23">
        <v>71.91</v>
      </c>
      <c r="F215" s="23">
        <v>62.7</v>
      </c>
      <c r="G215" s="23">
        <v>62.27</v>
      </c>
      <c r="H215" s="23">
        <v>63.49</v>
      </c>
      <c r="I215" s="23">
        <v>61.1</v>
      </c>
      <c r="J215" s="23">
        <v>66.31</v>
      </c>
      <c r="K215" s="23">
        <v>68.98999999999999</v>
      </c>
      <c r="L215" s="23">
        <v>60.85</v>
      </c>
      <c r="M215" s="42"/>
      <c r="N215" s="23">
        <v>98.70999999999999</v>
      </c>
      <c r="O215" s="23">
        <v>96.25</v>
      </c>
      <c r="P215" s="23">
        <v>95.95</v>
      </c>
      <c r="Q215" s="42"/>
      <c r="R215" s="23">
        <v>101.6</v>
      </c>
      <c r="S215" s="42"/>
      <c r="T215" s="23">
        <v>98.5</v>
      </c>
      <c r="U215" s="23">
        <v>95.59999999999999</v>
      </c>
      <c r="V215" s="23">
        <v>95.61</v>
      </c>
      <c r="W215" s="23">
        <v>0</v>
      </c>
      <c r="X215" s="23">
        <v>101.05</v>
      </c>
      <c r="Y215" s="23">
        <v>79.8</v>
      </c>
      <c r="Z215" s="23">
        <v>79.61</v>
      </c>
      <c r="AA215" s="23">
        <f>AA214+1</f>
        <v>1344</v>
      </c>
      <c r="AB215" s="8"/>
    </row>
    <row r="216" ht="16" customHeight="1">
      <c r="A216" s="19">
        <v>45888</v>
      </c>
      <c r="B216" s="23">
        <v>65.89</v>
      </c>
      <c r="C216" s="23">
        <v>62.81</v>
      </c>
      <c r="D216" s="23">
        <v>67.95999999999999</v>
      </c>
      <c r="E216" s="23">
        <v>72.2</v>
      </c>
      <c r="F216" s="23">
        <v>62.89</v>
      </c>
      <c r="G216" s="23">
        <v>63.05</v>
      </c>
      <c r="H216" s="23">
        <v>63.7</v>
      </c>
      <c r="I216" s="23">
        <v>61.16</v>
      </c>
      <c r="J216" s="23">
        <v>66.41</v>
      </c>
      <c r="K216" s="23">
        <v>68.90000000000001</v>
      </c>
      <c r="L216" s="23">
        <v>60.93</v>
      </c>
      <c r="M216" s="42"/>
      <c r="N216" s="23">
        <v>99</v>
      </c>
      <c r="O216" s="23">
        <v>95.98999999999999</v>
      </c>
      <c r="P216" s="23">
        <v>95.73</v>
      </c>
      <c r="Q216" s="42"/>
      <c r="R216" s="23">
        <v>101.25</v>
      </c>
      <c r="S216" s="42"/>
      <c r="T216" s="23">
        <v>98.59999999999999</v>
      </c>
      <c r="U216" s="23">
        <v>95.56</v>
      </c>
      <c r="V216" s="23">
        <v>95.5</v>
      </c>
      <c r="W216" s="23">
        <v>0</v>
      </c>
      <c r="X216" s="23">
        <v>101</v>
      </c>
      <c r="Y216" s="23">
        <v>79.88</v>
      </c>
      <c r="Z216" s="23">
        <v>79.63</v>
      </c>
      <c r="AA216" s="23">
        <f>AA215+1</f>
        <v>1345</v>
      </c>
      <c r="AB216" s="8"/>
    </row>
    <row r="217" ht="16" customHeight="1">
      <c r="A217" s="19">
        <v>45889</v>
      </c>
      <c r="B217" s="23">
        <v>64.83</v>
      </c>
      <c r="C217" s="23">
        <v>61.9</v>
      </c>
      <c r="D217" s="23">
        <v>66.43000000000001</v>
      </c>
      <c r="E217" s="23">
        <v>70.59999999999999</v>
      </c>
      <c r="F217" s="23">
        <v>61.35</v>
      </c>
      <c r="G217" s="23">
        <v>62</v>
      </c>
      <c r="H217" s="23">
        <v>62.1</v>
      </c>
      <c r="I217" s="23">
        <v>60.15</v>
      </c>
      <c r="J217" s="23">
        <v>64.88</v>
      </c>
      <c r="K217" s="23">
        <v>67.34999999999999</v>
      </c>
      <c r="L217" s="23">
        <v>59.79</v>
      </c>
      <c r="M217" s="42"/>
      <c r="N217" s="23">
        <v>98.95</v>
      </c>
      <c r="O217" s="23">
        <v>95.95</v>
      </c>
      <c r="P217" s="23">
        <v>95.8</v>
      </c>
      <c r="Q217" s="42"/>
      <c r="R217" s="23">
        <v>100.85</v>
      </c>
      <c r="S217" s="42"/>
      <c r="T217" s="23">
        <v>98.64</v>
      </c>
      <c r="U217" s="23">
        <v>95.75</v>
      </c>
      <c r="V217" s="23">
        <v>95.64</v>
      </c>
      <c r="W217" s="23">
        <v>0</v>
      </c>
      <c r="X217" s="23">
        <v>100.7</v>
      </c>
      <c r="Y217" s="23">
        <v>79.84999999999999</v>
      </c>
      <c r="Z217" s="23">
        <v>79.59999999999999</v>
      </c>
      <c r="AA217" s="23">
        <f>AA216+1</f>
        <v>1346</v>
      </c>
      <c r="AB217" s="8"/>
    </row>
    <row r="218" ht="16" customHeight="1">
      <c r="A218" s="19">
        <v>45890</v>
      </c>
      <c r="B218" s="23">
        <v>64.22</v>
      </c>
      <c r="C218" s="23">
        <v>61.23</v>
      </c>
      <c r="D218" s="23">
        <v>65.81</v>
      </c>
      <c r="E218" s="23">
        <v>69.84</v>
      </c>
      <c r="F218" s="23">
        <v>60.31</v>
      </c>
      <c r="G218" s="23">
        <v>60.9</v>
      </c>
      <c r="H218" s="23">
        <v>62.1</v>
      </c>
      <c r="I218" s="23">
        <v>59.7</v>
      </c>
      <c r="J218" s="23">
        <v>64.19</v>
      </c>
      <c r="K218" s="23">
        <v>66.55</v>
      </c>
      <c r="L218" s="23">
        <v>58.6</v>
      </c>
      <c r="M218" s="42"/>
      <c r="N218" s="23">
        <v>98.73999999999999</v>
      </c>
      <c r="O218" s="23">
        <v>95.8</v>
      </c>
      <c r="P218" s="23">
        <v>95.56</v>
      </c>
      <c r="Q218" s="42"/>
      <c r="R218" s="23">
        <v>100</v>
      </c>
      <c r="S218" s="42"/>
      <c r="T218" s="23">
        <v>98.64</v>
      </c>
      <c r="U218" s="23">
        <v>95.65000000000001</v>
      </c>
      <c r="V218" s="23">
        <v>95.5</v>
      </c>
      <c r="W218" s="23">
        <v>0</v>
      </c>
      <c r="X218" s="23">
        <v>100</v>
      </c>
      <c r="Y218" s="23">
        <v>79.88</v>
      </c>
      <c r="Z218" s="23">
        <v>79.59999999999999</v>
      </c>
      <c r="AA218" s="23">
        <f>AA217+1</f>
        <v>1347</v>
      </c>
      <c r="AB218" s="8"/>
    </row>
    <row r="219" ht="16" customHeight="1">
      <c r="A219" s="19">
        <v>45891</v>
      </c>
      <c r="B219" s="23">
        <v>64</v>
      </c>
      <c r="C219" s="23">
        <v>61.43</v>
      </c>
      <c r="D219" s="23">
        <v>65.78</v>
      </c>
      <c r="E219" s="23">
        <v>69.5</v>
      </c>
      <c r="F219" s="23">
        <v>60.7</v>
      </c>
      <c r="G219" s="23">
        <v>60.19</v>
      </c>
      <c r="H219" s="23">
        <v>62.1</v>
      </c>
      <c r="I219" s="23">
        <v>59.58</v>
      </c>
      <c r="J219" s="23">
        <v>64.15000000000001</v>
      </c>
      <c r="K219" s="23">
        <v>66.45</v>
      </c>
      <c r="L219" s="23">
        <v>58.61</v>
      </c>
      <c r="M219" s="42"/>
      <c r="N219" s="23">
        <v>98.79000000000001</v>
      </c>
      <c r="O219" s="23">
        <v>95.68000000000001</v>
      </c>
      <c r="P219" s="23">
        <v>96</v>
      </c>
      <c r="Q219" s="42"/>
      <c r="R219" s="23">
        <v>100</v>
      </c>
      <c r="S219" s="42"/>
      <c r="T219" s="23">
        <v>98.5</v>
      </c>
      <c r="U219" s="23">
        <v>95.38</v>
      </c>
      <c r="V219" s="23">
        <v>95.51000000000001</v>
      </c>
      <c r="W219" s="23">
        <v>0</v>
      </c>
      <c r="X219" s="23">
        <v>99.69</v>
      </c>
      <c r="Y219" s="23">
        <v>79.59999999999999</v>
      </c>
      <c r="Z219" s="23">
        <v>79.42</v>
      </c>
      <c r="AA219" s="23">
        <f>AA218+1</f>
        <v>1348</v>
      </c>
      <c r="AB219" s="8"/>
    </row>
    <row r="220" ht="16" customHeight="1">
      <c r="A220" s="19">
        <v>45894</v>
      </c>
      <c r="B220" s="23">
        <v>61.75</v>
      </c>
      <c r="C220" s="23">
        <v>59.51</v>
      </c>
      <c r="D220" s="23">
        <v>63.6</v>
      </c>
      <c r="E220" s="23">
        <v>67.45</v>
      </c>
      <c r="F220" s="23">
        <v>58.5</v>
      </c>
      <c r="G220" s="23">
        <v>58.7</v>
      </c>
      <c r="H220" s="23">
        <v>59.74</v>
      </c>
      <c r="I220" s="23">
        <v>57.7</v>
      </c>
      <c r="J220" s="23">
        <v>61.93</v>
      </c>
      <c r="K220" s="23">
        <v>63.5</v>
      </c>
      <c r="L220" s="23">
        <v>56.58</v>
      </c>
      <c r="M220" s="42"/>
      <c r="N220" s="23">
        <v>98.40000000000001</v>
      </c>
      <c r="O220" s="23">
        <v>94.81999999999999</v>
      </c>
      <c r="P220" s="23">
        <v>94.78</v>
      </c>
      <c r="Q220" s="42"/>
      <c r="R220" s="23">
        <v>99.3</v>
      </c>
      <c r="S220" s="42"/>
      <c r="T220" s="23">
        <v>98.09999999999999</v>
      </c>
      <c r="U220" s="23">
        <v>94.42</v>
      </c>
      <c r="V220" s="23">
        <v>94.52</v>
      </c>
      <c r="W220" s="23">
        <v>0</v>
      </c>
      <c r="X220" s="23">
        <v>98.95</v>
      </c>
      <c r="Y220" s="23">
        <v>79.44</v>
      </c>
      <c r="Z220" s="23">
        <v>78.8</v>
      </c>
      <c r="AA220" s="23">
        <f>AA219+1</f>
        <v>1349</v>
      </c>
      <c r="AB220" s="8"/>
    </row>
    <row r="221" ht="16" customHeight="1">
      <c r="A221" s="19">
        <v>45895</v>
      </c>
      <c r="B221" s="23">
        <v>62.41</v>
      </c>
      <c r="C221" s="23">
        <v>59.61</v>
      </c>
      <c r="D221" s="23">
        <v>63.05</v>
      </c>
      <c r="E221" s="23">
        <v>67</v>
      </c>
      <c r="F221" s="23">
        <v>58.25</v>
      </c>
      <c r="G221" s="23">
        <v>58.89</v>
      </c>
      <c r="H221" s="23">
        <v>60.08</v>
      </c>
      <c r="I221" s="23">
        <v>58.22</v>
      </c>
      <c r="J221" s="23">
        <v>61.25</v>
      </c>
      <c r="K221" s="23">
        <v>63.4</v>
      </c>
      <c r="L221" s="23">
        <v>56.35</v>
      </c>
      <c r="M221" s="42"/>
      <c r="N221" s="23">
        <v>98.40000000000001</v>
      </c>
      <c r="O221" s="23">
        <v>94.7</v>
      </c>
      <c r="P221" s="23">
        <v>94.73999999999999</v>
      </c>
      <c r="Q221" s="42"/>
      <c r="R221" s="23">
        <v>100.5</v>
      </c>
      <c r="S221" s="42"/>
      <c r="T221" s="23">
        <v>98.09</v>
      </c>
      <c r="U221" s="23">
        <v>94.70999999999999</v>
      </c>
      <c r="V221" s="23">
        <v>94.54000000000001</v>
      </c>
      <c r="W221" s="23">
        <v>0</v>
      </c>
      <c r="X221" s="23">
        <v>100.25</v>
      </c>
      <c r="Y221" s="23">
        <v>78.5</v>
      </c>
      <c r="Z221" s="23">
        <v>78.5</v>
      </c>
      <c r="AA221" s="23">
        <f>AA220+1</f>
        <v>1350</v>
      </c>
      <c r="AB221" s="8"/>
    </row>
    <row r="222" ht="16" customHeight="1">
      <c r="A222" s="19">
        <v>45896</v>
      </c>
      <c r="B222" s="23">
        <v>63.08</v>
      </c>
      <c r="C222" s="23">
        <v>59.9</v>
      </c>
      <c r="D222" s="23">
        <v>63.3</v>
      </c>
      <c r="E222" s="23">
        <v>67.5</v>
      </c>
      <c r="F222" s="23">
        <v>58.1</v>
      </c>
      <c r="G222" s="23">
        <v>58.71</v>
      </c>
      <c r="H222" s="23">
        <v>60.08</v>
      </c>
      <c r="I222" s="23">
        <v>58.42</v>
      </c>
      <c r="J222" s="23">
        <v>61.06</v>
      </c>
      <c r="K222" s="23">
        <v>63.4</v>
      </c>
      <c r="L222" s="23">
        <v>56.17</v>
      </c>
      <c r="M222" s="42"/>
      <c r="N222" s="23">
        <v>98.45</v>
      </c>
      <c r="O222" s="23">
        <v>94.45</v>
      </c>
      <c r="P222" s="23">
        <v>94.5</v>
      </c>
      <c r="Q222" s="42"/>
      <c r="R222" s="23">
        <v>101.55</v>
      </c>
      <c r="S222" s="42"/>
      <c r="T222" s="23">
        <v>98.15000000000001</v>
      </c>
      <c r="U222" s="23">
        <v>94.3</v>
      </c>
      <c r="V222" s="23">
        <v>94.31999999999999</v>
      </c>
      <c r="W222" s="23">
        <v>0</v>
      </c>
      <c r="X222" s="23">
        <v>101.25</v>
      </c>
      <c r="Y222" s="23">
        <v>77.5</v>
      </c>
      <c r="Z222" s="23">
        <v>77.01000000000001</v>
      </c>
      <c r="AA222" s="23">
        <f>AA221+1</f>
        <v>1351</v>
      </c>
      <c r="AB222" s="8"/>
    </row>
    <row r="223" ht="16" customHeight="1">
      <c r="A223" s="19">
        <v>45897</v>
      </c>
      <c r="B223" s="23">
        <v>62.71</v>
      </c>
      <c r="C223" s="23">
        <v>60.6</v>
      </c>
      <c r="D223" s="23">
        <v>64.15000000000001</v>
      </c>
      <c r="E223" s="23">
        <v>68.05</v>
      </c>
      <c r="F223" s="23">
        <v>58.8</v>
      </c>
      <c r="G223" s="23">
        <v>58.38</v>
      </c>
      <c r="H223" s="23">
        <v>60.88</v>
      </c>
      <c r="I223" s="23">
        <v>58.77</v>
      </c>
      <c r="J223" s="23">
        <v>62</v>
      </c>
      <c r="K223" s="23">
        <v>64.3</v>
      </c>
      <c r="L223" s="23">
        <v>57.15</v>
      </c>
      <c r="M223" s="42"/>
      <c r="N223" s="23">
        <v>98.56</v>
      </c>
      <c r="O223" s="23">
        <v>95.63</v>
      </c>
      <c r="P223" s="23">
        <v>95.26000000000001</v>
      </c>
      <c r="Q223" s="42"/>
      <c r="R223" s="23">
        <v>101.2</v>
      </c>
      <c r="S223" s="42"/>
      <c r="T223" s="23">
        <v>98.75</v>
      </c>
      <c r="U223" s="23">
        <v>95.3</v>
      </c>
      <c r="V223" s="23">
        <v>95.09999999999999</v>
      </c>
      <c r="W223" s="23">
        <v>0</v>
      </c>
      <c r="X223" s="23">
        <v>101.1</v>
      </c>
      <c r="Y223" s="23">
        <v>77.34999999999999</v>
      </c>
      <c r="Z223" s="23">
        <v>77.3</v>
      </c>
      <c r="AA223" s="23">
        <f>AA222+1</f>
        <v>1352</v>
      </c>
      <c r="AB223" s="8"/>
    </row>
    <row r="224" ht="16" customHeight="1">
      <c r="A224" s="19">
        <v>45898</v>
      </c>
      <c r="B224" s="23">
        <v>62.66</v>
      </c>
      <c r="C224" s="23">
        <v>60.63</v>
      </c>
      <c r="D224" s="23">
        <v>63.79</v>
      </c>
      <c r="E224" s="23">
        <v>67.81</v>
      </c>
      <c r="F224" s="23">
        <v>58.69</v>
      </c>
      <c r="G224" s="23">
        <v>58.75</v>
      </c>
      <c r="H224" s="23">
        <v>60.78</v>
      </c>
      <c r="I224" s="23">
        <v>58.87</v>
      </c>
      <c r="J224" s="23">
        <v>61.79</v>
      </c>
      <c r="K224" s="23">
        <v>64</v>
      </c>
      <c r="L224" s="23">
        <v>56.75</v>
      </c>
      <c r="M224" s="42"/>
      <c r="N224" s="23">
        <v>99.2</v>
      </c>
      <c r="O224" s="23">
        <v>95.90000000000001</v>
      </c>
      <c r="P224" s="23">
        <v>95.65000000000001</v>
      </c>
      <c r="Q224" s="42"/>
      <c r="R224" s="23">
        <v>101.5</v>
      </c>
      <c r="S224" s="42"/>
      <c r="T224" s="23">
        <v>99.05</v>
      </c>
      <c r="U224" s="23">
        <v>95.7</v>
      </c>
      <c r="V224" s="23">
        <v>95.5</v>
      </c>
      <c r="W224" s="23">
        <v>0</v>
      </c>
      <c r="X224" s="23">
        <v>101.25</v>
      </c>
      <c r="Y224" s="23">
        <v>77.33</v>
      </c>
      <c r="Z224" s="23">
        <v>77.25</v>
      </c>
      <c r="AA224" s="23">
        <f>AA223+1</f>
        <v>1353</v>
      </c>
      <c r="AB224" s="8"/>
    </row>
    <row r="225" ht="16" customHeight="1">
      <c r="A225" s="19">
        <v>45901</v>
      </c>
      <c r="B225" s="23">
        <v>63.15</v>
      </c>
      <c r="C225" s="23">
        <v>59.5</v>
      </c>
      <c r="D225" s="23">
        <v>62.4</v>
      </c>
      <c r="E225" s="23">
        <v>66.56</v>
      </c>
      <c r="F225" s="23">
        <v>57.45</v>
      </c>
      <c r="G225" s="23">
        <v>57.96</v>
      </c>
      <c r="H225" s="23">
        <v>60.1</v>
      </c>
      <c r="I225" s="23">
        <v>57.77</v>
      </c>
      <c r="J225" s="23">
        <v>60.14</v>
      </c>
      <c r="K225" s="23">
        <v>62.38</v>
      </c>
      <c r="L225" s="23">
        <v>54.89</v>
      </c>
      <c r="M225" s="42"/>
      <c r="N225" s="23">
        <v>98.97</v>
      </c>
      <c r="O225" s="23">
        <v>95.84999999999999</v>
      </c>
      <c r="P225" s="23">
        <v>95.75</v>
      </c>
      <c r="Q225" s="42"/>
      <c r="R225" s="23">
        <v>100.95</v>
      </c>
      <c r="S225" s="42"/>
      <c r="T225" s="23">
        <v>98.7</v>
      </c>
      <c r="U225" s="23">
        <v>95.75</v>
      </c>
      <c r="V225" s="23">
        <v>95.73999999999999</v>
      </c>
      <c r="W225" s="23">
        <v>0</v>
      </c>
      <c r="X225" s="23">
        <v>100.8</v>
      </c>
      <c r="Y225" s="23">
        <v>77.17</v>
      </c>
      <c r="Z225" s="23">
        <v>77</v>
      </c>
      <c r="AA225" s="23">
        <f>AA224+1</f>
        <v>1354</v>
      </c>
      <c r="AB225" s="8"/>
    </row>
    <row r="226" ht="16" customHeight="1">
      <c r="A226" s="19">
        <v>45902</v>
      </c>
      <c r="B226" s="23">
        <v>63.39</v>
      </c>
      <c r="C226" s="23">
        <v>59.1</v>
      </c>
      <c r="D226" s="23">
        <v>61.95</v>
      </c>
      <c r="E226" s="23">
        <v>66.15000000000001</v>
      </c>
      <c r="F226" s="23">
        <v>56.77</v>
      </c>
      <c r="G226" s="23">
        <v>56.5</v>
      </c>
      <c r="H226" s="23">
        <v>59.7</v>
      </c>
      <c r="I226" s="23">
        <v>57.25</v>
      </c>
      <c r="J226" s="23">
        <v>59.58</v>
      </c>
      <c r="K226" s="23">
        <v>61.29</v>
      </c>
      <c r="L226" s="23">
        <v>54.09</v>
      </c>
      <c r="M226" s="42"/>
      <c r="N226" s="23">
        <v>98.75</v>
      </c>
      <c r="O226" s="23">
        <v>95.79000000000001</v>
      </c>
      <c r="P226" s="23">
        <v>94.7</v>
      </c>
      <c r="Q226" s="42"/>
      <c r="R226" s="23">
        <v>100.8</v>
      </c>
      <c r="S226" s="42"/>
      <c r="T226" s="23">
        <v>98.75</v>
      </c>
      <c r="U226" s="23">
        <v>95.09999999999999</v>
      </c>
      <c r="V226" s="23">
        <v>94.5</v>
      </c>
      <c r="W226" s="23">
        <v>0</v>
      </c>
      <c r="X226" s="23">
        <v>100.65</v>
      </c>
      <c r="Y226" s="23">
        <v>76.62</v>
      </c>
      <c r="Z226" s="23">
        <v>75.97</v>
      </c>
      <c r="AA226" s="23">
        <f>AA225+1</f>
        <v>1355</v>
      </c>
      <c r="AB226" s="8"/>
    </row>
    <row r="227" ht="16" customHeight="1">
      <c r="A227" s="19">
        <v>45903</v>
      </c>
      <c r="B227" s="23">
        <v>62.21</v>
      </c>
      <c r="C227" s="23">
        <v>58.81</v>
      </c>
      <c r="D227" s="23">
        <v>62.18</v>
      </c>
      <c r="E227" s="23">
        <v>66.04000000000001</v>
      </c>
      <c r="F227" s="23">
        <v>57.28</v>
      </c>
      <c r="G227" s="23">
        <v>58.09</v>
      </c>
      <c r="H227" s="23">
        <v>59.3</v>
      </c>
      <c r="I227" s="23">
        <v>57.08</v>
      </c>
      <c r="J227" s="23">
        <v>59.74</v>
      </c>
      <c r="K227" s="23">
        <v>61.4</v>
      </c>
      <c r="L227" s="23">
        <v>55.75</v>
      </c>
      <c r="M227" s="42"/>
      <c r="N227" s="23">
        <v>99.5</v>
      </c>
      <c r="O227" s="23">
        <v>95.01000000000001</v>
      </c>
      <c r="P227" s="23">
        <v>95.05</v>
      </c>
      <c r="Q227" s="42"/>
      <c r="R227" s="23">
        <v>100.75</v>
      </c>
      <c r="S227" s="42"/>
      <c r="T227" s="23">
        <v>99.15000000000001</v>
      </c>
      <c r="U227" s="23">
        <v>95.3</v>
      </c>
      <c r="V227" s="23">
        <v>94.95999999999999</v>
      </c>
      <c r="W227" s="23">
        <v>0</v>
      </c>
      <c r="X227" s="23">
        <v>100.3</v>
      </c>
      <c r="Y227" s="23">
        <v>75.18000000000001</v>
      </c>
      <c r="Z227" s="23">
        <v>75.55</v>
      </c>
      <c r="AA227" s="23">
        <f>AA226+1</f>
        <v>1356</v>
      </c>
      <c r="AB227" s="8"/>
    </row>
    <row r="228" ht="16" customHeight="1">
      <c r="A228" s="19">
        <v>45904</v>
      </c>
      <c r="B228" s="23">
        <v>62.41</v>
      </c>
      <c r="C228" s="23">
        <v>58.88</v>
      </c>
      <c r="D228" s="23">
        <v>62.09</v>
      </c>
      <c r="E228" s="23">
        <v>66.14</v>
      </c>
      <c r="F228" s="23">
        <v>57.7</v>
      </c>
      <c r="G228" s="23">
        <v>57.46</v>
      </c>
      <c r="H228" s="23">
        <v>59.45</v>
      </c>
      <c r="I228" s="23">
        <v>56.71</v>
      </c>
      <c r="J228" s="23">
        <v>59.93</v>
      </c>
      <c r="K228" s="23">
        <v>61.59</v>
      </c>
      <c r="L228" s="23">
        <v>55.7</v>
      </c>
      <c r="M228" s="42"/>
      <c r="N228" s="23">
        <v>99.67</v>
      </c>
      <c r="O228" s="23">
        <v>95.61</v>
      </c>
      <c r="P228" s="23">
        <v>95.25</v>
      </c>
      <c r="Q228" s="42"/>
      <c r="R228" s="23">
        <v>100.5</v>
      </c>
      <c r="S228" s="42"/>
      <c r="T228" s="23">
        <v>99.33</v>
      </c>
      <c r="U228" s="23">
        <v>95.5</v>
      </c>
      <c r="V228" s="23">
        <v>95.20999999999999</v>
      </c>
      <c r="W228" s="23">
        <v>0</v>
      </c>
      <c r="X228" s="23">
        <v>100.4</v>
      </c>
      <c r="Y228" s="23">
        <v>75.28</v>
      </c>
      <c r="Z228" s="23">
        <v>75.2</v>
      </c>
      <c r="AA228" s="23">
        <f>AA227+1</f>
        <v>1357</v>
      </c>
      <c r="AB228" s="8"/>
    </row>
    <row r="229" ht="16" customHeight="1">
      <c r="A229" s="19">
        <v>45905</v>
      </c>
      <c r="B229" s="23">
        <v>62</v>
      </c>
      <c r="C229" s="23">
        <v>58.88</v>
      </c>
      <c r="D229" s="23">
        <v>62.52</v>
      </c>
      <c r="E229" s="23">
        <v>66.05</v>
      </c>
      <c r="F229" s="23">
        <v>58</v>
      </c>
      <c r="G229" s="23">
        <v>57.59</v>
      </c>
      <c r="H229" s="23">
        <v>58.88</v>
      </c>
      <c r="I229" s="23">
        <v>56.3</v>
      </c>
      <c r="J229" s="23">
        <v>59.8</v>
      </c>
      <c r="K229" s="23">
        <v>61.3</v>
      </c>
      <c r="L229" s="23">
        <v>56.38</v>
      </c>
      <c r="M229" s="42"/>
      <c r="N229" s="23">
        <v>99.90000000000001</v>
      </c>
      <c r="O229" s="23">
        <v>95.5</v>
      </c>
      <c r="P229" s="23">
        <v>94.84999999999999</v>
      </c>
      <c r="Q229" s="42"/>
      <c r="R229" s="23">
        <v>100.45</v>
      </c>
      <c r="S229" s="42"/>
      <c r="T229" s="23">
        <v>99.79000000000001</v>
      </c>
      <c r="U229" s="23">
        <v>95.39</v>
      </c>
      <c r="V229" s="23">
        <v>94.89</v>
      </c>
      <c r="W229" s="23">
        <v>0</v>
      </c>
      <c r="X229" s="23">
        <v>100.35</v>
      </c>
      <c r="Y229" s="23">
        <v>75.38</v>
      </c>
      <c r="Z229" s="23">
        <v>74.65000000000001</v>
      </c>
      <c r="AA229" s="23">
        <f>AA228+1</f>
        <v>1358</v>
      </c>
      <c r="AB229" s="8"/>
    </row>
    <row r="230" ht="16" customHeight="1">
      <c r="A230" s="19">
        <v>45908</v>
      </c>
      <c r="B230" s="23">
        <v>58.27</v>
      </c>
      <c r="C230" s="23">
        <v>55.4</v>
      </c>
      <c r="D230" s="23">
        <v>56.07</v>
      </c>
      <c r="E230" s="23">
        <v>60</v>
      </c>
      <c r="F230" s="23">
        <v>52</v>
      </c>
      <c r="G230" s="23">
        <v>53.43</v>
      </c>
      <c r="H230" s="23">
        <v>54.95</v>
      </c>
      <c r="I230" s="23">
        <v>52.47</v>
      </c>
      <c r="J230" s="23">
        <v>53.52</v>
      </c>
      <c r="K230" s="23">
        <v>55.65</v>
      </c>
      <c r="L230" s="23">
        <v>50.35</v>
      </c>
      <c r="M230" s="42"/>
      <c r="N230" s="23">
        <v>98.65000000000001</v>
      </c>
      <c r="O230" s="23">
        <v>93.28</v>
      </c>
      <c r="P230" s="23">
        <v>93.13</v>
      </c>
      <c r="Q230" s="42"/>
      <c r="R230" s="23">
        <v>99.11</v>
      </c>
      <c r="S230" s="42"/>
      <c r="T230" s="23">
        <v>98.62</v>
      </c>
      <c r="U230" s="23">
        <v>93.40000000000001</v>
      </c>
      <c r="V230" s="23">
        <v>92.75</v>
      </c>
      <c r="W230" s="23">
        <v>0</v>
      </c>
      <c r="X230" s="23">
        <v>99.31</v>
      </c>
      <c r="Y230" s="23">
        <v>70.73999999999999</v>
      </c>
      <c r="Z230" s="23">
        <v>70.5</v>
      </c>
      <c r="AA230" s="23">
        <f>AA229+1</f>
        <v>1359</v>
      </c>
      <c r="AB230" s="8"/>
    </row>
    <row r="231" ht="16" customHeight="1">
      <c r="A231" s="19">
        <v>45909</v>
      </c>
      <c r="B231" s="23">
        <v>59.5</v>
      </c>
      <c r="C231" s="23">
        <v>56.7</v>
      </c>
      <c r="D231" s="23">
        <v>57.7</v>
      </c>
      <c r="E231" s="23">
        <v>61.51</v>
      </c>
      <c r="F231" s="23">
        <v>54.11</v>
      </c>
      <c r="G231" s="23">
        <v>53.93</v>
      </c>
      <c r="H231" s="23">
        <v>56.49</v>
      </c>
      <c r="I231" s="23">
        <v>53.93</v>
      </c>
      <c r="J231" s="23">
        <v>55.3</v>
      </c>
      <c r="K231" s="23">
        <v>56.62</v>
      </c>
      <c r="L231" s="23">
        <v>51.63</v>
      </c>
      <c r="M231" s="42"/>
      <c r="N231" s="23">
        <v>98.98999999999999</v>
      </c>
      <c r="O231" s="23">
        <v>93.5</v>
      </c>
      <c r="P231" s="23">
        <v>92.98999999999999</v>
      </c>
      <c r="Q231" s="42"/>
      <c r="R231" s="23">
        <v>100.15</v>
      </c>
      <c r="S231" s="42"/>
      <c r="T231" s="23">
        <v>98.41</v>
      </c>
      <c r="U231" s="23">
        <v>93.48</v>
      </c>
      <c r="V231" s="23">
        <v>92.72</v>
      </c>
      <c r="W231" s="23">
        <v>0</v>
      </c>
      <c r="X231" s="23">
        <v>99.86</v>
      </c>
      <c r="Y231" s="23">
        <v>71.5</v>
      </c>
      <c r="Z231" s="23">
        <v>70.5</v>
      </c>
      <c r="AA231" s="23">
        <f>AA230+1</f>
        <v>1360</v>
      </c>
      <c r="AB231" s="8"/>
    </row>
    <row r="232" ht="16" customHeight="1">
      <c r="A232" s="19">
        <v>45910</v>
      </c>
      <c r="B232" s="23">
        <v>60.27</v>
      </c>
      <c r="C232" s="23">
        <v>57.4</v>
      </c>
      <c r="D232" s="23">
        <v>58.84</v>
      </c>
      <c r="E232" s="23">
        <v>63</v>
      </c>
      <c r="F232" s="23">
        <v>55.25</v>
      </c>
      <c r="G232" s="23">
        <v>54.61</v>
      </c>
      <c r="H232" s="23">
        <v>57.7</v>
      </c>
      <c r="I232" s="23">
        <v>54.74</v>
      </c>
      <c r="J232" s="23">
        <v>56.45</v>
      </c>
      <c r="K232" s="23">
        <v>57.6</v>
      </c>
      <c r="L232" s="23">
        <v>52.92</v>
      </c>
      <c r="M232" s="42"/>
      <c r="N232" s="23">
        <v>98.95</v>
      </c>
      <c r="O232" s="23">
        <v>92.98999999999999</v>
      </c>
      <c r="P232" s="23">
        <v>91.77</v>
      </c>
      <c r="Q232" s="42"/>
      <c r="R232" s="23">
        <v>100</v>
      </c>
      <c r="S232" s="42"/>
      <c r="T232" s="23">
        <v>98.45</v>
      </c>
      <c r="U232" s="23">
        <v>92.73999999999999</v>
      </c>
      <c r="V232" s="23">
        <v>91.3</v>
      </c>
      <c r="W232" s="23">
        <v>0</v>
      </c>
      <c r="X232" s="23">
        <v>99.56</v>
      </c>
      <c r="Y232" s="23">
        <v>70.5</v>
      </c>
      <c r="Z232" s="23">
        <v>70.3</v>
      </c>
      <c r="AA232" s="23">
        <f>AA231+1</f>
        <v>1361</v>
      </c>
      <c r="AB232" s="8"/>
    </row>
    <row r="233" ht="16" customHeight="1">
      <c r="A233" s="19">
        <v>45911</v>
      </c>
      <c r="B233" s="23">
        <v>60</v>
      </c>
      <c r="C233" s="23">
        <v>57.14</v>
      </c>
      <c r="D233" s="23">
        <v>58.03</v>
      </c>
      <c r="E233" s="23">
        <v>61.43</v>
      </c>
      <c r="F233" s="23">
        <v>54.4</v>
      </c>
      <c r="G233" s="23">
        <v>54.15</v>
      </c>
      <c r="H233" s="23">
        <v>56.75</v>
      </c>
      <c r="I233" s="23">
        <v>54.03</v>
      </c>
      <c r="J233" s="23">
        <v>55.78</v>
      </c>
      <c r="K233" s="23">
        <v>56.6</v>
      </c>
      <c r="L233" s="23">
        <v>52.88</v>
      </c>
      <c r="M233" s="42"/>
      <c r="N233" s="23">
        <v>99.55</v>
      </c>
      <c r="O233" s="23">
        <v>92.75</v>
      </c>
      <c r="P233" s="23">
        <v>92</v>
      </c>
      <c r="Q233" s="42"/>
      <c r="R233" s="23">
        <v>100.05</v>
      </c>
      <c r="S233" s="42"/>
      <c r="T233" s="23">
        <v>99.31</v>
      </c>
      <c r="U233" s="23">
        <v>92.98999999999999</v>
      </c>
      <c r="V233" s="23">
        <v>91.75</v>
      </c>
      <c r="W233" s="23">
        <v>0</v>
      </c>
      <c r="X233" s="23">
        <v>99.79000000000001</v>
      </c>
      <c r="Y233" s="23">
        <v>70.40000000000001</v>
      </c>
      <c r="Z233" s="23">
        <v>70.02</v>
      </c>
      <c r="AA233" s="23">
        <f>AA232+1</f>
        <v>1362</v>
      </c>
      <c r="AB233" s="8"/>
    </row>
    <row r="234" ht="16" customHeight="1">
      <c r="A234" s="19">
        <v>45912</v>
      </c>
      <c r="B234" s="23">
        <v>56.41</v>
      </c>
      <c r="C234" s="23">
        <v>55.08</v>
      </c>
      <c r="D234" s="23">
        <v>55.72</v>
      </c>
      <c r="E234" s="23">
        <v>59.01</v>
      </c>
      <c r="F234" s="23">
        <v>52.15</v>
      </c>
      <c r="G234" s="23">
        <v>52.37</v>
      </c>
      <c r="H234" s="23">
        <v>54.02</v>
      </c>
      <c r="I234" s="23">
        <v>52.07</v>
      </c>
      <c r="J234" s="23">
        <v>52.99</v>
      </c>
      <c r="K234" s="23">
        <v>53.57</v>
      </c>
      <c r="L234" s="23">
        <v>50</v>
      </c>
      <c r="M234" s="42"/>
      <c r="N234" s="23">
        <v>98.5</v>
      </c>
      <c r="O234" s="23">
        <v>93</v>
      </c>
      <c r="P234" s="23">
        <v>90.52</v>
      </c>
      <c r="Q234" s="42"/>
      <c r="R234" s="23">
        <v>99.65000000000001</v>
      </c>
      <c r="S234" s="42"/>
      <c r="T234" s="23">
        <v>98.75</v>
      </c>
      <c r="U234" s="23">
        <v>92.43000000000001</v>
      </c>
      <c r="V234" s="23">
        <v>90.45</v>
      </c>
      <c r="W234" s="23">
        <v>0</v>
      </c>
      <c r="X234" s="23">
        <v>99.52</v>
      </c>
      <c r="Y234" s="23">
        <v>69</v>
      </c>
      <c r="Z234" s="23">
        <v>68.5</v>
      </c>
      <c r="AA234" s="23">
        <f>AA233+1</f>
        <v>1363</v>
      </c>
      <c r="AB234" s="8"/>
    </row>
    <row r="235" ht="16" customHeight="1">
      <c r="A235" s="19">
        <v>45915</v>
      </c>
      <c r="B235" s="23">
        <v>56.1</v>
      </c>
      <c r="C235" s="23">
        <v>53.64</v>
      </c>
      <c r="D235" s="23">
        <v>53.04</v>
      </c>
      <c r="E235" s="23">
        <v>57.01</v>
      </c>
      <c r="F235" s="23">
        <v>49.62</v>
      </c>
      <c r="G235" s="23">
        <v>49.378</v>
      </c>
      <c r="H235" s="23">
        <v>52.04</v>
      </c>
      <c r="I235" s="23">
        <v>49.827</v>
      </c>
      <c r="J235" s="23">
        <v>50.56</v>
      </c>
      <c r="K235" s="23">
        <v>49.81</v>
      </c>
      <c r="L235" s="23">
        <v>47.226</v>
      </c>
      <c r="M235" s="42"/>
      <c r="N235" s="23">
        <v>95.59</v>
      </c>
      <c r="O235" s="23">
        <v>87.59999999999999</v>
      </c>
      <c r="P235" s="23">
        <v>86</v>
      </c>
      <c r="Q235" s="42"/>
      <c r="R235" s="23">
        <v>99.55</v>
      </c>
      <c r="S235" s="42"/>
      <c r="T235" s="23">
        <v>95.25</v>
      </c>
      <c r="U235" s="23">
        <v>87.5</v>
      </c>
      <c r="V235" s="23">
        <v>85.69</v>
      </c>
      <c r="W235" s="23">
        <v>0</v>
      </c>
      <c r="X235" s="23">
        <v>99.09999999999999</v>
      </c>
      <c r="Y235" s="23">
        <v>66.73999999999999</v>
      </c>
      <c r="Z235" s="23">
        <v>66.5</v>
      </c>
      <c r="AA235" s="23">
        <f>AA234+1</f>
        <v>1364</v>
      </c>
      <c r="AB235" s="8"/>
    </row>
    <row r="236" ht="16" customHeight="1">
      <c r="A236" s="19">
        <v>45916</v>
      </c>
      <c r="B236" s="23">
        <v>58.31</v>
      </c>
      <c r="C236" s="23">
        <v>54.95</v>
      </c>
      <c r="D236" s="23">
        <v>55.5</v>
      </c>
      <c r="E236" s="23">
        <v>58.7</v>
      </c>
      <c r="F236" s="23">
        <v>52.33</v>
      </c>
      <c r="G236" s="23">
        <v>50.42</v>
      </c>
      <c r="H236" s="23">
        <v>54.8</v>
      </c>
      <c r="I236" s="23">
        <v>51.39</v>
      </c>
      <c r="J236" s="23">
        <v>52.72</v>
      </c>
      <c r="K236" s="23">
        <v>53.28</v>
      </c>
      <c r="L236" s="23">
        <v>49.542</v>
      </c>
      <c r="M236" s="42"/>
      <c r="N236" s="23">
        <v>97.09999999999999</v>
      </c>
      <c r="O236" s="23">
        <v>89.98999999999999</v>
      </c>
      <c r="P236" s="23">
        <v>88.34999999999999</v>
      </c>
      <c r="Q236" s="42"/>
      <c r="R236" s="23">
        <v>99.38</v>
      </c>
      <c r="S236" s="42"/>
      <c r="T236" s="23">
        <v>96.75</v>
      </c>
      <c r="U236" s="23">
        <v>89.37</v>
      </c>
      <c r="V236" s="23">
        <v>87.79000000000001</v>
      </c>
      <c r="W236" s="23">
        <v>0</v>
      </c>
      <c r="X236" s="23">
        <v>99.09999999999999</v>
      </c>
      <c r="Y236" s="23">
        <v>66.59999999999999</v>
      </c>
      <c r="Z236" s="23">
        <v>66.5</v>
      </c>
      <c r="AA236" s="23">
        <f>AA235+1</f>
        <v>1365</v>
      </c>
      <c r="AB236" s="8"/>
    </row>
    <row r="237" ht="16" customHeight="1">
      <c r="A237" s="19">
        <v>45917</v>
      </c>
      <c r="B237" s="23">
        <v>56.05</v>
      </c>
      <c r="C237" s="23">
        <v>52.5</v>
      </c>
      <c r="D237" s="23">
        <v>53.35</v>
      </c>
      <c r="E237" s="23">
        <v>56.25</v>
      </c>
      <c r="F237" s="23">
        <v>50.21</v>
      </c>
      <c r="G237" s="23">
        <v>49.423</v>
      </c>
      <c r="H237" s="23">
        <v>53.37</v>
      </c>
      <c r="I237" s="23">
        <v>49.89</v>
      </c>
      <c r="J237" s="23">
        <v>50.53</v>
      </c>
      <c r="K237" s="23">
        <v>51.95</v>
      </c>
      <c r="L237" s="23">
        <v>47.726</v>
      </c>
      <c r="M237" s="42"/>
      <c r="N237" s="23">
        <v>97</v>
      </c>
      <c r="O237" s="23">
        <v>88.95</v>
      </c>
      <c r="P237" s="23">
        <v>87.59</v>
      </c>
      <c r="Q237" s="42"/>
      <c r="R237" s="23">
        <v>99.03</v>
      </c>
      <c r="S237" s="42"/>
      <c r="T237" s="23">
        <v>96.5</v>
      </c>
      <c r="U237" s="23">
        <v>88.44</v>
      </c>
      <c r="V237" s="23">
        <v>87.7</v>
      </c>
      <c r="W237" s="23">
        <v>0</v>
      </c>
      <c r="X237" s="23">
        <v>98.75</v>
      </c>
      <c r="Y237" s="23">
        <v>66.19</v>
      </c>
      <c r="Z237" s="23">
        <v>65.25</v>
      </c>
      <c r="AA237" s="23">
        <f>AA236+1</f>
        <v>1366</v>
      </c>
      <c r="AB237" s="8"/>
    </row>
    <row r="238" ht="16" customHeight="1">
      <c r="A238" s="19">
        <v>45918</v>
      </c>
      <c r="B238" s="23">
        <v>51.8</v>
      </c>
      <c r="C238" s="23">
        <v>48.07</v>
      </c>
      <c r="D238" s="23">
        <v>48.66</v>
      </c>
      <c r="E238" s="23">
        <v>52.48</v>
      </c>
      <c r="F238" s="23">
        <v>44.751</v>
      </c>
      <c r="G238" s="23">
        <v>45</v>
      </c>
      <c r="H238" s="23">
        <v>47.5</v>
      </c>
      <c r="I238" s="23">
        <v>45.2</v>
      </c>
      <c r="J238" s="23">
        <v>44</v>
      </c>
      <c r="K238" s="23">
        <v>45.1</v>
      </c>
      <c r="L238" s="23">
        <v>42.2</v>
      </c>
      <c r="M238" s="42"/>
      <c r="N238" s="23">
        <v>91.05</v>
      </c>
      <c r="O238" s="23">
        <v>80.8</v>
      </c>
      <c r="P238" s="23">
        <v>79.95</v>
      </c>
      <c r="Q238" s="42"/>
      <c r="R238" s="23">
        <v>95.45</v>
      </c>
      <c r="S238" s="42"/>
      <c r="T238" s="23">
        <v>88</v>
      </c>
      <c r="U238" s="23">
        <v>80.39</v>
      </c>
      <c r="V238" s="23">
        <v>80.25</v>
      </c>
      <c r="W238" s="23">
        <v>0</v>
      </c>
      <c r="X238" s="23">
        <v>92.05</v>
      </c>
      <c r="Y238" s="23">
        <v>59</v>
      </c>
      <c r="Z238" s="23">
        <v>58.52</v>
      </c>
      <c r="AA238" s="23">
        <f>AA237+1</f>
        <v>1367</v>
      </c>
      <c r="AB238" s="8"/>
    </row>
    <row r="239" ht="16" customHeight="1">
      <c r="A239" s="19">
        <v>45919</v>
      </c>
      <c r="B239" s="23">
        <v>50.62</v>
      </c>
      <c r="C239" s="23">
        <v>47.01</v>
      </c>
      <c r="D239" s="23">
        <v>49.3</v>
      </c>
      <c r="E239" s="23">
        <v>52.01</v>
      </c>
      <c r="F239" s="23">
        <v>47.09</v>
      </c>
      <c r="G239" s="23">
        <v>46</v>
      </c>
      <c r="H239" s="23">
        <v>47.298</v>
      </c>
      <c r="I239" s="23">
        <v>44</v>
      </c>
      <c r="J239" s="23">
        <v>45.39</v>
      </c>
      <c r="K239" s="23">
        <v>45</v>
      </c>
      <c r="L239" s="23">
        <v>42.25</v>
      </c>
      <c r="M239" s="42"/>
      <c r="N239" s="23">
        <v>87.5</v>
      </c>
      <c r="O239" s="23">
        <v>78.48999999999999</v>
      </c>
      <c r="P239" s="23">
        <v>78</v>
      </c>
      <c r="Q239" s="42"/>
      <c r="R239" s="23">
        <v>96.73</v>
      </c>
      <c r="S239" s="42"/>
      <c r="T239" s="23">
        <v>86.34</v>
      </c>
      <c r="U239" s="23">
        <v>76.5</v>
      </c>
      <c r="V239" s="23">
        <v>77.01000000000001</v>
      </c>
      <c r="W239" s="23">
        <v>0</v>
      </c>
      <c r="X239" s="23">
        <v>96</v>
      </c>
      <c r="Y239" s="23">
        <v>56.78</v>
      </c>
      <c r="Z239" s="23">
        <v>55.33</v>
      </c>
      <c r="AA239" s="23">
        <f>AA238+1</f>
        <v>1368</v>
      </c>
      <c r="AB239" s="8"/>
    </row>
    <row r="240" ht="16" customHeight="1">
      <c r="A240" s="19">
        <v>45922</v>
      </c>
      <c r="B240" s="23">
        <v>59.16</v>
      </c>
      <c r="C240" s="23">
        <v>55.11</v>
      </c>
      <c r="D240" s="23">
        <v>57.5</v>
      </c>
      <c r="E240" s="23">
        <v>61.5</v>
      </c>
      <c r="F240" s="23">
        <v>54</v>
      </c>
      <c r="G240" s="23">
        <v>53.53</v>
      </c>
      <c r="H240" s="23">
        <v>55.75</v>
      </c>
      <c r="I240" s="23">
        <v>52.47</v>
      </c>
      <c r="J240" s="23">
        <v>54.94</v>
      </c>
      <c r="K240" s="23">
        <v>55.89</v>
      </c>
      <c r="L240" s="23">
        <v>50.73</v>
      </c>
      <c r="M240" s="42"/>
      <c r="N240" s="23">
        <v>97.65000000000001</v>
      </c>
      <c r="O240" s="23">
        <v>90</v>
      </c>
      <c r="P240" s="23">
        <v>90</v>
      </c>
      <c r="Q240" s="42"/>
      <c r="R240" s="23">
        <v>98.95999999999999</v>
      </c>
      <c r="S240" s="42"/>
      <c r="T240" s="23">
        <v>97</v>
      </c>
      <c r="U240" s="23">
        <v>89.8</v>
      </c>
      <c r="V240" s="23">
        <v>89.8</v>
      </c>
      <c r="W240" s="23">
        <v>0</v>
      </c>
      <c r="X240" s="23">
        <v>98.43000000000001</v>
      </c>
      <c r="Y240" s="23">
        <v>66.15000000000001</v>
      </c>
      <c r="Z240" s="23">
        <v>63.5</v>
      </c>
      <c r="AA240" s="23">
        <f>AA239+1</f>
        <v>1369</v>
      </c>
      <c r="AB240" s="8"/>
    </row>
    <row r="241" ht="16" customHeight="1">
      <c r="A241" s="19">
        <v>45923</v>
      </c>
      <c r="B241" s="23">
        <v>61.3</v>
      </c>
      <c r="C241" s="23">
        <v>58.09</v>
      </c>
      <c r="D241" s="23">
        <v>59.52</v>
      </c>
      <c r="E241" s="23">
        <v>63</v>
      </c>
      <c r="F241" s="23">
        <v>55.7</v>
      </c>
      <c r="G241" s="23">
        <v>56</v>
      </c>
      <c r="H241" s="23">
        <v>59.7</v>
      </c>
      <c r="I241" s="23">
        <v>55.8</v>
      </c>
      <c r="J241" s="23">
        <v>57.28</v>
      </c>
      <c r="K241" s="23">
        <v>58.5</v>
      </c>
      <c r="L241" s="23">
        <v>53.75</v>
      </c>
      <c r="M241" s="42"/>
      <c r="N241" s="23">
        <v>97.93000000000001</v>
      </c>
      <c r="O241" s="23">
        <v>89.84999999999999</v>
      </c>
      <c r="P241" s="23">
        <v>88.69</v>
      </c>
      <c r="Q241" s="42"/>
      <c r="R241" s="23">
        <v>99.8</v>
      </c>
      <c r="S241" s="42"/>
      <c r="T241" s="23">
        <v>97.25</v>
      </c>
      <c r="U241" s="23">
        <v>89.83</v>
      </c>
      <c r="V241" s="23">
        <v>88.75</v>
      </c>
      <c r="W241" s="23">
        <v>0</v>
      </c>
      <c r="X241" s="23">
        <v>99.25</v>
      </c>
      <c r="Y241" s="23">
        <v>68.75</v>
      </c>
      <c r="Z241" s="23">
        <v>69</v>
      </c>
      <c r="AA241" s="23">
        <f>AA240+1</f>
        <v>1370</v>
      </c>
      <c r="AB241" s="8"/>
    </row>
    <row r="242" ht="16" customHeight="1">
      <c r="A242" s="19">
        <v>45924</v>
      </c>
      <c r="B242" s="23">
        <v>63.75</v>
      </c>
      <c r="C242" s="23">
        <v>60.41</v>
      </c>
      <c r="D242" s="23">
        <v>63</v>
      </c>
      <c r="E242" s="23">
        <v>67.2</v>
      </c>
      <c r="F242" s="23">
        <v>57.9</v>
      </c>
      <c r="G242" s="23">
        <v>59.7</v>
      </c>
      <c r="H242" s="23">
        <v>62.47</v>
      </c>
      <c r="I242" s="23">
        <v>58.76</v>
      </c>
      <c r="J242" s="23">
        <v>59.95</v>
      </c>
      <c r="K242" s="23">
        <v>61.79</v>
      </c>
      <c r="L242" s="23">
        <v>56.5</v>
      </c>
      <c r="M242" s="42"/>
      <c r="N242" s="23">
        <v>97.40000000000001</v>
      </c>
      <c r="O242" s="23">
        <v>90.62</v>
      </c>
      <c r="P242" s="23">
        <v>89.12</v>
      </c>
      <c r="Q242" s="42"/>
      <c r="R242" s="23">
        <v>99.81999999999999</v>
      </c>
      <c r="S242" s="42"/>
      <c r="T242" s="23">
        <v>96.12</v>
      </c>
      <c r="U242" s="23">
        <v>89.7</v>
      </c>
      <c r="V242" s="23">
        <v>88.53</v>
      </c>
      <c r="W242" s="23">
        <v>0</v>
      </c>
      <c r="X242" s="23">
        <v>98.84999999999999</v>
      </c>
      <c r="Y242" s="23">
        <v>70.03</v>
      </c>
      <c r="Z242" s="23">
        <v>68.59</v>
      </c>
      <c r="AA242" s="23">
        <f>AA241+1</f>
        <v>1371</v>
      </c>
      <c r="AB242" s="8"/>
    </row>
    <row r="243" ht="16" customHeight="1">
      <c r="A243" s="19">
        <v>45925</v>
      </c>
      <c r="B243" s="23">
        <v>61.8</v>
      </c>
      <c r="C243" s="23">
        <v>59.36</v>
      </c>
      <c r="D243" s="23">
        <v>60.62</v>
      </c>
      <c r="E243" s="23">
        <v>63.85</v>
      </c>
      <c r="F243" s="23">
        <v>56.1</v>
      </c>
      <c r="G243" s="23">
        <v>56.71</v>
      </c>
      <c r="H243" s="23">
        <v>60.25</v>
      </c>
      <c r="I243" s="23">
        <v>56.77</v>
      </c>
      <c r="J243" s="23">
        <v>57.8</v>
      </c>
      <c r="K243" s="23">
        <v>58.98</v>
      </c>
      <c r="L243" s="23">
        <v>54.79</v>
      </c>
      <c r="M243" s="42"/>
      <c r="N243" s="23">
        <v>98.81999999999999</v>
      </c>
      <c r="O243" s="23">
        <v>90.65000000000001</v>
      </c>
      <c r="P243" s="23">
        <v>88.8</v>
      </c>
      <c r="Q243" s="42"/>
      <c r="R243" s="23">
        <v>101.05</v>
      </c>
      <c r="S243" s="42"/>
      <c r="T243" s="23">
        <v>97.17</v>
      </c>
      <c r="U243" s="23">
        <v>89.25</v>
      </c>
      <c r="V243" s="23">
        <v>88.52</v>
      </c>
      <c r="W243" s="23">
        <v>0</v>
      </c>
      <c r="X243" s="23">
        <v>99</v>
      </c>
      <c r="Y243" s="23">
        <v>67.51000000000001</v>
      </c>
      <c r="Z243" s="23">
        <v>66.5</v>
      </c>
      <c r="AA243" s="23">
        <f>AA242+1</f>
        <v>1372</v>
      </c>
      <c r="AB243" s="8"/>
    </row>
    <row r="244" ht="16" customHeight="1">
      <c r="A244" s="19">
        <v>45926</v>
      </c>
      <c r="B244" s="23">
        <v>60.64</v>
      </c>
      <c r="C244" s="23">
        <v>57.01</v>
      </c>
      <c r="D244" s="23">
        <v>58.99</v>
      </c>
      <c r="E244" s="23">
        <v>62</v>
      </c>
      <c r="F244" s="23">
        <v>53.21</v>
      </c>
      <c r="G244" s="23">
        <v>52.5</v>
      </c>
      <c r="H244" s="23">
        <v>57.95</v>
      </c>
      <c r="I244" s="23">
        <v>54.7</v>
      </c>
      <c r="J244" s="23">
        <v>54.7</v>
      </c>
      <c r="K244" s="23">
        <v>57.1</v>
      </c>
      <c r="L244" s="23">
        <v>51.91</v>
      </c>
      <c r="M244" s="42"/>
      <c r="N244" s="23">
        <v>98.62</v>
      </c>
      <c r="O244" s="23">
        <v>91.5</v>
      </c>
      <c r="P244" s="23">
        <v>89.98999999999999</v>
      </c>
      <c r="Q244" s="42"/>
      <c r="R244" s="23">
        <v>101.9</v>
      </c>
      <c r="S244" s="42"/>
      <c r="T244" s="23">
        <v>97.19</v>
      </c>
      <c r="U244" s="23">
        <v>89.01000000000001</v>
      </c>
      <c r="V244" s="23">
        <v>86.86</v>
      </c>
      <c r="W244" s="23">
        <v>0</v>
      </c>
      <c r="X244" s="23">
        <v>99.3</v>
      </c>
      <c r="Y244" s="23">
        <v>67.04000000000001</v>
      </c>
      <c r="Z244" s="23">
        <v>65.67</v>
      </c>
      <c r="AA244" s="23">
        <f>AA243+1</f>
        <v>1373</v>
      </c>
      <c r="AB244" s="8"/>
    </row>
    <row r="245" ht="16" customHeight="1">
      <c r="A245" s="19">
        <v>45929</v>
      </c>
      <c r="B245" s="23">
        <v>60.4</v>
      </c>
      <c r="C245" s="23">
        <v>56.63</v>
      </c>
      <c r="D245" s="23">
        <v>56.89</v>
      </c>
      <c r="E245" s="23">
        <v>61.01</v>
      </c>
      <c r="F245" s="23">
        <v>52.4</v>
      </c>
      <c r="G245" s="23">
        <v>52.02</v>
      </c>
      <c r="H245" s="23">
        <v>56.47</v>
      </c>
      <c r="I245" s="23">
        <v>53</v>
      </c>
      <c r="J245" s="23">
        <v>53.92</v>
      </c>
      <c r="K245" s="23">
        <v>55.4</v>
      </c>
      <c r="L245" s="23">
        <v>50.2</v>
      </c>
      <c r="M245" s="42"/>
      <c r="N245" s="23">
        <v>96.31</v>
      </c>
      <c r="O245" s="23">
        <v>91.7</v>
      </c>
      <c r="P245" s="23">
        <v>90.40000000000001</v>
      </c>
      <c r="Q245" s="42"/>
      <c r="R245" s="23">
        <v>101.9</v>
      </c>
      <c r="S245" s="42"/>
      <c r="T245" s="23">
        <v>94.5</v>
      </c>
      <c r="U245" s="23">
        <v>89.25</v>
      </c>
      <c r="V245" s="23">
        <v>88</v>
      </c>
      <c r="W245" s="23">
        <v>0</v>
      </c>
      <c r="X245" s="23">
        <v>99.48</v>
      </c>
      <c r="Y245" s="23">
        <v>67.04000000000001</v>
      </c>
      <c r="Z245" s="23">
        <v>65.67</v>
      </c>
      <c r="AA245" s="23">
        <f>AA244+1</f>
        <v>1374</v>
      </c>
      <c r="AB245" s="8"/>
    </row>
    <row r="246" ht="16" customHeight="1">
      <c r="A246" s="19">
        <v>45930</v>
      </c>
      <c r="B246" s="23">
        <v>58.9</v>
      </c>
      <c r="C246" s="23">
        <v>54.9</v>
      </c>
      <c r="D246" s="23">
        <v>54</v>
      </c>
      <c r="E246" s="23">
        <v>58.1</v>
      </c>
      <c r="F246" s="23">
        <v>49.452</v>
      </c>
      <c r="G246" s="23">
        <v>53.4</v>
      </c>
      <c r="H246" s="23">
        <v>53.05</v>
      </c>
      <c r="I246" s="23">
        <v>50.2</v>
      </c>
      <c r="J246" s="23">
        <v>50.19</v>
      </c>
      <c r="K246" s="23">
        <v>51.75</v>
      </c>
      <c r="L246" s="23">
        <v>47.782</v>
      </c>
      <c r="M246" s="42"/>
      <c r="N246" s="23">
        <v>94.95</v>
      </c>
      <c r="O246" s="23">
        <v>88.79000000000001</v>
      </c>
      <c r="P246" s="23">
        <v>88</v>
      </c>
      <c r="Q246" s="42"/>
      <c r="R246" s="23">
        <v>101.55</v>
      </c>
      <c r="S246" s="42"/>
      <c r="T246" s="23">
        <v>92.25</v>
      </c>
      <c r="U246" s="23">
        <v>86.16</v>
      </c>
      <c r="V246" s="23">
        <v>85.79000000000001</v>
      </c>
      <c r="W246" s="23">
        <v>0</v>
      </c>
      <c r="X246" s="23">
        <v>99.05</v>
      </c>
      <c r="Y246" s="23">
        <v>67.04000000000001</v>
      </c>
      <c r="Z246" s="23">
        <v>65.67</v>
      </c>
      <c r="AA246" s="23">
        <f>AA245+1</f>
        <v>1375</v>
      </c>
      <c r="AB246" s="8"/>
    </row>
    <row r="247" ht="16" customHeight="1">
      <c r="A247" s="19">
        <v>45931</v>
      </c>
      <c r="B247" s="23">
        <v>58.01</v>
      </c>
      <c r="C247" s="23">
        <v>54.6</v>
      </c>
      <c r="D247" s="23">
        <v>53.14</v>
      </c>
      <c r="E247" s="23">
        <v>58.16</v>
      </c>
      <c r="F247" s="23">
        <v>50.39</v>
      </c>
      <c r="G247" s="23">
        <v>52.2</v>
      </c>
      <c r="H247" s="23">
        <v>53.2</v>
      </c>
      <c r="I247" s="23">
        <v>50</v>
      </c>
      <c r="J247" s="23">
        <v>50</v>
      </c>
      <c r="K247" s="23">
        <v>50.4</v>
      </c>
      <c r="L247" s="23">
        <v>47.4</v>
      </c>
      <c r="M247" s="42"/>
      <c r="N247" s="23">
        <v>97.55</v>
      </c>
      <c r="O247" s="23">
        <v>90</v>
      </c>
      <c r="P247" s="23">
        <v>88.5</v>
      </c>
      <c r="Q247" s="42"/>
      <c r="R247" s="23">
        <v>101.95</v>
      </c>
      <c r="S247" s="42"/>
      <c r="T247" s="23">
        <v>94</v>
      </c>
      <c r="U247" s="23">
        <v>87.65000000000001</v>
      </c>
      <c r="V247" s="23">
        <v>85.23999999999999</v>
      </c>
      <c r="W247" s="23">
        <v>0</v>
      </c>
      <c r="X247" s="23">
        <v>99.06</v>
      </c>
      <c r="Y247" s="23">
        <v>67.04000000000001</v>
      </c>
      <c r="Z247" s="23">
        <v>65.67</v>
      </c>
      <c r="AA247" s="23">
        <f>AA246+1</f>
        <v>1376</v>
      </c>
      <c r="AB247" s="8"/>
    </row>
    <row r="248" ht="16" customHeight="1">
      <c r="A248" s="19">
        <v>45932</v>
      </c>
      <c r="B248" s="23">
        <v>61</v>
      </c>
      <c r="C248" s="23">
        <v>56.85</v>
      </c>
      <c r="D248" s="23">
        <v>56.56</v>
      </c>
      <c r="E248" s="23">
        <v>58.76</v>
      </c>
      <c r="F248" s="23">
        <v>52.9</v>
      </c>
      <c r="G248" s="23">
        <v>53.6</v>
      </c>
      <c r="H248" s="23">
        <v>56</v>
      </c>
      <c r="I248" s="23">
        <v>53</v>
      </c>
      <c r="J248" s="23">
        <v>52.4</v>
      </c>
      <c r="K248" s="23">
        <v>53.48</v>
      </c>
      <c r="L248" s="23">
        <v>49.873</v>
      </c>
      <c r="M248" s="42"/>
      <c r="N248" s="23">
        <v>97.83</v>
      </c>
      <c r="O248" s="23">
        <v>91.38</v>
      </c>
      <c r="P248" s="23">
        <v>88.59999999999999</v>
      </c>
      <c r="Q248" s="42"/>
      <c r="R248" s="23">
        <v>102.05</v>
      </c>
      <c r="S248" s="42"/>
      <c r="T248" s="23">
        <v>93.73999999999999</v>
      </c>
      <c r="U248" s="23">
        <v>88.77</v>
      </c>
      <c r="V248" s="23">
        <v>86.52</v>
      </c>
      <c r="W248" s="23">
        <v>0</v>
      </c>
      <c r="X248" s="23">
        <v>99.05</v>
      </c>
      <c r="Y248" s="23">
        <v>67.04000000000001</v>
      </c>
      <c r="Z248" s="23">
        <v>65.67</v>
      </c>
      <c r="AA248" s="23">
        <f>AA247+1</f>
        <v>1377</v>
      </c>
      <c r="AB248" s="8"/>
    </row>
    <row r="249" ht="16" customHeight="1">
      <c r="A249" s="19">
        <v>45933</v>
      </c>
      <c r="B249" s="23">
        <v>60.5</v>
      </c>
      <c r="C249" s="23">
        <v>58.08</v>
      </c>
      <c r="D249" s="23">
        <v>57.62</v>
      </c>
      <c r="E249" s="23">
        <v>62.3</v>
      </c>
      <c r="F249" s="23">
        <v>54.6</v>
      </c>
      <c r="G249" s="23">
        <v>55</v>
      </c>
      <c r="H249" s="23">
        <v>58</v>
      </c>
      <c r="I249" s="23">
        <v>54.84</v>
      </c>
      <c r="J249" s="23">
        <v>54.32</v>
      </c>
      <c r="K249" s="23">
        <v>55.98</v>
      </c>
      <c r="L249" s="23">
        <v>52.4</v>
      </c>
      <c r="M249" s="42"/>
      <c r="N249" s="23">
        <v>97.59999999999999</v>
      </c>
      <c r="O249" s="23">
        <v>91.5</v>
      </c>
      <c r="P249" s="23">
        <v>89.92</v>
      </c>
      <c r="Q249" s="42"/>
      <c r="R249" s="23">
        <v>101.9</v>
      </c>
      <c r="S249" s="42"/>
      <c r="T249" s="23">
        <v>94.98999999999999</v>
      </c>
      <c r="U249" s="23">
        <v>90.17</v>
      </c>
      <c r="V249" s="23">
        <v>87.83</v>
      </c>
      <c r="W249" s="23">
        <v>0</v>
      </c>
      <c r="X249" s="23">
        <v>99.94</v>
      </c>
      <c r="Y249" s="23">
        <v>67.04000000000001</v>
      </c>
      <c r="Z249" s="23">
        <v>65.67</v>
      </c>
      <c r="AA249" s="23">
        <f>AA248+1</f>
        <v>1378</v>
      </c>
      <c r="AB249" s="8"/>
    </row>
    <row r="250" ht="16" customHeight="1">
      <c r="A250" s="19">
        <v>46098</v>
      </c>
      <c r="B250" s="23">
        <v>60.5</v>
      </c>
      <c r="C250" s="23">
        <v>58.08</v>
      </c>
      <c r="D250" s="23">
        <v>57.62</v>
      </c>
      <c r="E250" s="23">
        <v>62.3</v>
      </c>
      <c r="F250" s="23">
        <v>54.6</v>
      </c>
      <c r="G250" s="23">
        <v>55</v>
      </c>
      <c r="H250" s="23">
        <v>58</v>
      </c>
      <c r="I250" s="23">
        <v>54.84</v>
      </c>
      <c r="J250" s="23">
        <v>54.32</v>
      </c>
      <c r="K250" s="23">
        <v>55.98</v>
      </c>
      <c r="L250" s="23">
        <v>45</v>
      </c>
      <c r="M250" s="42"/>
      <c r="N250" s="23">
        <v>97.59999999999999</v>
      </c>
      <c r="O250" s="23">
        <v>91.5</v>
      </c>
      <c r="P250" s="23">
        <v>89.92</v>
      </c>
      <c r="Q250" s="42"/>
      <c r="R250" s="23">
        <v>101.9</v>
      </c>
      <c r="S250" s="42"/>
      <c r="T250" s="23">
        <v>94.98999999999999</v>
      </c>
      <c r="U250" s="23">
        <v>90.17</v>
      </c>
      <c r="V250" s="23">
        <v>87.83</v>
      </c>
      <c r="W250" s="23">
        <v>0</v>
      </c>
      <c r="X250" s="23">
        <v>99.94</v>
      </c>
      <c r="Y250" s="23">
        <v>67.04000000000001</v>
      </c>
      <c r="Z250" s="23">
        <v>65.67</v>
      </c>
      <c r="AA250" s="23">
        <f>AA249+1</f>
        <v>1379</v>
      </c>
      <c r="AB250" s="8"/>
    </row>
    <row r="251" ht="16" customHeight="1">
      <c r="A251" s="19">
        <v>46099</v>
      </c>
      <c r="B251" s="23">
        <v>60.5</v>
      </c>
      <c r="C251" s="23">
        <v>58.08</v>
      </c>
      <c r="D251" s="23">
        <v>57.62</v>
      </c>
      <c r="E251" s="23">
        <v>62.3</v>
      </c>
      <c r="F251" s="23">
        <v>54.6</v>
      </c>
      <c r="G251" s="23">
        <v>55</v>
      </c>
      <c r="H251" s="23">
        <v>58</v>
      </c>
      <c r="I251" s="23">
        <v>54.84</v>
      </c>
      <c r="J251" s="23">
        <v>54.32</v>
      </c>
      <c r="K251" s="23">
        <v>55.98</v>
      </c>
      <c r="L251" s="23">
        <v>45</v>
      </c>
      <c r="M251" s="42"/>
      <c r="N251" s="23">
        <v>97.59999999999999</v>
      </c>
      <c r="O251" s="23">
        <v>91.5</v>
      </c>
      <c r="P251" s="23">
        <v>89.92</v>
      </c>
      <c r="Q251" s="42"/>
      <c r="R251" s="23">
        <v>101.9</v>
      </c>
      <c r="S251" s="42"/>
      <c r="T251" s="23">
        <v>94.98999999999999</v>
      </c>
      <c r="U251" s="23">
        <v>90.17</v>
      </c>
      <c r="V251" s="23">
        <v>87.83</v>
      </c>
      <c r="W251" s="23">
        <v>0</v>
      </c>
      <c r="X251" s="23">
        <v>99.94</v>
      </c>
      <c r="Y251" s="23">
        <v>67.04000000000001</v>
      </c>
      <c r="Z251" s="23">
        <v>65.67</v>
      </c>
      <c r="AA251" s="23">
        <f>AA250+1</f>
        <v>1380</v>
      </c>
      <c r="AB251" s="8"/>
    </row>
    <row r="252" ht="16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6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6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6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6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6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6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6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6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6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6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6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6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6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6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6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6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6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6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6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6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6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6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6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6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6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6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6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6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6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6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6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6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6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6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6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6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6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6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6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6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6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6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6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6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6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6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6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6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6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6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6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6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6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6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6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6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6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6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6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6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6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6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6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6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6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6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6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6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6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6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6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6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6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6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6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6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6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6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6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6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6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6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6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6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6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6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6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6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6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6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6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6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6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6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6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6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6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6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6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6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6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6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6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6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6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6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6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6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6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6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6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6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6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6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6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6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6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6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6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6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6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6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6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6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6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6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6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6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6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6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6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6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6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6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6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6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6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6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6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6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6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6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6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6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6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6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6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6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6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6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6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6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6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6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6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6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6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6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6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6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6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6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6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6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6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6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6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6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6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6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6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6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6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6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6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6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6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6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6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6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6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6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6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6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6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6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6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6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6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6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6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6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6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6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6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6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6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6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6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6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6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6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6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6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6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6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6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6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6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6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6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6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6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6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6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6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6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6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6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6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6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6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6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6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6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6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6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6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6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6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6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6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6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6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6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6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6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6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6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6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6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6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6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6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6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6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6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6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6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6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6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6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6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6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6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6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6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6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6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6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6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6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6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6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6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6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6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6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6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6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6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6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6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6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6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6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6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6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6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6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6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6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6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6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6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6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6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6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6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6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6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6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6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6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6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6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6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6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6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6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6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6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6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6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6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6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6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6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6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6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6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6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6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6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6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6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6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6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6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6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6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6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6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6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6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6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6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6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6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6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6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6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6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6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6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6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6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6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6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6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6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6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6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6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6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6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6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6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6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