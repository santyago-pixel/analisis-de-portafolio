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xr:revisionPtr revIDLastSave="0" documentId="8_{FCCE5A1D-A88D-48EE-9531-124EB904C60B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2" i="1"/>
  <c r="M3" i="1" s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3" i="1"/>
  <c r="G29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8" i="1"/>
  <c r="G7" i="1"/>
  <c r="G5" i="1"/>
  <c r="G27" i="1"/>
  <c r="G6" i="1"/>
  <c r="G16" i="1"/>
  <c r="G15" i="1"/>
  <c r="G22" i="1"/>
  <c r="G26" i="1"/>
  <c r="G25" i="1"/>
  <c r="G23" i="1"/>
  <c r="G17" i="1"/>
  <c r="G14" i="1"/>
  <c r="G21" i="1"/>
  <c r="G4" i="1"/>
  <c r="G3" i="1"/>
  <c r="H3" i="1" l="1"/>
  <c r="I3" i="1"/>
  <c r="H4" i="1"/>
  <c r="I4" i="1"/>
  <c r="AA16" i="2"/>
  <c r="AA17" i="2" s="1"/>
  <c r="M4" i="1" l="1"/>
  <c r="M5" i="1" s="1"/>
  <c r="M6" i="1" s="1"/>
  <c r="M7" i="1" s="1"/>
  <c r="M8" i="1" s="1"/>
  <c r="M9" i="1" s="1"/>
  <c r="M10" i="1" s="1"/>
  <c r="H7" i="1"/>
  <c r="I7" i="1"/>
  <c r="H8" i="1"/>
  <c r="I8" i="1"/>
  <c r="I5" i="1"/>
  <c r="H5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9" i="1" l="1"/>
  <c r="I9" i="1"/>
  <c r="H10" i="1"/>
  <c r="I10" i="1"/>
  <c r="H12" i="1"/>
  <c r="I12" i="1"/>
  <c r="H13" i="1"/>
  <c r="I13" i="1"/>
  <c r="AA70" i="2"/>
  <c r="AA71" i="2" s="1"/>
  <c r="H14" i="1" l="1"/>
  <c r="I14" i="1"/>
  <c r="H15" i="1"/>
  <c r="I15" i="1"/>
  <c r="H16" i="1"/>
  <c r="I16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7" i="1" l="1"/>
  <c r="I17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8" i="1" l="1"/>
  <c r="I18" i="1"/>
  <c r="H20" i="1"/>
  <c r="I20" i="1"/>
  <c r="H21" i="1"/>
  <c r="I21" i="1"/>
  <c r="H22" i="1"/>
  <c r="I22" i="1"/>
  <c r="AA189" i="2"/>
  <c r="H23" i="1" l="1"/>
  <c r="I23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5" i="1" l="1"/>
  <c r="I25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6" i="1" l="1"/>
  <c r="I26" i="1"/>
  <c r="AA233" i="2"/>
  <c r="AA234" i="2" s="1"/>
  <c r="H27" i="1" l="1"/>
  <c r="I27" i="1"/>
  <c r="H29" i="1"/>
  <c r="I29" i="1"/>
  <c r="H30" i="1"/>
  <c r="I30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6" i="1" l="1"/>
  <c r="I6" i="1"/>
  <c r="AA250" i="2"/>
  <c r="AA251" i="2" s="1"/>
</calcChain>
</file>

<file path=xl/sharedStrings.xml><?xml version="1.0" encoding="utf-8"?>
<sst xmlns="http://schemas.openxmlformats.org/spreadsheetml/2006/main" count="128" uniqueCount="49">
  <si>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</si>
  <si>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</si>
  <si>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</si>
  <si>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</si>
  <si>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</si>
  <si>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</si>
  <si>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</si>
  <si>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</si>
  <si>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</si>
  <si>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</si>
  <si>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</si>
  <si>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</si>
  <si>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Compra </t>
  </si>
  <si>
    <t>Lecaps</t>
  </si>
  <si>
    <t>AL29</t>
  </si>
  <si>
    <t>Retiro/Ingreso</t>
  </si>
  <si>
    <t>Venta</t>
  </si>
  <si>
    <t>CER</t>
  </si>
  <si>
    <t>AL30</t>
  </si>
  <si>
    <t>Compra</t>
  </si>
  <si>
    <t>Soberano USD</t>
  </si>
  <si>
    <t>Dividendos</t>
  </si>
  <si>
    <t>AL35</t>
  </si>
  <si>
    <t>AL41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</si>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</sst>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6" formatCode="[$-C0A]d\-mmm\-yy;@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  <xf numFmtId="0" fontId="0" fillId="2" borderId="0" xfId="0" applyFill="1"/>
    <xf numFmtId="2" fontId="0" fillId="2" borderId="0" xfId="0" applyNumberFormat="1" applyFill="1"/>
    <xf numFmtId="0" fontId="0" fillId="2" borderId="1" xfId="0" applyFill="1" applyBorder="1"/>
    <xf numFmtId="0" fontId="0" fillId="0" borderId="1" xfId="0" applyBorder="1"/>
    <xf numFmtId="2" fontId="0" fillId="0" borderId="1" xfId="0" applyNumberFormat="1" applyBorder="1" applyAlignment="1">
      <alignment wrapText="1"/>
    </xf>
    <xf numFmtId="0" fontId="0" fillId="2" borderId="2" xfId="0" applyFill="1" applyBorder="1"/>
    <xf numFmtId="1" fontId="0" fillId="0" borderId="2" xfId="0" applyNumberFormat="1" applyBorder="1"/>
    <xf numFmtId="1" fontId="0" fillId="0" borderId="2" xfId="0" applyNumberFormat="1" applyBorder="1" applyAlignment="1">
      <alignment wrapText="1"/>
    </xf>
    <xf numFmtId="0" fontId="0" fillId="0" borderId="2" xfId="0" applyBorder="1"/>
    <xf numFmtId="166" fontId="0" fillId="2" borderId="2" xfId="0" applyNumberFormat="1" applyFill="1" applyBorder="1"/>
    <xf numFmtId="166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tabSelected="1" workbookViewId="0">
      <selection activeCell="M10" sqref="M10:M30"/>
    </sheetView>
  </sheetViews>
  <sheetFormatPr defaultRowHeight="15"/>
  <cols>
    <col min="1" max="1" width="14.140625" style="23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9" width="14.140625" customWidth="1"/>
    <col min="10" max="10" width="6.42578125" style="16" customWidth="1"/>
    <col min="11" max="12" width="14.140625" customWidth="1"/>
    <col min="13" max="13" width="14.140625" style="21" customWidth="1"/>
    <col min="15" max="15" width="10.85546875" bestFit="1" customWidth="1"/>
    <col min="16" max="16" width="13.7109375" customWidth="1"/>
    <col min="17" max="17" width="13.28515625" customWidth="1"/>
    <col min="18" max="18" width="12.85546875" bestFit="1" customWidth="1"/>
    <col min="19" max="19" width="14.5703125" bestFit="1" customWidth="1"/>
    <col min="22" max="22" width="13.28515625" customWidth="1"/>
    <col min="23" max="23" width="12.85546875" customWidth="1"/>
  </cols>
  <sheetData>
    <row r="1" spans="1:22">
      <c r="A1" s="2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4" t="s">
        <v>6</v>
      </c>
      <c r="H1" s="14" t="s">
        <v>7</v>
      </c>
      <c r="I1" s="13" t="s">
        <v>8</v>
      </c>
      <c r="J1" s="15"/>
      <c r="K1" s="13" t="s">
        <v>9</v>
      </c>
      <c r="L1" s="13" t="s">
        <v>10</v>
      </c>
      <c r="M1" s="18" t="s">
        <v>11</v>
      </c>
      <c r="R1" t="s">
        <v>12</v>
      </c>
      <c r="T1" t="s">
        <v>13</v>
      </c>
      <c r="V1" t="s">
        <v>14</v>
      </c>
    </row>
    <row r="2" spans="1:22" ht="18" customHeight="1">
      <c r="A2" s="23">
        <v>45580</v>
      </c>
      <c r="B2" t="s">
        <v>15</v>
      </c>
      <c r="K2">
        <v>70000</v>
      </c>
      <c r="M2" s="19">
        <f>K2-L2</f>
        <v>70000</v>
      </c>
      <c r="N2" s="9"/>
      <c r="O2" s="1"/>
      <c r="P2" s="9"/>
      <c r="R2" t="s">
        <v>16</v>
      </c>
      <c r="T2" t="s">
        <v>17</v>
      </c>
      <c r="V2" t="s">
        <v>18</v>
      </c>
    </row>
    <row r="3" spans="1:22">
      <c r="A3" s="23">
        <v>45581</v>
      </c>
      <c r="B3" t="s">
        <v>19</v>
      </c>
      <c r="C3" t="s">
        <v>20</v>
      </c>
      <c r="D3" t="s">
        <v>18</v>
      </c>
      <c r="E3">
        <v>1000</v>
      </c>
      <c r="F3">
        <v>63.26</v>
      </c>
      <c r="G3" s="9">
        <f>+F3*E3</f>
        <v>63260</v>
      </c>
      <c r="H3" s="8">
        <f>F3*VLOOKUP(A3,Precios!$A$3:$AA$601,27)</f>
        <v>72369.440000000002</v>
      </c>
      <c r="I3" s="8">
        <f>G3*VLOOKUP(A3,Precios!$A$3:$AA$601,27)</f>
        <v>72369440</v>
      </c>
      <c r="J3" s="17"/>
      <c r="K3" s="8"/>
      <c r="L3" s="8"/>
      <c r="M3" s="20">
        <f>M2+K3-L3</f>
        <v>70000</v>
      </c>
      <c r="N3" s="9"/>
      <c r="O3" s="1"/>
      <c r="P3" s="9"/>
      <c r="R3" t="s">
        <v>21</v>
      </c>
      <c r="T3" t="s">
        <v>20</v>
      </c>
      <c r="V3" t="s">
        <v>22</v>
      </c>
    </row>
    <row r="4" spans="1:22">
      <c r="A4" s="23">
        <v>45581</v>
      </c>
      <c r="B4" t="s">
        <v>19</v>
      </c>
      <c r="C4" t="s">
        <v>20</v>
      </c>
      <c r="D4" t="s">
        <v>23</v>
      </c>
      <c r="E4">
        <v>900</v>
      </c>
      <c r="F4">
        <v>52.7</v>
      </c>
      <c r="G4" s="9">
        <f>+F4*E4</f>
        <v>47430</v>
      </c>
      <c r="H4" s="8">
        <f>F4*VLOOKUP(A4,Precios!$A$3:$AA$601,27)</f>
        <v>60288.800000000003</v>
      </c>
      <c r="I4" s="8">
        <f>G4*VLOOKUP(A4,Precios!$A$3:$AA$601,27)</f>
        <v>54259920</v>
      </c>
      <c r="J4" s="17"/>
      <c r="K4" s="8"/>
      <c r="L4" s="8"/>
      <c r="M4" s="20">
        <f>M3+K4-L4</f>
        <v>70000</v>
      </c>
      <c r="R4" t="s">
        <v>24</v>
      </c>
    </row>
    <row r="5" spans="1:22">
      <c r="A5" s="23">
        <v>45585</v>
      </c>
      <c r="B5" t="s">
        <v>16</v>
      </c>
      <c r="C5" t="s">
        <v>20</v>
      </c>
      <c r="D5" t="s">
        <v>23</v>
      </c>
      <c r="E5">
        <v>400</v>
      </c>
      <c r="F5">
        <v>52.7</v>
      </c>
      <c r="G5" s="9">
        <f>+F5*E5</f>
        <v>21080</v>
      </c>
      <c r="H5" s="8">
        <f>F5*VLOOKUP(A5,Precios!$A$3:$AA$601,27)</f>
        <v>60394.200000000004</v>
      </c>
      <c r="I5" s="8">
        <f>G5*VLOOKUP(A5,Precios!$A$3:$AA$601,27)</f>
        <v>24157680</v>
      </c>
      <c r="J5" s="17"/>
      <c r="K5" s="8"/>
      <c r="L5" s="8"/>
      <c r="M5" s="20">
        <f t="shared" ref="M5:M30" si="0">M4+K5-L5</f>
        <v>70000</v>
      </c>
      <c r="O5" s="1"/>
      <c r="R5" t="s">
        <v>15</v>
      </c>
    </row>
    <row r="6" spans="1:22">
      <c r="A6" s="23">
        <v>45582</v>
      </c>
      <c r="B6" t="s">
        <v>19</v>
      </c>
      <c r="C6" t="s">
        <v>20</v>
      </c>
      <c r="D6" t="s">
        <v>25</v>
      </c>
      <c r="E6">
        <v>200</v>
      </c>
      <c r="F6">
        <v>50</v>
      </c>
      <c r="G6" s="9">
        <f>+F6*E6</f>
        <v>10000</v>
      </c>
      <c r="H6" s="8">
        <f>F6*VLOOKUP(A6,Precios!$A$3:$AA$601,27)</f>
        <v>57250</v>
      </c>
      <c r="I6" s="8">
        <f>G6*VLOOKUP(A6,Precios!$A$3:$AA$601,27)</f>
        <v>11450000</v>
      </c>
      <c r="J6" s="17"/>
      <c r="K6" s="8"/>
      <c r="L6" s="8"/>
      <c r="M6" s="20">
        <f t="shared" si="0"/>
        <v>70000</v>
      </c>
      <c r="O6" s="1"/>
      <c r="P6" s="9"/>
    </row>
    <row r="7" spans="1:22">
      <c r="A7" s="23">
        <v>45583</v>
      </c>
      <c r="B7" t="s">
        <v>19</v>
      </c>
      <c r="C7" t="s">
        <v>20</v>
      </c>
      <c r="D7" t="s">
        <v>23</v>
      </c>
      <c r="E7">
        <v>100</v>
      </c>
      <c r="F7">
        <v>52.7</v>
      </c>
      <c r="G7" s="9">
        <f>+F7*E7</f>
        <v>5270</v>
      </c>
      <c r="H7" s="8">
        <f>F7*VLOOKUP(A7,Precios!$A$3:$AA$601,27)</f>
        <v>60394.200000000004</v>
      </c>
      <c r="I7" s="8">
        <f>G7*VLOOKUP(A7,Precios!$A$3:$AA$601,27)</f>
        <v>6039420</v>
      </c>
      <c r="J7" s="17"/>
      <c r="K7" s="8"/>
      <c r="L7" s="8"/>
      <c r="M7" s="20">
        <f t="shared" si="0"/>
        <v>70000</v>
      </c>
    </row>
    <row r="8" spans="1:22">
      <c r="A8" s="23">
        <v>45584</v>
      </c>
      <c r="B8" t="s">
        <v>16</v>
      </c>
      <c r="C8" t="s">
        <v>20</v>
      </c>
      <c r="D8" t="s">
        <v>23</v>
      </c>
      <c r="E8">
        <v>600</v>
      </c>
      <c r="F8">
        <v>52.7</v>
      </c>
      <c r="G8" s="9">
        <f>+F8*E8</f>
        <v>31620</v>
      </c>
      <c r="H8" s="8">
        <f>F8*VLOOKUP(A8,Precios!$A$3:$AA$601,27)</f>
        <v>60394.200000000004</v>
      </c>
      <c r="I8" s="8">
        <f>G8*VLOOKUP(A8,Precios!$A$3:$AA$601,27)</f>
        <v>36236520</v>
      </c>
      <c r="J8" s="17"/>
      <c r="K8" s="8"/>
      <c r="L8" s="8"/>
      <c r="M8" s="20">
        <f t="shared" si="0"/>
        <v>70000</v>
      </c>
    </row>
    <row r="9" spans="1:22">
      <c r="A9" s="23">
        <v>45665</v>
      </c>
      <c r="B9" t="s">
        <v>24</v>
      </c>
      <c r="C9" t="s">
        <v>20</v>
      </c>
      <c r="D9" t="s">
        <v>18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  <c r="J9" s="17"/>
      <c r="K9" s="8"/>
      <c r="L9" s="8"/>
      <c r="M9" s="20">
        <f t="shared" si="0"/>
        <v>70000</v>
      </c>
    </row>
    <row r="10" spans="1:22">
      <c r="A10" s="23">
        <v>45665</v>
      </c>
      <c r="B10" t="s">
        <v>24</v>
      </c>
      <c r="C10" t="s">
        <v>20</v>
      </c>
      <c r="D10" t="s">
        <v>25</v>
      </c>
      <c r="G10" s="9">
        <v>8000</v>
      </c>
      <c r="H10" s="8">
        <f>F10*VLOOKUP(A10,Precios!$A$3:$AA$601,27)</f>
        <v>0</v>
      </c>
      <c r="I10" s="8">
        <f>G10*VLOOKUP(A10,Precios!$A$3:$AA$601,27)</f>
        <v>9584000</v>
      </c>
      <c r="J10" s="17"/>
      <c r="K10" s="8"/>
      <c r="L10" s="8"/>
      <c r="M10" s="20">
        <f t="shared" si="0"/>
        <v>70000</v>
      </c>
    </row>
    <row r="11" spans="1:22">
      <c r="A11" s="23">
        <v>45665</v>
      </c>
      <c r="B11" t="s">
        <v>15</v>
      </c>
      <c r="H11" s="8"/>
      <c r="I11" s="8"/>
      <c r="J11" s="17"/>
      <c r="K11" s="8"/>
      <c r="L11" s="8">
        <v>16000</v>
      </c>
      <c r="M11" s="20">
        <f t="shared" si="0"/>
        <v>54000</v>
      </c>
    </row>
    <row r="12" spans="1:22">
      <c r="A12" s="23">
        <v>45665</v>
      </c>
      <c r="B12" t="s">
        <v>26</v>
      </c>
      <c r="C12" t="s">
        <v>20</v>
      </c>
      <c r="D12" t="s">
        <v>18</v>
      </c>
      <c r="G12" s="9">
        <v>375</v>
      </c>
      <c r="H12" s="8">
        <f>F12*VLOOKUP(A12,Precios!$A$3:$AA$601,27)</f>
        <v>0</v>
      </c>
      <c r="I12" s="8">
        <f>G12*VLOOKUP(A12,Precios!$A$3:$AA$601,27)</f>
        <v>449250</v>
      </c>
      <c r="J12" s="17"/>
      <c r="K12" s="8"/>
      <c r="L12" s="8"/>
      <c r="M12" s="20">
        <f t="shared" si="0"/>
        <v>54000</v>
      </c>
      <c r="O12" s="1"/>
    </row>
    <row r="13" spans="1:22">
      <c r="A13" s="23">
        <v>45665</v>
      </c>
      <c r="B13" t="s">
        <v>19</v>
      </c>
      <c r="C13" t="s">
        <v>20</v>
      </c>
      <c r="D13" t="s">
        <v>23</v>
      </c>
      <c r="E13">
        <v>300</v>
      </c>
      <c r="F13">
        <v>54</v>
      </c>
      <c r="G13" s="9">
        <f>E13*F13</f>
        <v>16200</v>
      </c>
      <c r="H13" s="8">
        <f>F13*VLOOKUP(A13,Precios!$A$3:$AA$601,27)</f>
        <v>64692</v>
      </c>
      <c r="I13" s="8">
        <f>G13*VLOOKUP(A13,Precios!$A$3:$AA$601,27)</f>
        <v>19407600</v>
      </c>
      <c r="J13" s="17"/>
      <c r="K13" s="8"/>
      <c r="L13" s="8"/>
      <c r="M13" s="20">
        <f t="shared" si="0"/>
        <v>54000</v>
      </c>
    </row>
    <row r="14" spans="1:22">
      <c r="A14" s="23">
        <v>45667</v>
      </c>
      <c r="B14" t="s">
        <v>16</v>
      </c>
      <c r="C14" t="s">
        <v>20</v>
      </c>
      <c r="D14" t="s">
        <v>18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  <c r="J14" s="17"/>
      <c r="K14" s="8"/>
      <c r="L14" s="8"/>
      <c r="M14" s="20">
        <f t="shared" si="0"/>
        <v>54000</v>
      </c>
    </row>
    <row r="15" spans="1:22">
      <c r="A15" s="23">
        <v>45669</v>
      </c>
      <c r="B15" t="s">
        <v>19</v>
      </c>
      <c r="C15" t="s">
        <v>20</v>
      </c>
      <c r="D15" t="s">
        <v>14</v>
      </c>
      <c r="E15">
        <v>1000</v>
      </c>
      <c r="F15">
        <v>68.5</v>
      </c>
      <c r="G15" s="9">
        <f>+F15*E15</f>
        <v>68500</v>
      </c>
      <c r="H15" s="8">
        <f>F15*VLOOKUP(A15,Precios!$A$3:$AA$601,27)</f>
        <v>82200</v>
      </c>
      <c r="I15" s="8">
        <f>G15*VLOOKUP(A15,Precios!$A$3:$AA$601,27)</f>
        <v>82200000</v>
      </c>
      <c r="J15" s="17"/>
      <c r="K15" s="8"/>
      <c r="L15" s="8"/>
      <c r="M15" s="20">
        <f t="shared" si="0"/>
        <v>54000</v>
      </c>
    </row>
    <row r="16" spans="1:22">
      <c r="A16" s="23">
        <v>45669</v>
      </c>
      <c r="B16" t="s">
        <v>16</v>
      </c>
      <c r="C16" t="s">
        <v>20</v>
      </c>
      <c r="D16" t="s">
        <v>14</v>
      </c>
      <c r="E16">
        <v>1000</v>
      </c>
      <c r="F16">
        <v>68.5</v>
      </c>
      <c r="G16" s="9">
        <f>+F16*E16</f>
        <v>68500</v>
      </c>
      <c r="H16" s="8">
        <f>F16*VLOOKUP(A16,Precios!$A$3:$AA$601,27)</f>
        <v>82200</v>
      </c>
      <c r="I16" s="8">
        <f>G16*VLOOKUP(A16,Precios!$A$3:$AA$601,27)</f>
        <v>82200000</v>
      </c>
      <c r="J16" s="17"/>
      <c r="K16" s="8"/>
      <c r="L16" s="8"/>
      <c r="M16" s="20">
        <f t="shared" si="0"/>
        <v>54000</v>
      </c>
    </row>
    <row r="17" spans="1:23">
      <c r="A17" s="23">
        <v>45698</v>
      </c>
      <c r="B17" t="s">
        <v>19</v>
      </c>
      <c r="C17" t="s">
        <v>20</v>
      </c>
      <c r="D17" t="s">
        <v>18</v>
      </c>
      <c r="E17">
        <v>200</v>
      </c>
      <c r="F17">
        <v>64.7</v>
      </c>
      <c r="G17" s="9">
        <f>+F17*E17</f>
        <v>12940</v>
      </c>
      <c r="H17" s="8">
        <f>F17*VLOOKUP(A17,Precios!$A$3:$AA$601,27)</f>
        <v>78998.7</v>
      </c>
      <c r="I17" s="8">
        <f>G17*VLOOKUP(A17,Precios!$A$3:$AA$601,27)</f>
        <v>15799740</v>
      </c>
      <c r="J17" s="17"/>
      <c r="K17" s="8"/>
      <c r="L17" s="8"/>
      <c r="M17" s="20">
        <f t="shared" si="0"/>
        <v>54000</v>
      </c>
    </row>
    <row r="18" spans="1:23">
      <c r="A18" s="23">
        <v>45846</v>
      </c>
      <c r="B18" t="s">
        <v>24</v>
      </c>
      <c r="C18" t="s">
        <v>20</v>
      </c>
      <c r="D18" t="s">
        <v>18</v>
      </c>
      <c r="G18" s="9">
        <v>1600</v>
      </c>
      <c r="H18" s="8">
        <f>F18*VLOOKUP(A18,Precios!$A$3:$AA$601,27)</f>
        <v>0</v>
      </c>
      <c r="I18" s="8">
        <f>G18*VLOOKUP(A18,Precios!$A$3:$AA$601,27)</f>
        <v>2107200</v>
      </c>
      <c r="J18" s="17"/>
      <c r="K18" s="8"/>
      <c r="L18" s="8"/>
      <c r="M18" s="20">
        <f t="shared" si="0"/>
        <v>54000</v>
      </c>
      <c r="N18" s="3"/>
    </row>
    <row r="19" spans="1:23">
      <c r="A19" s="23">
        <v>45846</v>
      </c>
      <c r="B19" t="s">
        <v>15</v>
      </c>
      <c r="H19" s="8"/>
      <c r="I19" s="8"/>
      <c r="J19" s="17"/>
      <c r="K19" s="8"/>
      <c r="L19" s="8">
        <v>1600</v>
      </c>
      <c r="M19" s="20">
        <f t="shared" si="0"/>
        <v>52400</v>
      </c>
      <c r="N19" s="3"/>
    </row>
    <row r="20" spans="1:23">
      <c r="A20" s="23">
        <v>45846</v>
      </c>
      <c r="B20" t="s">
        <v>26</v>
      </c>
      <c r="C20" t="s">
        <v>20</v>
      </c>
      <c r="D20" t="s">
        <v>18</v>
      </c>
      <c r="G20" s="9">
        <v>75</v>
      </c>
      <c r="H20" s="8">
        <f>F20*VLOOKUP(A20,Precios!$A$3:$AA$601,27)</f>
        <v>0</v>
      </c>
      <c r="I20" s="8">
        <f>G20*VLOOKUP(A20,Precios!$A$3:$AA$601,27)</f>
        <v>98775</v>
      </c>
      <c r="J20" s="17"/>
      <c r="K20" s="8"/>
      <c r="L20" s="8"/>
      <c r="M20" s="20">
        <f t="shared" si="0"/>
        <v>52400</v>
      </c>
    </row>
    <row r="21" spans="1:23">
      <c r="A21" s="23">
        <v>45846</v>
      </c>
      <c r="B21" t="s">
        <v>26</v>
      </c>
      <c r="C21" t="s">
        <v>20</v>
      </c>
      <c r="D21" t="s">
        <v>23</v>
      </c>
      <c r="G21" s="9">
        <f>1575/2</f>
        <v>787.5</v>
      </c>
      <c r="H21" s="8">
        <f>F21*VLOOKUP(A21,Precios!$A$3:$AA$601,27)</f>
        <v>0</v>
      </c>
      <c r="I21" s="8">
        <f>G21*VLOOKUP(A21,Precios!$A$3:$AA$601,27)</f>
        <v>1037137.5</v>
      </c>
      <c r="J21" s="17"/>
      <c r="K21" s="8"/>
      <c r="L21" s="8"/>
      <c r="M21" s="20">
        <f t="shared" si="0"/>
        <v>52400</v>
      </c>
    </row>
    <row r="22" spans="1:23">
      <c r="A22" s="23">
        <v>45847</v>
      </c>
      <c r="B22" t="s">
        <v>19</v>
      </c>
      <c r="C22" t="s">
        <v>20</v>
      </c>
      <c r="D22" t="s">
        <v>23</v>
      </c>
      <c r="E22">
        <v>300</v>
      </c>
      <c r="F22">
        <v>59</v>
      </c>
      <c r="G22" s="9">
        <f>+F22*E22</f>
        <v>17700</v>
      </c>
      <c r="H22" s="8">
        <f>F22*VLOOKUP(A22,Precios!$A$3:$AA$601,27)</f>
        <v>77703</v>
      </c>
      <c r="I22" s="8">
        <f>G22*VLOOKUP(A22,Precios!$A$3:$AA$601,27)</f>
        <v>23310900</v>
      </c>
      <c r="J22" s="17"/>
      <c r="K22" s="8"/>
      <c r="L22" s="8"/>
      <c r="M22" s="20">
        <f t="shared" si="0"/>
        <v>52400</v>
      </c>
    </row>
    <row r="23" spans="1:23">
      <c r="A23" s="23">
        <v>45848</v>
      </c>
      <c r="B23" t="s">
        <v>19</v>
      </c>
      <c r="C23" t="s">
        <v>20</v>
      </c>
      <c r="D23" t="s">
        <v>18</v>
      </c>
      <c r="E23">
        <v>600</v>
      </c>
      <c r="F23">
        <v>60.7</v>
      </c>
      <c r="G23" s="9">
        <f>+F23*E23</f>
        <v>36420</v>
      </c>
      <c r="H23" s="8">
        <f>F23*VLOOKUP(A23,Precios!$A$3:$AA$601,27)</f>
        <v>80002.600000000006</v>
      </c>
      <c r="I23" s="8">
        <f>G23*VLOOKUP(A23,Precios!$A$3:$AA$601,27)</f>
        <v>48001560</v>
      </c>
      <c r="J23" s="17"/>
      <c r="K23" s="8"/>
      <c r="L23" s="8"/>
      <c r="M23" s="20">
        <f t="shared" si="0"/>
        <v>52400</v>
      </c>
    </row>
    <row r="24" spans="1:23">
      <c r="A24" s="23">
        <v>45863</v>
      </c>
      <c r="B24" t="s">
        <v>15</v>
      </c>
      <c r="H24" s="8"/>
      <c r="I24" s="8"/>
      <c r="J24" s="17"/>
      <c r="K24" s="8"/>
      <c r="L24" s="8">
        <v>10000</v>
      </c>
      <c r="M24" s="20">
        <f t="shared" si="0"/>
        <v>42400</v>
      </c>
    </row>
    <row r="25" spans="1:23">
      <c r="A25" s="23">
        <v>45879</v>
      </c>
      <c r="B25" t="s">
        <v>16</v>
      </c>
      <c r="C25" t="s">
        <v>20</v>
      </c>
      <c r="D25" t="s">
        <v>18</v>
      </c>
      <c r="E25">
        <v>800</v>
      </c>
      <c r="F25">
        <v>58</v>
      </c>
      <c r="G25" s="9">
        <f>+F25*E25</f>
        <v>46400</v>
      </c>
      <c r="H25" s="8">
        <f>F25*VLOOKUP(A25,Precios!$A$3:$AA$601,27)</f>
        <v>77662</v>
      </c>
      <c r="I25" s="8">
        <f>G25*VLOOKUP(A25,Precios!$A$3:$AA$601,27)</f>
        <v>62129600</v>
      </c>
      <c r="J25" s="17"/>
      <c r="K25" s="8"/>
      <c r="L25" s="8"/>
      <c r="M25" s="20">
        <f t="shared" si="0"/>
        <v>42400</v>
      </c>
      <c r="W25" s="4"/>
    </row>
    <row r="26" spans="1:23">
      <c r="A26" s="23">
        <v>45910</v>
      </c>
      <c r="B26" t="s">
        <v>19</v>
      </c>
      <c r="C26" t="s">
        <v>20</v>
      </c>
      <c r="D26" t="s">
        <v>22</v>
      </c>
      <c r="E26">
        <v>400</v>
      </c>
      <c r="F26">
        <v>55</v>
      </c>
      <c r="G26" s="9">
        <f>+F26*E26</f>
        <v>22000</v>
      </c>
      <c r="H26" s="8">
        <f>F26*VLOOKUP(A26,Precios!$A$3:$AA$601,27)</f>
        <v>74855</v>
      </c>
      <c r="I26" s="8">
        <f>G26*VLOOKUP(A26,Precios!$A$3:$AA$601,27)</f>
        <v>29942000</v>
      </c>
      <c r="J26" s="17"/>
      <c r="K26" s="8"/>
      <c r="L26" s="8"/>
      <c r="M26" s="20">
        <f t="shared" si="0"/>
        <v>42400</v>
      </c>
    </row>
    <row r="27" spans="1:23">
      <c r="A27" s="23">
        <v>45912</v>
      </c>
      <c r="B27" t="s">
        <v>16</v>
      </c>
      <c r="C27" t="s">
        <v>20</v>
      </c>
      <c r="D27" t="s">
        <v>22</v>
      </c>
      <c r="E27">
        <v>200</v>
      </c>
      <c r="F27">
        <v>54</v>
      </c>
      <c r="G27" s="9">
        <f>+F27*E27</f>
        <v>10800</v>
      </c>
      <c r="H27" s="8">
        <f>F27*VLOOKUP(A27,Precios!$A$3:$AA$601,27)</f>
        <v>73602</v>
      </c>
      <c r="I27" s="8">
        <f>G27*VLOOKUP(A27,Precios!$A$3:$AA$601,27)</f>
        <v>14720400</v>
      </c>
      <c r="J27" s="17"/>
      <c r="K27" s="8"/>
      <c r="L27" s="8"/>
      <c r="M27" s="20">
        <f t="shared" si="0"/>
        <v>42400</v>
      </c>
    </row>
    <row r="28" spans="1:23">
      <c r="A28" s="23">
        <v>45912</v>
      </c>
      <c r="B28" t="s">
        <v>15</v>
      </c>
      <c r="H28" s="8"/>
      <c r="I28" s="8"/>
      <c r="J28" s="17"/>
      <c r="K28" s="8"/>
      <c r="L28" s="8">
        <v>5000</v>
      </c>
      <c r="M28" s="20">
        <f t="shared" si="0"/>
        <v>37400</v>
      </c>
    </row>
    <row r="29" spans="1:23">
      <c r="A29" s="23">
        <v>45913</v>
      </c>
      <c r="B29" t="s">
        <v>19</v>
      </c>
      <c r="C29" t="s">
        <v>20</v>
      </c>
      <c r="D29" t="s">
        <v>23</v>
      </c>
      <c r="E29">
        <v>300</v>
      </c>
      <c r="F29">
        <v>50</v>
      </c>
      <c r="G29" s="9">
        <f>+F29*E29</f>
        <v>15000</v>
      </c>
      <c r="H29" s="8">
        <f>F29*VLOOKUP(A29,Precios!$A$3:$AA$601,27)</f>
        <v>68150</v>
      </c>
      <c r="I29" s="8">
        <f>G29*VLOOKUP(A29,Precios!$A$3:$AA$601,27)</f>
        <v>20445000</v>
      </c>
      <c r="J29" s="17"/>
      <c r="K29" s="8"/>
      <c r="L29" s="8"/>
      <c r="M29" s="20">
        <f t="shared" si="0"/>
        <v>37400</v>
      </c>
    </row>
    <row r="30" spans="1:23">
      <c r="A30" s="23">
        <v>45914</v>
      </c>
      <c r="B30" t="s">
        <v>24</v>
      </c>
      <c r="C30" t="s">
        <v>20</v>
      </c>
      <c r="D30" t="s">
        <v>23</v>
      </c>
      <c r="G30" s="9">
        <v>5000</v>
      </c>
      <c r="H30" s="8">
        <f>F30*VLOOKUP(A30,Precios!$A$3:$AA$601,27)</f>
        <v>0</v>
      </c>
      <c r="I30" s="8">
        <f>G30*VLOOKUP(A30,Precios!$A$3:$AA$601,27)</f>
        <v>6815000</v>
      </c>
      <c r="J30" s="17"/>
      <c r="K30" s="8"/>
      <c r="L30" s="8"/>
      <c r="M30" s="20">
        <f t="shared" si="0"/>
        <v>37400</v>
      </c>
    </row>
  </sheetData>
  <autoFilter ref="A1:G30" xr:uid="{00000000-0001-0000-0000-000000000000}"/>
  <sortState xmlns:xlrd2="http://schemas.microsoft.com/office/spreadsheetml/2017/richdata2" ref="A3:G20">
    <sortCondition ref="A3:A20"/>
  </sortState>
  <dataValidations count="6">
    <dataValidation type="list" allowBlank="1" showInputMessage="1" showErrorMessage="1" sqref="B1" xr:uid="{9837364A-ACA4-4040-937F-F0F8B099CD79}">
      <formula1>$R$1:$R$6</formula1>
    </dataValidation>
    <dataValidation type="list" allowBlank="1" showInputMessage="1" showErrorMessage="1" sqref="C1" xr:uid="{5ACDAC43-0A2C-44ED-89F3-6CC7CBBC5473}">
      <formula1>$S$1:$S$13</formula1>
    </dataValidation>
    <dataValidation type="list" allowBlank="1" showInputMessage="1" showErrorMessage="1" sqref="R4 B39:B41" xr:uid="{D82FC90E-F4C1-4FEE-90A7-1E7B4FF2C652}">
      <formula1>$Q$1:$Q$26</formula1>
    </dataValidation>
    <dataValidation type="list" allowBlank="1" showInputMessage="1" showErrorMessage="1" sqref="D1" xr:uid="{072F3766-733D-4D00-B107-5AF1B31BCE79}">
      <formula1>$U$1:$U$39</formula1>
    </dataValidation>
    <dataValidation type="list" allowBlank="1" showInputMessage="1" showErrorMessage="1" sqref="D3:D46" xr:uid="{ED8D13E1-2439-4B9C-AEC1-F990B45E5811}">
      <formula1>$U$1:$U$61</formula1>
    </dataValidation>
    <dataValidation type="list" allowBlank="1" showInputMessage="1" showErrorMessage="1" sqref="B3:B38" xr:uid="{544774B8-F57D-4F2D-BFF1-76E0A325DDFD}">
      <formula1>$R$1:$R$16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27</v>
      </c>
      <c r="C1" t="s">
        <v>28</v>
      </c>
      <c r="D1" t="s">
        <v>25</v>
      </c>
      <c r="E1" t="s">
        <v>29</v>
      </c>
      <c r="F1" t="s">
        <v>30</v>
      </c>
      <c r="G1" t="s">
        <v>31</v>
      </c>
      <c r="H1" t="s">
        <v>14</v>
      </c>
      <c r="I1" t="s">
        <v>18</v>
      </c>
      <c r="J1" t="s">
        <v>22</v>
      </c>
      <c r="K1" t="s">
        <v>32</v>
      </c>
      <c r="L1" t="s">
        <v>23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</row>
    <row r="2" spans="1:28">
      <c r="A2" s="10" t="s">
        <v>48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2026-04-08T19:05:02Z</dcterms:modified>
  <cp:category/>
  <cp:contentStatus/>
</cp:coreProperties>
</file>