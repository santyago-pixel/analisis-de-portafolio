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4A25E5DC-CA66-4E22-9F34-E1391A2023C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" i="2" l="1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1" i="1"/>
  <c r="G24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7" i="1"/>
  <c r="G6" i="1"/>
  <c r="G4" i="1"/>
  <c r="G23" i="1"/>
  <c r="G5" i="1"/>
  <c r="G14" i="1"/>
  <c r="G13" i="1"/>
  <c r="G19" i="1"/>
  <c r="G22" i="1"/>
  <c r="G21" i="1"/>
  <c r="G20" i="1"/>
  <c r="G15" i="1"/>
  <c r="G12" i="1"/>
  <c r="G18" i="1"/>
  <c r="G3" i="1"/>
  <c r="G2" i="1"/>
  <c r="H2" i="1" l="1"/>
  <c r="I2" i="1"/>
  <c r="H3" i="1"/>
  <c r="I3" i="1"/>
  <c r="AA16" i="2"/>
  <c r="AA17" i="2" s="1"/>
  <c r="H6" i="1" l="1"/>
  <c r="I6" i="1"/>
  <c r="H7" i="1"/>
  <c r="I7" i="1"/>
  <c r="I4" i="1"/>
  <c r="H4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8" i="1" l="1"/>
  <c r="I8" i="1"/>
  <c r="H9" i="1"/>
  <c r="I9" i="1"/>
  <c r="H10" i="1"/>
  <c r="I10" i="1"/>
  <c r="H11" i="1"/>
  <c r="I11" i="1"/>
  <c r="AA70" i="2"/>
  <c r="AA71" i="2" s="1"/>
  <c r="H12" i="1" l="1"/>
  <c r="I12" i="1"/>
  <c r="H13" i="1"/>
  <c r="I13" i="1"/>
  <c r="H14" i="1"/>
  <c r="I14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5" i="1" l="1"/>
  <c r="I15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6" i="1" l="1"/>
  <c r="I16" i="1"/>
  <c r="H17" i="1"/>
  <c r="I17" i="1"/>
  <c r="H18" i="1"/>
  <c r="I18" i="1"/>
  <c r="H19" i="1"/>
  <c r="I19" i="1"/>
  <c r="AA189" i="2"/>
  <c r="H20" i="1" l="1"/>
  <c r="I20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1" i="1" l="1"/>
  <c r="I21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2" i="1" l="1"/>
  <c r="I22" i="1"/>
  <c r="AA233" i="2"/>
  <c r="AA234" i="2" s="1"/>
  <c r="H23" i="1" l="1"/>
  <c r="I23" i="1"/>
  <c r="H24" i="1"/>
  <c r="I24" i="1"/>
  <c r="H25" i="1"/>
  <c r="I25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5" i="1" l="1"/>
  <c r="I5" i="1"/>
  <c r="AA250" i="2"/>
  <c r="AA251" i="2" s="1"/>
</calcChain>
</file>

<file path=xl/sharedStrings.xml><?xml version="1.0" encoding="utf-8"?>
<sst xmlns="http://schemas.openxmlformats.org/spreadsheetml/2006/main" count="119" uniqueCount="45">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</sst>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7"/>
  <sheetViews>
    <sheetView tabSelected="1" workbookViewId="0">
      <selection activeCell="C1" sqref="C1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M1" t="s">
        <v>9</v>
      </c>
      <c r="O1" t="s">
        <v>10</v>
      </c>
      <c r="Q1" t="s">
        <v>11</v>
      </c>
    </row>
    <row r="2" spans="1:17" ht="18" customHeight="1">
      <c r="A2" s="1">
        <v>45581</v>
      </c>
      <c r="B2" t="s">
        <v>12</v>
      </c>
      <c r="C2" t="s">
        <v>13</v>
      </c>
      <c r="D2" t="s">
        <v>14</v>
      </c>
      <c r="E2">
        <v>1000</v>
      </c>
      <c r="F2">
        <v>63.26</v>
      </c>
      <c r="G2" s="9">
        <f>+F2*E2</f>
        <v>63260</v>
      </c>
      <c r="H2" s="8">
        <f>F2*VLOOKUP(A2,Precios!$A$3:$AA$601,27)</f>
        <v>72369.440000000002</v>
      </c>
      <c r="I2" s="8">
        <f>G2*VLOOKUP(A2,Precios!$A$3:$AA$601,27)</f>
        <v>72369440</v>
      </c>
      <c r="M2" t="s">
        <v>15</v>
      </c>
      <c r="O2" t="s">
        <v>16</v>
      </c>
      <c r="Q2" t="s">
        <v>14</v>
      </c>
    </row>
    <row r="3" spans="1:17">
      <c r="A3" s="1">
        <v>45581</v>
      </c>
      <c r="B3" t="s">
        <v>12</v>
      </c>
      <c r="C3" t="s">
        <v>13</v>
      </c>
      <c r="D3" t="s">
        <v>17</v>
      </c>
      <c r="E3">
        <v>900</v>
      </c>
      <c r="F3">
        <v>52.7</v>
      </c>
      <c r="G3" s="9">
        <f>+F3*E3</f>
        <v>47430</v>
      </c>
      <c r="H3" s="8">
        <f>F3*VLOOKUP(A3,Precios!$A$3:$AA$601,27)</f>
        <v>60288.800000000003</v>
      </c>
      <c r="I3" s="8">
        <f>G3*VLOOKUP(A3,Precios!$A$3:$AA$601,27)</f>
        <v>54259920</v>
      </c>
      <c r="M3" t="s">
        <v>18</v>
      </c>
      <c r="O3" t="s">
        <v>13</v>
      </c>
      <c r="Q3" t="s">
        <v>19</v>
      </c>
    </row>
    <row r="4" spans="1:17">
      <c r="A4" s="1">
        <v>45585</v>
      </c>
      <c r="B4" t="s">
        <v>15</v>
      </c>
      <c r="C4" t="s">
        <v>13</v>
      </c>
      <c r="D4" t="s">
        <v>17</v>
      </c>
      <c r="E4">
        <v>400</v>
      </c>
      <c r="F4">
        <v>52.7</v>
      </c>
      <c r="G4" s="9">
        <f>+F4*E4</f>
        <v>21080</v>
      </c>
      <c r="H4" s="8">
        <f>F4*VLOOKUP(A4,Precios!$A$3:$AA$601,27)</f>
        <v>60394.200000000004</v>
      </c>
      <c r="I4" s="8">
        <f>G4*VLOOKUP(A4,Precios!$A$3:$AA$601,27)</f>
        <v>24157680</v>
      </c>
      <c r="M4" t="s">
        <v>20</v>
      </c>
    </row>
    <row r="5" spans="1:17">
      <c r="A5" s="1">
        <v>45613</v>
      </c>
      <c r="B5" t="s">
        <v>9</v>
      </c>
      <c r="C5" t="s">
        <v>13</v>
      </c>
      <c r="D5" t="s">
        <v>21</v>
      </c>
      <c r="E5">
        <v>100</v>
      </c>
      <c r="F5">
        <v>50</v>
      </c>
      <c r="G5" s="9">
        <f>+F5*E5</f>
        <v>5000</v>
      </c>
      <c r="H5" s="8">
        <f>F5*VLOOKUP(A5,Precios!$A$3:$AA$601,27)</f>
        <v>58250</v>
      </c>
      <c r="I5" s="8">
        <f>G5*VLOOKUP(A5,Precios!$A$3:$AA$601,27)</f>
        <v>5825000</v>
      </c>
    </row>
    <row r="6" spans="1:17">
      <c r="A6" s="1">
        <v>45583</v>
      </c>
      <c r="B6" t="s">
        <v>12</v>
      </c>
      <c r="C6" t="s">
        <v>13</v>
      </c>
      <c r="D6" t="s">
        <v>17</v>
      </c>
      <c r="E6">
        <v>100</v>
      </c>
      <c r="F6">
        <v>52.7</v>
      </c>
      <c r="G6" s="9">
        <f>+F6*E6</f>
        <v>5270</v>
      </c>
      <c r="H6" s="8">
        <f>F6*VLOOKUP(A6,Precios!$A$3:$AA$601,27)</f>
        <v>60394.200000000004</v>
      </c>
      <c r="I6" s="8">
        <f>G6*VLOOKUP(A6,Precios!$A$3:$AA$601,27)</f>
        <v>6039420</v>
      </c>
    </row>
    <row r="7" spans="1:17">
      <c r="A7" s="1">
        <v>45584</v>
      </c>
      <c r="B7" t="s">
        <v>15</v>
      </c>
      <c r="C7" t="s">
        <v>13</v>
      </c>
      <c r="D7" t="s">
        <v>17</v>
      </c>
      <c r="E7">
        <v>600</v>
      </c>
      <c r="F7">
        <v>52.7</v>
      </c>
      <c r="G7" s="9">
        <f>+F7*E7</f>
        <v>31620</v>
      </c>
      <c r="H7" s="8">
        <f>F7*VLOOKUP(A7,Precios!$A$3:$AA$601,27)</f>
        <v>60394.200000000004</v>
      </c>
      <c r="I7" s="8">
        <f>G7*VLOOKUP(A7,Precios!$A$3:$AA$601,27)</f>
        <v>36236520</v>
      </c>
    </row>
    <row r="8" spans="1:17">
      <c r="A8" s="1">
        <v>45665</v>
      </c>
      <c r="B8" t="s">
        <v>20</v>
      </c>
      <c r="C8" t="s">
        <v>13</v>
      </c>
      <c r="D8" t="s">
        <v>14</v>
      </c>
      <c r="G8" s="9">
        <v>8000</v>
      </c>
      <c r="H8" s="8">
        <f>F8*VLOOKUP(A8,Precios!$A$3:$AA$601,27)</f>
        <v>0</v>
      </c>
      <c r="I8" s="8">
        <f>G8*VLOOKUP(A8,Precios!$A$3:$AA$601,27)</f>
        <v>9584000</v>
      </c>
    </row>
    <row r="9" spans="1:17">
      <c r="A9" s="1">
        <v>45665</v>
      </c>
      <c r="B9" t="s">
        <v>20</v>
      </c>
      <c r="C9" t="s">
        <v>13</v>
      </c>
      <c r="D9" t="s">
        <v>21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</row>
    <row r="10" spans="1:17">
      <c r="A10" s="1">
        <v>45665</v>
      </c>
      <c r="B10" t="s">
        <v>22</v>
      </c>
      <c r="C10" t="s">
        <v>13</v>
      </c>
      <c r="D10" t="s">
        <v>14</v>
      </c>
      <c r="G10" s="9">
        <v>375</v>
      </c>
      <c r="H10" s="8">
        <f>F10*VLOOKUP(A10,Precios!$A$3:$AA$601,27)</f>
        <v>0</v>
      </c>
      <c r="I10" s="8">
        <f>G10*VLOOKUP(A10,Precios!$A$3:$AA$601,27)</f>
        <v>449250</v>
      </c>
    </row>
    <row r="11" spans="1:17">
      <c r="A11" s="1">
        <v>45665</v>
      </c>
      <c r="B11" t="s">
        <v>9</v>
      </c>
      <c r="C11" t="s">
        <v>13</v>
      </c>
      <c r="D11" t="s">
        <v>17</v>
      </c>
      <c r="E11">
        <v>300</v>
      </c>
      <c r="F11">
        <v>54</v>
      </c>
      <c r="G11" s="9">
        <f>E11*F11</f>
        <v>16200</v>
      </c>
      <c r="H11" s="8">
        <f>F11*VLOOKUP(A11,Precios!$A$3:$AA$601,27)</f>
        <v>64692</v>
      </c>
      <c r="I11" s="8">
        <f>G11*VLOOKUP(A11,Precios!$A$3:$AA$601,27)</f>
        <v>19407600</v>
      </c>
    </row>
    <row r="12" spans="1:17">
      <c r="A12" s="1">
        <v>45667</v>
      </c>
      <c r="B12" t="s">
        <v>15</v>
      </c>
      <c r="C12" t="s">
        <v>13</v>
      </c>
      <c r="D12" t="s">
        <v>14</v>
      </c>
      <c r="E12">
        <v>1000</v>
      </c>
      <c r="F12">
        <v>68.5</v>
      </c>
      <c r="G12" s="9">
        <f>+F12*E12</f>
        <v>68500</v>
      </c>
      <c r="H12" s="8">
        <f>F12*VLOOKUP(A12,Precios!$A$3:$AA$601,27)</f>
        <v>82200</v>
      </c>
      <c r="I12" s="8">
        <f>G12*VLOOKUP(A12,Precios!$A$3:$AA$601,27)</f>
        <v>82200000</v>
      </c>
    </row>
    <row r="13" spans="1:17">
      <c r="A13" s="1">
        <v>45669</v>
      </c>
      <c r="B13" t="s">
        <v>12</v>
      </c>
      <c r="C13" t="s">
        <v>13</v>
      </c>
      <c r="D13" t="s">
        <v>11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</row>
    <row r="14" spans="1:17">
      <c r="A14" s="1">
        <v>45669</v>
      </c>
      <c r="B14" t="s">
        <v>15</v>
      </c>
      <c r="C14" t="s">
        <v>13</v>
      </c>
      <c r="D14" t="s">
        <v>11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</row>
    <row r="15" spans="1:17">
      <c r="A15" s="1">
        <v>45698</v>
      </c>
      <c r="B15" t="s">
        <v>12</v>
      </c>
      <c r="C15" t="s">
        <v>13</v>
      </c>
      <c r="D15" t="s">
        <v>14</v>
      </c>
      <c r="E15">
        <v>200</v>
      </c>
      <c r="F15">
        <v>64.7</v>
      </c>
      <c r="G15" s="9">
        <f>+F15*E15</f>
        <v>12940</v>
      </c>
      <c r="H15" s="8">
        <f>F15*VLOOKUP(A15,Precios!$A$3:$AA$601,27)</f>
        <v>78998.7</v>
      </c>
      <c r="I15" s="8">
        <f>G15*VLOOKUP(A15,Precios!$A$3:$AA$601,27)</f>
        <v>15799740</v>
      </c>
    </row>
    <row r="16" spans="1:17">
      <c r="A16" s="1">
        <v>45846</v>
      </c>
      <c r="B16" t="s">
        <v>20</v>
      </c>
      <c r="C16" t="s">
        <v>13</v>
      </c>
      <c r="D16" t="s">
        <v>14</v>
      </c>
      <c r="G16" s="9">
        <v>1600</v>
      </c>
      <c r="H16" s="8">
        <f>F16*VLOOKUP(A16,Precios!$A$3:$AA$601,27)</f>
        <v>0</v>
      </c>
      <c r="I16" s="8">
        <f>G16*VLOOKUP(A16,Precios!$A$3:$AA$601,27)</f>
        <v>2107200</v>
      </c>
    </row>
    <row r="17" spans="1:19">
      <c r="A17" s="1">
        <v>45846</v>
      </c>
      <c r="B17" t="s">
        <v>22</v>
      </c>
      <c r="C17" t="s">
        <v>13</v>
      </c>
      <c r="D17" t="s">
        <v>14</v>
      </c>
      <c r="G17" s="9">
        <v>75</v>
      </c>
      <c r="H17" s="8">
        <f>F17*VLOOKUP(A17,Precios!$A$3:$AA$601,27)</f>
        <v>0</v>
      </c>
      <c r="I17" s="8">
        <f>G17*VLOOKUP(A17,Precios!$A$3:$AA$601,27)</f>
        <v>98775</v>
      </c>
      <c r="J17" s="3"/>
    </row>
    <row r="18" spans="1:19">
      <c r="A18" s="1">
        <v>45846</v>
      </c>
      <c r="B18" t="s">
        <v>22</v>
      </c>
      <c r="C18" t="s">
        <v>13</v>
      </c>
      <c r="D18" t="s">
        <v>17</v>
      </c>
      <c r="G18" s="9">
        <f>1575/2</f>
        <v>787.5</v>
      </c>
      <c r="H18" s="8">
        <f>F18*VLOOKUP(A18,Precios!$A$3:$AA$601,27)</f>
        <v>0</v>
      </c>
      <c r="I18" s="8">
        <f>G18*VLOOKUP(A18,Precios!$A$3:$AA$601,27)</f>
        <v>1037137.5</v>
      </c>
    </row>
    <row r="19" spans="1:19">
      <c r="A19" s="1">
        <v>45847</v>
      </c>
      <c r="B19" t="s">
        <v>9</v>
      </c>
      <c r="C19" t="s">
        <v>13</v>
      </c>
      <c r="D19" t="s">
        <v>17</v>
      </c>
      <c r="E19">
        <v>300</v>
      </c>
      <c r="F19">
        <v>59</v>
      </c>
      <c r="G19" s="9">
        <f>+F19*E19</f>
        <v>17700</v>
      </c>
      <c r="H19" s="8">
        <f>F19*VLOOKUP(A19,Precios!$A$3:$AA$601,27)</f>
        <v>77703</v>
      </c>
      <c r="I19" s="8">
        <f>G19*VLOOKUP(A19,Precios!$A$3:$AA$601,27)</f>
        <v>23310900</v>
      </c>
    </row>
    <row r="20" spans="1:19">
      <c r="A20" s="1">
        <v>45848</v>
      </c>
      <c r="B20" t="s">
        <v>12</v>
      </c>
      <c r="C20" t="s">
        <v>13</v>
      </c>
      <c r="D20" t="s">
        <v>14</v>
      </c>
      <c r="E20">
        <v>600</v>
      </c>
      <c r="F20">
        <v>60.7</v>
      </c>
      <c r="G20" s="9">
        <f>+F20*E20</f>
        <v>36420</v>
      </c>
      <c r="H20" s="8">
        <f>F20*VLOOKUP(A20,Precios!$A$3:$AA$601,27)</f>
        <v>80002.600000000006</v>
      </c>
      <c r="I20" s="8">
        <f>G20*VLOOKUP(A20,Precios!$A$3:$AA$601,27)</f>
        <v>48001560</v>
      </c>
    </row>
    <row r="21" spans="1:19">
      <c r="A21" s="1">
        <v>45879</v>
      </c>
      <c r="B21" t="s">
        <v>15</v>
      </c>
      <c r="C21" t="s">
        <v>13</v>
      </c>
      <c r="D21" t="s">
        <v>14</v>
      </c>
      <c r="E21">
        <v>800</v>
      </c>
      <c r="F21">
        <v>58</v>
      </c>
      <c r="G21" s="9">
        <f>+F21*E21</f>
        <v>46400</v>
      </c>
      <c r="H21" s="8">
        <f>F21*VLOOKUP(A21,Precios!$A$3:$AA$601,27)</f>
        <v>77662</v>
      </c>
      <c r="I21" s="8">
        <f>G21*VLOOKUP(A21,Precios!$A$3:$AA$601,27)</f>
        <v>62129600</v>
      </c>
    </row>
    <row r="22" spans="1:19">
      <c r="A22" s="1">
        <v>45910</v>
      </c>
      <c r="B22" t="s">
        <v>9</v>
      </c>
      <c r="C22" t="s">
        <v>13</v>
      </c>
      <c r="D22" t="s">
        <v>19</v>
      </c>
      <c r="E22">
        <v>400</v>
      </c>
      <c r="F22">
        <v>55</v>
      </c>
      <c r="G22" s="9">
        <f>+F22*E22</f>
        <v>22000</v>
      </c>
      <c r="H22" s="8">
        <f>F22*VLOOKUP(A22,Precios!$A$3:$AA$601,27)</f>
        <v>74855</v>
      </c>
      <c r="I22" s="8">
        <f>G22*VLOOKUP(A22,Precios!$A$3:$AA$601,27)</f>
        <v>29942000</v>
      </c>
      <c r="S22" s="4"/>
    </row>
    <row r="23" spans="1:19">
      <c r="A23" s="1">
        <v>45912</v>
      </c>
      <c r="B23" t="s">
        <v>15</v>
      </c>
      <c r="C23" t="s">
        <v>13</v>
      </c>
      <c r="D23" t="s">
        <v>19</v>
      </c>
      <c r="E23">
        <v>200</v>
      </c>
      <c r="F23">
        <v>54</v>
      </c>
      <c r="G23" s="9">
        <f>+F23*E23</f>
        <v>10800</v>
      </c>
      <c r="H23" s="8">
        <f>F23*VLOOKUP(A23,Precios!$A$3:$AA$601,27)</f>
        <v>73602</v>
      </c>
      <c r="I23" s="8">
        <f>G23*VLOOKUP(A23,Precios!$A$3:$AA$601,27)</f>
        <v>14720400</v>
      </c>
    </row>
    <row r="24" spans="1:19">
      <c r="A24" s="1">
        <v>45913</v>
      </c>
      <c r="B24" t="s">
        <v>9</v>
      </c>
      <c r="C24" t="s">
        <v>13</v>
      </c>
      <c r="D24" t="s">
        <v>17</v>
      </c>
      <c r="E24">
        <v>300</v>
      </c>
      <c r="F24">
        <v>50</v>
      </c>
      <c r="G24" s="9">
        <f>+F24*E24</f>
        <v>15000</v>
      </c>
      <c r="H24" s="8">
        <f>F24*VLOOKUP(A24,Precios!$A$3:$AA$601,27)</f>
        <v>68150</v>
      </c>
      <c r="I24" s="8">
        <f>G24*VLOOKUP(A24,Precios!$A$3:$AA$601,27)</f>
        <v>20445000</v>
      </c>
    </row>
    <row r="25" spans="1:19">
      <c r="A25" s="1">
        <v>45914</v>
      </c>
      <c r="B25" t="s">
        <v>20</v>
      </c>
      <c r="C25" t="s">
        <v>13</v>
      </c>
      <c r="D25" t="s">
        <v>17</v>
      </c>
      <c r="G25" s="9">
        <v>5000</v>
      </c>
      <c r="H25" s="8">
        <f>F25*VLOOKUP(A25,Precios!$A$3:$AA$601,27)</f>
        <v>0</v>
      </c>
      <c r="I25" s="8">
        <f>G25*VLOOKUP(A25,Precios!$A$3:$AA$601,27)</f>
        <v>6815000</v>
      </c>
    </row>
    <row r="26" spans="1:19">
      <c r="A26" s="1"/>
    </row>
    <row r="27" spans="1:19">
      <c r="A27" s="1"/>
    </row>
    <row r="28" spans="1:19">
      <c r="A28" s="1"/>
    </row>
    <row r="29" spans="1:19">
      <c r="A29" s="1"/>
    </row>
    <row r="30" spans="1:19">
      <c r="A30" s="1"/>
    </row>
    <row r="31" spans="1:19">
      <c r="A31" s="1"/>
    </row>
    <row r="32" spans="1:19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 M4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23</v>
      </c>
      <c r="C1" t="s">
        <v>24</v>
      </c>
      <c r="D1" t="s">
        <v>21</v>
      </c>
      <c r="E1" t="s">
        <v>25</v>
      </c>
      <c r="F1" t="s">
        <v>26</v>
      </c>
      <c r="G1" t="s">
        <v>27</v>
      </c>
      <c r="H1" t="s">
        <v>11</v>
      </c>
      <c r="I1" t="s">
        <v>14</v>
      </c>
      <c r="J1" t="s">
        <v>19</v>
      </c>
      <c r="K1" t="s">
        <v>28</v>
      </c>
      <c r="L1" t="s">
        <v>17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39</v>
      </c>
      <c r="X1" t="s">
        <v>40</v>
      </c>
      <c r="Y1" t="s">
        <v>41</v>
      </c>
      <c r="Z1" t="s">
        <v>42</v>
      </c>
      <c r="AA1" t="s">
        <v>43</v>
      </c>
    </row>
    <row r="2" spans="1:28">
      <c r="A2" s="10" t="s">
        <v>44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2026-03-18T20:59:09Z</dcterms:modified>
  <cp:category/>
  <cp:contentStatus/>
</cp:coreProperties>
</file>