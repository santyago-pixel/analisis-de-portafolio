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D5FD161A-5D53-4A14-8D01-D6872F72D35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2" i="1"/>
  <c r="G25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4" i="1"/>
  <c r="G6" i="1"/>
  <c r="G15" i="1"/>
  <c r="G14" i="1"/>
  <c r="G20" i="1"/>
  <c r="G23" i="1"/>
  <c r="G22" i="1"/>
  <c r="G21" i="1"/>
  <c r="G16" i="1"/>
  <c r="G13" i="1"/>
  <c r="G19" i="1"/>
  <c r="G4" i="1"/>
  <c r="G3" i="1"/>
  <c r="H3" i="1" l="1"/>
  <c r="I3" i="1"/>
  <c r="H4" i="1"/>
  <c r="I4" i="1"/>
  <c r="AA16" i="2"/>
  <c r="AA17" i="2" s="1"/>
  <c r="L4" i="1" l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1" i="1"/>
  <c r="I11" i="1"/>
  <c r="H12" i="1"/>
  <c r="I12" i="1"/>
  <c r="AA70" i="2"/>
  <c r="AA71" i="2" s="1"/>
  <c r="H13" i="1" l="1"/>
  <c r="I13" i="1"/>
  <c r="H14" i="1"/>
  <c r="I14" i="1"/>
  <c r="H15" i="1"/>
  <c r="I15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6" i="1" l="1"/>
  <c r="I16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7" i="1" l="1"/>
  <c r="I17" i="1"/>
  <c r="H18" i="1"/>
  <c r="I18" i="1"/>
  <c r="H19" i="1"/>
  <c r="I19" i="1"/>
  <c r="H20" i="1"/>
  <c r="I20" i="1"/>
  <c r="AA189" i="2"/>
  <c r="H21" i="1" l="1"/>
  <c r="I21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2" i="1" l="1"/>
  <c r="I22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3" i="1" l="1"/>
  <c r="I23" i="1"/>
  <c r="AA233" i="2"/>
  <c r="AA234" i="2" s="1"/>
  <c r="H24" i="1" l="1"/>
  <c r="I24" i="1"/>
  <c r="H25" i="1"/>
  <c r="I25" i="1"/>
  <c r="H26" i="1"/>
  <c r="I26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<sst xmlns="http://schemas.openxmlformats.org/spreadsheetml/2006/main" count="122" uniqueCount="48">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</sst>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1" fontId="0" fillId="0" borderId="0" xfId="0" applyNumberFormat="1"/>
    <xf numFmtId="1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J3" sqref="J3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12" width="14.140625" customWidth="1"/>
    <col min="14" max="14" width="10.85546875" bestFit="1" customWidth="1"/>
    <col min="15" max="15" width="13.7109375" customWidth="1"/>
    <col min="16" max="16" width="13.28515625" customWidth="1"/>
    <col min="17" max="17" width="11" bestFit="1" customWidth="1"/>
    <col min="18" max="18" width="14.5703125" bestFit="1" customWidth="1"/>
    <col min="21" max="21" width="13.28515625" customWidth="1"/>
    <col min="22" max="22" width="12.85546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J1" t="s">
        <v>9</v>
      </c>
      <c r="K1" t="s">
        <v>10</v>
      </c>
      <c r="L1" t="s">
        <v>11</v>
      </c>
      <c r="Q1" t="s">
        <v>12</v>
      </c>
      <c r="S1" t="s">
        <v>13</v>
      </c>
      <c r="U1" t="s">
        <v>14</v>
      </c>
    </row>
    <row r="2" spans="1:21" ht="18" customHeight="1">
      <c r="A2" s="1">
        <v>45580</v>
      </c>
      <c r="J2">
        <v>70000</v>
      </c>
      <c r="L2" s="13">
        <f>J2-K2</f>
        <v>70000</v>
      </c>
      <c r="M2" s="9"/>
      <c r="N2" s="1"/>
      <c r="O2" s="9"/>
      <c r="Q2" t="s">
        <v>15</v>
      </c>
      <c r="S2" t="s">
        <v>16</v>
      </c>
      <c r="U2" t="s">
        <v>17</v>
      </c>
    </row>
    <row r="3" spans="1:21">
      <c r="A3" s="1">
        <v>45581</v>
      </c>
      <c r="B3" t="s">
        <v>18</v>
      </c>
      <c r="C3" t="s">
        <v>19</v>
      </c>
      <c r="D3" t="s">
        <v>17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8"/>
      <c r="K3" s="8"/>
      <c r="L3" s="14">
        <f>L2+J3-K3</f>
        <v>70000</v>
      </c>
      <c r="M3" s="9"/>
      <c r="N3" s="1"/>
      <c r="O3" s="9"/>
      <c r="Q3" t="s">
        <v>20</v>
      </c>
      <c r="S3" t="s">
        <v>19</v>
      </c>
      <c r="U3" t="s">
        <v>21</v>
      </c>
    </row>
    <row r="4" spans="1:21">
      <c r="A4" s="1">
        <v>45581</v>
      </c>
      <c r="B4" t="s">
        <v>18</v>
      </c>
      <c r="C4" t="s">
        <v>19</v>
      </c>
      <c r="D4" t="s">
        <v>22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8"/>
      <c r="K4" s="8"/>
      <c r="L4" s="14">
        <f>L3+J4-K4</f>
        <v>70000</v>
      </c>
      <c r="Q4" t="s">
        <v>23</v>
      </c>
    </row>
    <row r="5" spans="1:21">
      <c r="A5" s="1">
        <v>45585</v>
      </c>
      <c r="B5" t="s">
        <v>15</v>
      </c>
      <c r="C5" t="s">
        <v>19</v>
      </c>
      <c r="D5" t="s">
        <v>22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8"/>
      <c r="K5" s="8"/>
      <c r="L5" s="14">
        <f t="shared" ref="L5:L26" si="0">L4+J5-K5</f>
        <v>70000</v>
      </c>
      <c r="N5" s="1"/>
    </row>
    <row r="6" spans="1:21">
      <c r="A6" s="1">
        <v>45582</v>
      </c>
      <c r="B6" t="s">
        <v>18</v>
      </c>
      <c r="C6" t="s">
        <v>19</v>
      </c>
      <c r="D6" t="s">
        <v>24</v>
      </c>
      <c r="E6">
        <v>100</v>
      </c>
      <c r="F6">
        <v>50</v>
      </c>
      <c r="G6" s="9">
        <f>+F6*E6</f>
        <v>5000</v>
      </c>
      <c r="H6" s="8">
        <f>F6*VLOOKUP(A6,Precios!$A$3:$AA$601,27)</f>
        <v>57250</v>
      </c>
      <c r="I6" s="8">
        <f>G6*VLOOKUP(A6,Precios!$A$3:$AA$601,27)</f>
        <v>5725000</v>
      </c>
      <c r="J6" s="8"/>
      <c r="K6" s="8"/>
      <c r="L6" s="14">
        <f t="shared" si="0"/>
        <v>70000</v>
      </c>
      <c r="N6" s="1"/>
      <c r="O6" s="9"/>
    </row>
    <row r="7" spans="1:21">
      <c r="A7" s="1">
        <v>45583</v>
      </c>
      <c r="B7" t="s">
        <v>18</v>
      </c>
      <c r="C7" t="s">
        <v>19</v>
      </c>
      <c r="D7" t="s">
        <v>22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8"/>
      <c r="K7" s="8"/>
      <c r="L7" s="14">
        <f t="shared" si="0"/>
        <v>70000</v>
      </c>
    </row>
    <row r="8" spans="1:21">
      <c r="A8" s="1">
        <v>45584</v>
      </c>
      <c r="B8" t="s">
        <v>15</v>
      </c>
      <c r="C8" t="s">
        <v>19</v>
      </c>
      <c r="D8" t="s">
        <v>22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8"/>
      <c r="K8" s="8"/>
      <c r="L8" s="14">
        <f t="shared" si="0"/>
        <v>70000</v>
      </c>
    </row>
    <row r="9" spans="1:21">
      <c r="A9" s="1">
        <v>45665</v>
      </c>
      <c r="B9" t="s">
        <v>23</v>
      </c>
      <c r="C9" t="s">
        <v>19</v>
      </c>
      <c r="D9" t="s">
        <v>17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8"/>
      <c r="K9" s="8"/>
      <c r="L9" s="14">
        <f t="shared" si="0"/>
        <v>70000</v>
      </c>
    </row>
    <row r="10" spans="1:21">
      <c r="A10" s="1">
        <v>45665</v>
      </c>
      <c r="B10" t="s">
        <v>23</v>
      </c>
      <c r="C10" t="s">
        <v>19</v>
      </c>
      <c r="D10" t="s">
        <v>24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8"/>
      <c r="K10" s="8">
        <v>8000</v>
      </c>
      <c r="L10" s="14">
        <f t="shared" si="0"/>
        <v>62000</v>
      </c>
    </row>
    <row r="11" spans="1:21">
      <c r="A11" s="1">
        <v>45665</v>
      </c>
      <c r="B11" t="s">
        <v>25</v>
      </c>
      <c r="C11" t="s">
        <v>19</v>
      </c>
      <c r="D11" t="s">
        <v>17</v>
      </c>
      <c r="G11" s="9">
        <v>375</v>
      </c>
      <c r="H11" s="8">
        <f>F11*VLOOKUP(A11,Precios!$A$3:$AA$601,27)</f>
        <v>0</v>
      </c>
      <c r="I11" s="8">
        <f>G11*VLOOKUP(A11,Precios!$A$3:$AA$601,27)</f>
        <v>449250</v>
      </c>
      <c r="J11" s="8"/>
      <c r="K11" s="8"/>
      <c r="L11" s="14">
        <f t="shared" si="0"/>
        <v>62000</v>
      </c>
      <c r="N11" s="1"/>
    </row>
    <row r="12" spans="1:21">
      <c r="A12" s="1">
        <v>45665</v>
      </c>
      <c r="B12" t="s">
        <v>18</v>
      </c>
      <c r="C12" t="s">
        <v>19</v>
      </c>
      <c r="D12" t="s">
        <v>22</v>
      </c>
      <c r="E12">
        <v>300</v>
      </c>
      <c r="F12">
        <v>54</v>
      </c>
      <c r="G12" s="9">
        <f>E12*F12</f>
        <v>16200</v>
      </c>
      <c r="H12" s="8">
        <f>F12*VLOOKUP(A12,Precios!$A$3:$AA$601,27)</f>
        <v>64692</v>
      </c>
      <c r="I12" s="8">
        <f>G12*VLOOKUP(A12,Precios!$A$3:$AA$601,27)</f>
        <v>19407600</v>
      </c>
      <c r="J12" s="8"/>
      <c r="K12" s="8"/>
      <c r="L12" s="14">
        <f t="shared" si="0"/>
        <v>62000</v>
      </c>
    </row>
    <row r="13" spans="1:21">
      <c r="A13" s="1">
        <v>45667</v>
      </c>
      <c r="B13" t="s">
        <v>15</v>
      </c>
      <c r="C13" t="s">
        <v>19</v>
      </c>
      <c r="D13" t="s">
        <v>17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  <c r="J13" s="8"/>
      <c r="K13" s="8"/>
      <c r="L13" s="14">
        <f t="shared" si="0"/>
        <v>62000</v>
      </c>
    </row>
    <row r="14" spans="1:21">
      <c r="A14" s="1">
        <v>45669</v>
      </c>
      <c r="B14" t="s">
        <v>18</v>
      </c>
      <c r="C14" t="s">
        <v>19</v>
      </c>
      <c r="D14" t="s">
        <v>14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8"/>
      <c r="K14" s="8"/>
      <c r="L14" s="14">
        <f t="shared" si="0"/>
        <v>62000</v>
      </c>
    </row>
    <row r="15" spans="1:21">
      <c r="A15" s="1">
        <v>45669</v>
      </c>
      <c r="B15" t="s">
        <v>15</v>
      </c>
      <c r="C15" t="s">
        <v>19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8"/>
      <c r="K15" s="8"/>
      <c r="L15" s="14">
        <f t="shared" si="0"/>
        <v>62000</v>
      </c>
    </row>
    <row r="16" spans="1:21">
      <c r="A16" s="1">
        <v>45698</v>
      </c>
      <c r="B16" t="s">
        <v>18</v>
      </c>
      <c r="C16" t="s">
        <v>19</v>
      </c>
      <c r="D16" t="s">
        <v>17</v>
      </c>
      <c r="E16">
        <v>200</v>
      </c>
      <c r="F16">
        <v>64.7</v>
      </c>
      <c r="G16" s="9">
        <f>+F16*E16</f>
        <v>12940</v>
      </c>
      <c r="H16" s="8">
        <f>F16*VLOOKUP(A16,Precios!$A$3:$AA$601,27)</f>
        <v>78998.7</v>
      </c>
      <c r="I16" s="8">
        <f>G16*VLOOKUP(A16,Precios!$A$3:$AA$601,27)</f>
        <v>15799740</v>
      </c>
      <c r="J16" s="8"/>
      <c r="K16" s="8"/>
      <c r="L16" s="14">
        <f t="shared" si="0"/>
        <v>62000</v>
      </c>
    </row>
    <row r="17" spans="1:22">
      <c r="A17" s="1">
        <v>45846</v>
      </c>
      <c r="B17" t="s">
        <v>23</v>
      </c>
      <c r="C17" t="s">
        <v>19</v>
      </c>
      <c r="D17" t="s">
        <v>17</v>
      </c>
      <c r="G17" s="9">
        <v>1600</v>
      </c>
      <c r="H17" s="8">
        <f>F17*VLOOKUP(A17,Precios!$A$3:$AA$601,27)</f>
        <v>0</v>
      </c>
      <c r="I17" s="8">
        <f>G17*VLOOKUP(A17,Precios!$A$3:$AA$601,27)</f>
        <v>2107200</v>
      </c>
      <c r="J17" s="8"/>
      <c r="K17" s="8">
        <v>1600</v>
      </c>
      <c r="L17" s="14">
        <f t="shared" si="0"/>
        <v>60400</v>
      </c>
      <c r="M17" s="3"/>
    </row>
    <row r="18" spans="1:22">
      <c r="A18" s="1">
        <v>45846</v>
      </c>
      <c r="B18" t="s">
        <v>25</v>
      </c>
      <c r="C18" t="s">
        <v>19</v>
      </c>
      <c r="D18" t="s">
        <v>17</v>
      </c>
      <c r="G18" s="9">
        <v>75</v>
      </c>
      <c r="H18" s="8">
        <f>F18*VLOOKUP(A18,Precios!$A$3:$AA$601,27)</f>
        <v>0</v>
      </c>
      <c r="I18" s="8">
        <f>G18*VLOOKUP(A18,Precios!$A$3:$AA$601,27)</f>
        <v>98775</v>
      </c>
      <c r="J18" s="8"/>
      <c r="K18" s="8"/>
      <c r="L18" s="14">
        <f t="shared" si="0"/>
        <v>60400</v>
      </c>
    </row>
    <row r="19" spans="1:22">
      <c r="A19" s="1">
        <v>45846</v>
      </c>
      <c r="B19" t="s">
        <v>25</v>
      </c>
      <c r="C19" t="s">
        <v>19</v>
      </c>
      <c r="D19" t="s">
        <v>22</v>
      </c>
      <c r="G19" s="9">
        <f>1575/2</f>
        <v>787.5</v>
      </c>
      <c r="H19" s="8">
        <f>F19*VLOOKUP(A19,Precios!$A$3:$AA$601,27)</f>
        <v>0</v>
      </c>
      <c r="I19" s="8">
        <f>G19*VLOOKUP(A19,Precios!$A$3:$AA$601,27)</f>
        <v>1037137.5</v>
      </c>
      <c r="J19" s="8"/>
      <c r="K19" s="8"/>
      <c r="L19" s="14">
        <f t="shared" si="0"/>
        <v>60400</v>
      </c>
    </row>
    <row r="20" spans="1:22">
      <c r="A20" s="1">
        <v>45847</v>
      </c>
      <c r="B20" t="s">
        <v>18</v>
      </c>
      <c r="C20" t="s">
        <v>19</v>
      </c>
      <c r="D20" t="s">
        <v>22</v>
      </c>
      <c r="E20">
        <v>300</v>
      </c>
      <c r="F20">
        <v>59</v>
      </c>
      <c r="G20" s="9">
        <f>+F20*E20</f>
        <v>17700</v>
      </c>
      <c r="H20" s="8">
        <f>F20*VLOOKUP(A20,Precios!$A$3:$AA$601,27)</f>
        <v>77703</v>
      </c>
      <c r="I20" s="8">
        <f>G20*VLOOKUP(A20,Precios!$A$3:$AA$601,27)</f>
        <v>23310900</v>
      </c>
      <c r="J20" s="8"/>
      <c r="K20" s="8"/>
      <c r="L20" s="14">
        <f t="shared" si="0"/>
        <v>60400</v>
      </c>
    </row>
    <row r="21" spans="1:22">
      <c r="A21" s="1">
        <v>45848</v>
      </c>
      <c r="B21" t="s">
        <v>18</v>
      </c>
      <c r="C21" t="s">
        <v>19</v>
      </c>
      <c r="D21" t="s">
        <v>17</v>
      </c>
      <c r="E21">
        <v>600</v>
      </c>
      <c r="F21">
        <v>60.7</v>
      </c>
      <c r="G21" s="9">
        <f>+F21*E21</f>
        <v>36420</v>
      </c>
      <c r="H21" s="8">
        <f>F21*VLOOKUP(A21,Precios!$A$3:$AA$601,27)</f>
        <v>80002.600000000006</v>
      </c>
      <c r="I21" s="8">
        <f>G21*VLOOKUP(A21,Precios!$A$3:$AA$601,27)</f>
        <v>48001560</v>
      </c>
      <c r="J21" s="8"/>
      <c r="K21" s="8"/>
      <c r="L21" s="14">
        <f t="shared" si="0"/>
        <v>60400</v>
      </c>
    </row>
    <row r="22" spans="1:22">
      <c r="A22" s="1">
        <v>45879</v>
      </c>
      <c r="B22" t="s">
        <v>15</v>
      </c>
      <c r="C22" t="s">
        <v>19</v>
      </c>
      <c r="D22" t="s">
        <v>17</v>
      </c>
      <c r="E22">
        <v>800</v>
      </c>
      <c r="F22">
        <v>58</v>
      </c>
      <c r="G22" s="9">
        <f>+F22*E22</f>
        <v>46400</v>
      </c>
      <c r="H22" s="8">
        <f>F22*VLOOKUP(A22,Precios!$A$3:$AA$601,27)</f>
        <v>77662</v>
      </c>
      <c r="I22" s="8">
        <f>G22*VLOOKUP(A22,Precios!$A$3:$AA$601,27)</f>
        <v>62129600</v>
      </c>
      <c r="J22" s="8"/>
      <c r="K22" s="8"/>
      <c r="L22" s="14">
        <f t="shared" si="0"/>
        <v>60400</v>
      </c>
      <c r="V22" s="4"/>
    </row>
    <row r="23" spans="1:22">
      <c r="A23" s="1">
        <v>45910</v>
      </c>
      <c r="B23" t="s">
        <v>18</v>
      </c>
      <c r="C23" t="s">
        <v>19</v>
      </c>
      <c r="D23" t="s">
        <v>21</v>
      </c>
      <c r="E23">
        <v>400</v>
      </c>
      <c r="F23">
        <v>55</v>
      </c>
      <c r="G23" s="9">
        <f>+F23*E23</f>
        <v>22000</v>
      </c>
      <c r="H23" s="8">
        <f>F23*VLOOKUP(A23,Precios!$A$3:$AA$601,27)</f>
        <v>74855</v>
      </c>
      <c r="I23" s="8">
        <f>G23*VLOOKUP(A23,Precios!$A$3:$AA$601,27)</f>
        <v>29942000</v>
      </c>
      <c r="J23" s="8"/>
      <c r="K23" s="8"/>
      <c r="L23" s="14">
        <f t="shared" si="0"/>
        <v>60400</v>
      </c>
    </row>
    <row r="24" spans="1:22">
      <c r="A24" s="1">
        <v>45912</v>
      </c>
      <c r="B24" t="s">
        <v>15</v>
      </c>
      <c r="C24" t="s">
        <v>19</v>
      </c>
      <c r="D24" t="s">
        <v>21</v>
      </c>
      <c r="E24">
        <v>200</v>
      </c>
      <c r="F24">
        <v>54</v>
      </c>
      <c r="G24" s="9">
        <f>+F24*E24</f>
        <v>10800</v>
      </c>
      <c r="H24" s="8">
        <f>F24*VLOOKUP(A24,Precios!$A$3:$AA$601,27)</f>
        <v>73602</v>
      </c>
      <c r="I24" s="8">
        <f>G24*VLOOKUP(A24,Precios!$A$3:$AA$601,27)</f>
        <v>14720400</v>
      </c>
      <c r="J24" s="8"/>
      <c r="K24" s="8"/>
      <c r="L24" s="14">
        <f t="shared" si="0"/>
        <v>60400</v>
      </c>
    </row>
    <row r="25" spans="1:22">
      <c r="A25" s="1">
        <v>45913</v>
      </c>
      <c r="B25" t="s">
        <v>18</v>
      </c>
      <c r="C25" t="s">
        <v>19</v>
      </c>
      <c r="D25" t="s">
        <v>22</v>
      </c>
      <c r="E25">
        <v>300</v>
      </c>
      <c r="F25">
        <v>50</v>
      </c>
      <c r="G25" s="9">
        <f>+F25*E25</f>
        <v>15000</v>
      </c>
      <c r="H25" s="8">
        <f>F25*VLOOKUP(A25,Precios!$A$3:$AA$601,27)</f>
        <v>68150</v>
      </c>
      <c r="I25" s="8">
        <f>G25*VLOOKUP(A25,Precios!$A$3:$AA$601,27)</f>
        <v>20445000</v>
      </c>
      <c r="J25" s="8"/>
      <c r="K25" s="8"/>
      <c r="L25" s="14">
        <f t="shared" si="0"/>
        <v>60400</v>
      </c>
    </row>
    <row r="26" spans="1:22">
      <c r="A26" s="1">
        <v>45914</v>
      </c>
      <c r="B26" t="s">
        <v>23</v>
      </c>
      <c r="C26" t="s">
        <v>19</v>
      </c>
      <c r="D26" t="s">
        <v>22</v>
      </c>
      <c r="G26" s="9">
        <v>5000</v>
      </c>
      <c r="H26" s="8">
        <f>F26*VLOOKUP(A26,Precios!$A$3:$AA$601,27)</f>
        <v>0</v>
      </c>
      <c r="I26" s="8">
        <f>G26*VLOOKUP(A26,Precios!$A$3:$AA$601,27)</f>
        <v>6815000</v>
      </c>
      <c r="J26" s="8"/>
      <c r="K26" s="8"/>
      <c r="L26" s="14">
        <f t="shared" si="0"/>
        <v>60400</v>
      </c>
    </row>
    <row r="27" spans="1:22">
      <c r="A27" s="1"/>
    </row>
    <row r="28" spans="1:22">
      <c r="A28" s="1"/>
    </row>
    <row r="29" spans="1:22">
      <c r="A29" s="1"/>
    </row>
    <row r="30" spans="1:22">
      <c r="A30" s="1"/>
    </row>
    <row r="31" spans="1:22">
      <c r="A31" s="1"/>
    </row>
    <row r="32" spans="1:22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3:G18">
    <sortCondition ref="A3:A18"/>
  </sortState>
  <dataValidations count="5">
    <dataValidation type="list" allowBlank="1" showInputMessage="1" showErrorMessage="1" sqref="Q4 B14 B3:B12 B16:B37" xr:uid="{D82FC90E-F4C1-4FEE-90A7-1E7B4FF2C652}">
      <formula1>$P$1:$P$23</formula1>
    </dataValidation>
    <dataValidation type="list" allowBlank="1" showInputMessage="1" showErrorMessage="1" sqref="B1" xr:uid="{9837364A-ACA4-4040-937F-F0F8B099CD79}">
      <formula1>$P$1:$P$17</formula1>
    </dataValidation>
    <dataValidation type="list" allowBlank="1" showInputMessage="1" showErrorMessage="1" sqref="C1" xr:uid="{5ACDAC43-0A2C-44ED-89F3-6CC7CBBC5473}">
      <formula1>$R$1:$R$12</formula1>
    </dataValidation>
    <dataValidation type="list" allowBlank="1" showInputMessage="1" showErrorMessage="1" sqref="D1" xr:uid="{072F3766-733D-4D00-B107-5AF1B31BCE79}">
      <formula1>$T$1:$T$35</formula1>
    </dataValidation>
    <dataValidation type="list" allowBlank="1" showInputMessage="1" showErrorMessage="1" sqref="D3:D42" xr:uid="{ED8D13E1-2439-4B9C-AEC1-F990B45E5811}">
      <formula1>$T$1:$T$57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26</v>
      </c>
      <c r="C1" t="s">
        <v>27</v>
      </c>
      <c r="D1" t="s">
        <v>24</v>
      </c>
      <c r="E1" t="s">
        <v>28</v>
      </c>
      <c r="F1" t="s">
        <v>29</v>
      </c>
      <c r="G1" t="s">
        <v>30</v>
      </c>
      <c r="H1" t="s">
        <v>14</v>
      </c>
      <c r="I1" t="s">
        <v>17</v>
      </c>
      <c r="J1" t="s">
        <v>21</v>
      </c>
      <c r="K1" t="s">
        <v>31</v>
      </c>
      <c r="L1" t="s">
        <v>22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</row>
    <row r="2" spans="1:28">
      <c r="A2" s="10" t="s">
        <v>47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2026-03-18T23:26:26Z</dcterms:modified>
  <cp:category/>
  <cp:contentStatus/>
</cp:coreProperties>
</file>