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BC03D041-284B-4F48-9CBA-3C6C528EB5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peraciones" sheetId="1" r:id="rId1"/>
    <sheet name="Precios" sheetId="2" r:id="rId2"/>
  </sheets>
  <definedNames>
    <definedName name="_xlnm._FilterDatabase" localSheetId="0" hidden="1">Operaciones!$A$1:$G$24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 s="1"/>
  <c r="AA4" i="2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G12" i="1"/>
  <c r="G25" i="1"/>
  <c r="C14" i="2"/>
  <c r="C13" i="2" s="1"/>
  <c r="C12" i="2" s="1"/>
  <c r="C11" i="2" s="1"/>
  <c r="C10" i="2" s="1"/>
  <c r="C9" i="2" s="1"/>
  <c r="C8" i="2" s="1"/>
  <c r="C7" i="2" s="1"/>
  <c r="C6" i="2" s="1"/>
  <c r="C5" i="2" s="1"/>
  <c r="C4" i="2" s="1"/>
  <c r="C3" i="2" s="1"/>
  <c r="D14" i="2"/>
  <c r="D13" i="2" s="1"/>
  <c r="D12" i="2" s="1"/>
  <c r="D11" i="2" s="1"/>
  <c r="D10" i="2" s="1"/>
  <c r="D9" i="2" s="1"/>
  <c r="D8" i="2" s="1"/>
  <c r="D7" i="2" s="1"/>
  <c r="D6" i="2" s="1"/>
  <c r="D5" i="2" s="1"/>
  <c r="D4" i="2" s="1"/>
  <c r="D3" i="2" s="1"/>
  <c r="E14" i="2"/>
  <c r="E13" i="2" s="1"/>
  <c r="E12" i="2" s="1"/>
  <c r="E11" i="2" s="1"/>
  <c r="E10" i="2" s="1"/>
  <c r="E9" i="2" s="1"/>
  <c r="E8" i="2" s="1"/>
  <c r="E7" i="2" s="1"/>
  <c r="E6" i="2" s="1"/>
  <c r="E5" i="2" s="1"/>
  <c r="E4" i="2" s="1"/>
  <c r="E3" i="2" s="1"/>
  <c r="F14" i="2"/>
  <c r="F13" i="2" s="1"/>
  <c r="F12" i="2" s="1"/>
  <c r="F11" i="2" s="1"/>
  <c r="F10" i="2" s="1"/>
  <c r="F9" i="2" s="1"/>
  <c r="F8" i="2" s="1"/>
  <c r="F7" i="2" s="1"/>
  <c r="F6" i="2" s="1"/>
  <c r="F5" i="2" s="1"/>
  <c r="F4" i="2" s="1"/>
  <c r="F3" i="2" s="1"/>
  <c r="G14" i="2"/>
  <c r="G13" i="2" s="1"/>
  <c r="G12" i="2" s="1"/>
  <c r="G11" i="2" s="1"/>
  <c r="G10" i="2" s="1"/>
  <c r="G9" i="2" s="1"/>
  <c r="G8" i="2" s="1"/>
  <c r="G7" i="2" s="1"/>
  <c r="G6" i="2" s="1"/>
  <c r="G5" i="2" s="1"/>
  <c r="G4" i="2" s="1"/>
  <c r="G3" i="2" s="1"/>
  <c r="H14" i="2"/>
  <c r="H13" i="2" s="1"/>
  <c r="H12" i="2" s="1"/>
  <c r="H11" i="2" s="1"/>
  <c r="H10" i="2" s="1"/>
  <c r="H9" i="2" s="1"/>
  <c r="H8" i="2" s="1"/>
  <c r="H7" i="2" s="1"/>
  <c r="H6" i="2" s="1"/>
  <c r="H5" i="2" s="1"/>
  <c r="H4" i="2" s="1"/>
  <c r="H3" i="2" s="1"/>
  <c r="I14" i="2"/>
  <c r="I13" i="2" s="1"/>
  <c r="I12" i="2" s="1"/>
  <c r="I11" i="2" s="1"/>
  <c r="I10" i="2" s="1"/>
  <c r="I9" i="2" s="1"/>
  <c r="I8" i="2" s="1"/>
  <c r="I7" i="2" s="1"/>
  <c r="I6" i="2" s="1"/>
  <c r="I5" i="2" s="1"/>
  <c r="I4" i="2" s="1"/>
  <c r="I3" i="2" s="1"/>
  <c r="J14" i="2"/>
  <c r="J13" i="2" s="1"/>
  <c r="J12" i="2" s="1"/>
  <c r="J11" i="2" s="1"/>
  <c r="J10" i="2" s="1"/>
  <c r="J9" i="2" s="1"/>
  <c r="J8" i="2" s="1"/>
  <c r="J7" i="2" s="1"/>
  <c r="J6" i="2" s="1"/>
  <c r="J5" i="2" s="1"/>
  <c r="J4" i="2" s="1"/>
  <c r="J3" i="2" s="1"/>
  <c r="K14" i="2"/>
  <c r="K13" i="2" s="1"/>
  <c r="K12" i="2" s="1"/>
  <c r="K11" i="2" s="1"/>
  <c r="K10" i="2" s="1"/>
  <c r="K9" i="2" s="1"/>
  <c r="K8" i="2" s="1"/>
  <c r="K7" i="2" s="1"/>
  <c r="K6" i="2" s="1"/>
  <c r="K5" i="2" s="1"/>
  <c r="K4" i="2" s="1"/>
  <c r="K3" i="2" s="1"/>
  <c r="L14" i="2"/>
  <c r="L13" i="2" s="1"/>
  <c r="L12" i="2" s="1"/>
  <c r="L11" i="2" s="1"/>
  <c r="L10" i="2" s="1"/>
  <c r="L9" i="2" s="1"/>
  <c r="L8" i="2" s="1"/>
  <c r="L7" i="2" s="1"/>
  <c r="L6" i="2" s="1"/>
  <c r="L5" i="2" s="1"/>
  <c r="L4" i="2" s="1"/>
  <c r="L3" i="2" s="1"/>
  <c r="M14" i="2"/>
  <c r="M13" i="2" s="1"/>
  <c r="M12" i="2" s="1"/>
  <c r="M11" i="2" s="1"/>
  <c r="M10" i="2" s="1"/>
  <c r="M9" i="2" s="1"/>
  <c r="M8" i="2" s="1"/>
  <c r="M7" i="2" s="1"/>
  <c r="M6" i="2" s="1"/>
  <c r="M5" i="2" s="1"/>
  <c r="M4" i="2" s="1"/>
  <c r="M3" i="2" s="1"/>
  <c r="N14" i="2"/>
  <c r="N13" i="2" s="1"/>
  <c r="N12" i="2" s="1"/>
  <c r="N11" i="2" s="1"/>
  <c r="N10" i="2" s="1"/>
  <c r="N9" i="2" s="1"/>
  <c r="N8" i="2" s="1"/>
  <c r="N7" i="2" s="1"/>
  <c r="N6" i="2" s="1"/>
  <c r="N5" i="2" s="1"/>
  <c r="N4" i="2" s="1"/>
  <c r="N3" i="2" s="1"/>
  <c r="O14" i="2"/>
  <c r="O13" i="2" s="1"/>
  <c r="O12" i="2" s="1"/>
  <c r="O11" i="2" s="1"/>
  <c r="O10" i="2" s="1"/>
  <c r="O9" i="2" s="1"/>
  <c r="O8" i="2" s="1"/>
  <c r="O7" i="2" s="1"/>
  <c r="O6" i="2" s="1"/>
  <c r="O5" i="2" s="1"/>
  <c r="O4" i="2" s="1"/>
  <c r="O3" i="2" s="1"/>
  <c r="P14" i="2"/>
  <c r="P13" i="2" s="1"/>
  <c r="P12" i="2" s="1"/>
  <c r="P11" i="2" s="1"/>
  <c r="P10" i="2" s="1"/>
  <c r="P9" i="2" s="1"/>
  <c r="P8" i="2" s="1"/>
  <c r="P7" i="2" s="1"/>
  <c r="P6" i="2" s="1"/>
  <c r="P5" i="2" s="1"/>
  <c r="P4" i="2" s="1"/>
  <c r="P3" i="2" s="1"/>
  <c r="Q14" i="2"/>
  <c r="Q13" i="2" s="1"/>
  <c r="Q12" i="2" s="1"/>
  <c r="Q11" i="2" s="1"/>
  <c r="Q10" i="2" s="1"/>
  <c r="Q9" i="2" s="1"/>
  <c r="Q8" i="2" s="1"/>
  <c r="Q7" i="2" s="1"/>
  <c r="Q6" i="2" s="1"/>
  <c r="Q5" i="2" s="1"/>
  <c r="Q4" i="2" s="1"/>
  <c r="Q3" i="2" s="1"/>
  <c r="R14" i="2"/>
  <c r="R13" i="2" s="1"/>
  <c r="R12" i="2" s="1"/>
  <c r="R11" i="2" s="1"/>
  <c r="R10" i="2" s="1"/>
  <c r="R9" i="2" s="1"/>
  <c r="R8" i="2" s="1"/>
  <c r="R7" i="2" s="1"/>
  <c r="R6" i="2" s="1"/>
  <c r="R5" i="2" s="1"/>
  <c r="R4" i="2" s="1"/>
  <c r="R3" i="2" s="1"/>
  <c r="S14" i="2"/>
  <c r="S13" i="2" s="1"/>
  <c r="S12" i="2" s="1"/>
  <c r="S11" i="2" s="1"/>
  <c r="S10" i="2" s="1"/>
  <c r="S9" i="2" s="1"/>
  <c r="S8" i="2" s="1"/>
  <c r="S7" i="2" s="1"/>
  <c r="S6" i="2" s="1"/>
  <c r="S5" i="2" s="1"/>
  <c r="S4" i="2" s="1"/>
  <c r="S3" i="2" s="1"/>
  <c r="T14" i="2"/>
  <c r="T13" i="2" s="1"/>
  <c r="T12" i="2" s="1"/>
  <c r="T11" i="2" s="1"/>
  <c r="T10" i="2" s="1"/>
  <c r="T9" i="2" s="1"/>
  <c r="T8" i="2" s="1"/>
  <c r="T7" i="2" s="1"/>
  <c r="T6" i="2" s="1"/>
  <c r="T5" i="2" s="1"/>
  <c r="T4" i="2" s="1"/>
  <c r="T3" i="2" s="1"/>
  <c r="U14" i="2"/>
  <c r="U13" i="2" s="1"/>
  <c r="U12" i="2" s="1"/>
  <c r="U11" i="2" s="1"/>
  <c r="U10" i="2" s="1"/>
  <c r="U9" i="2" s="1"/>
  <c r="U8" i="2" s="1"/>
  <c r="U7" i="2" s="1"/>
  <c r="U6" i="2" s="1"/>
  <c r="U5" i="2" s="1"/>
  <c r="U4" i="2" s="1"/>
  <c r="U3" i="2" s="1"/>
  <c r="V14" i="2"/>
  <c r="V13" i="2" s="1"/>
  <c r="V12" i="2" s="1"/>
  <c r="V11" i="2" s="1"/>
  <c r="V10" i="2" s="1"/>
  <c r="V9" i="2" s="1"/>
  <c r="V8" i="2" s="1"/>
  <c r="V7" i="2" s="1"/>
  <c r="V6" i="2" s="1"/>
  <c r="V5" i="2" s="1"/>
  <c r="V4" i="2" s="1"/>
  <c r="V3" i="2" s="1"/>
  <c r="W14" i="2"/>
  <c r="W13" i="2" s="1"/>
  <c r="W12" i="2" s="1"/>
  <c r="W11" i="2" s="1"/>
  <c r="W10" i="2" s="1"/>
  <c r="W9" i="2" s="1"/>
  <c r="W8" i="2" s="1"/>
  <c r="W7" i="2" s="1"/>
  <c r="W6" i="2" s="1"/>
  <c r="W5" i="2" s="1"/>
  <c r="W4" i="2" s="1"/>
  <c r="W3" i="2" s="1"/>
  <c r="X14" i="2"/>
  <c r="X13" i="2" s="1"/>
  <c r="X12" i="2" s="1"/>
  <c r="X11" i="2" s="1"/>
  <c r="X10" i="2" s="1"/>
  <c r="X9" i="2" s="1"/>
  <c r="X8" i="2" s="1"/>
  <c r="X7" i="2" s="1"/>
  <c r="X6" i="2" s="1"/>
  <c r="X5" i="2" s="1"/>
  <c r="X4" i="2" s="1"/>
  <c r="X3" i="2" s="1"/>
  <c r="B14" i="2"/>
  <c r="B13" i="2" s="1"/>
  <c r="B12" i="2" s="1"/>
  <c r="B11" i="2" s="1"/>
  <c r="B10" i="2" s="1"/>
  <c r="B9" i="2" s="1"/>
  <c r="B8" i="2" s="1"/>
  <c r="B7" i="2" s="1"/>
  <c r="B6" i="2" s="1"/>
  <c r="B5" i="2" s="1"/>
  <c r="B4" i="2" s="1"/>
  <c r="B3" i="2" s="1"/>
  <c r="G8" i="1"/>
  <c r="G7" i="1"/>
  <c r="G5" i="1"/>
  <c r="G24" i="1"/>
  <c r="G6" i="1"/>
  <c r="G15" i="1"/>
  <c r="G14" i="1"/>
  <c r="G20" i="1"/>
  <c r="G23" i="1"/>
  <c r="G22" i="1"/>
  <c r="G21" i="1"/>
  <c r="G16" i="1"/>
  <c r="G13" i="1"/>
  <c r="G19" i="1"/>
  <c r="G4" i="1"/>
  <c r="G3" i="1"/>
  <c r="H3" i="1" l="1"/>
  <c r="I3" i="1"/>
  <c r="H4" i="1"/>
  <c r="I4" i="1"/>
  <c r="AA16" i="2"/>
  <c r="AA17" i="2" s="1"/>
  <c r="L4" i="1" l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H7" i="1"/>
  <c r="I7" i="1"/>
  <c r="H8" i="1"/>
  <c r="I8" i="1"/>
  <c r="I5" i="1"/>
  <c r="H5" i="1"/>
  <c r="AA18" i="2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H9" i="1" l="1"/>
  <c r="I9" i="1"/>
  <c r="H10" i="1"/>
  <c r="I10" i="1"/>
  <c r="H11" i="1"/>
  <c r="I11" i="1"/>
  <c r="H12" i="1"/>
  <c r="I12" i="1"/>
  <c r="AA70" i="2"/>
  <c r="AA71" i="2" s="1"/>
  <c r="H13" i="1" l="1"/>
  <c r="I13" i="1"/>
  <c r="H14" i="1"/>
  <c r="I14" i="1"/>
  <c r="H15" i="1"/>
  <c r="I15" i="1"/>
  <c r="AA72" i="2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H16" i="1" l="1"/>
  <c r="I16" i="1"/>
  <c r="AA93" i="2"/>
  <c r="AA94" i="2" s="1"/>
  <c r="AA95" i="2" s="1"/>
  <c r="AA96" i="2" s="1"/>
  <c r="AA97" i="2" s="1"/>
  <c r="AA98" i="2" s="1"/>
  <c r="AA99" i="2" s="1"/>
  <c r="AA100" i="2" s="1"/>
  <c r="AA101" i="2" s="1"/>
  <c r="AA102" i="2" s="1"/>
  <c r="AA103" i="2" s="1"/>
  <c r="AA104" i="2" s="1"/>
  <c r="AA105" i="2" s="1"/>
  <c r="AA106" i="2" s="1"/>
  <c r="AA107" i="2" s="1"/>
  <c r="AA108" i="2" s="1"/>
  <c r="AA109" i="2" s="1"/>
  <c r="AA110" i="2" s="1"/>
  <c r="AA111" i="2" s="1"/>
  <c r="AA112" i="2" s="1"/>
  <c r="AA113" i="2" s="1"/>
  <c r="AA114" i="2" s="1"/>
  <c r="AA115" i="2" s="1"/>
  <c r="AA116" i="2" s="1"/>
  <c r="AA117" i="2" s="1"/>
  <c r="AA118" i="2" s="1"/>
  <c r="AA119" i="2" s="1"/>
  <c r="AA120" i="2" s="1"/>
  <c r="AA121" i="2" s="1"/>
  <c r="AA122" i="2" s="1"/>
  <c r="AA123" i="2" s="1"/>
  <c r="AA124" i="2" s="1"/>
  <c r="AA125" i="2" s="1"/>
  <c r="AA126" i="2" s="1"/>
  <c r="AA127" i="2" s="1"/>
  <c r="AA128" i="2" s="1"/>
  <c r="AA129" i="2" s="1"/>
  <c r="AA130" i="2" s="1"/>
  <c r="AA131" i="2" s="1"/>
  <c r="AA132" i="2" s="1"/>
  <c r="AA133" i="2" s="1"/>
  <c r="AA134" i="2" s="1"/>
  <c r="AA135" i="2" s="1"/>
  <c r="AA136" i="2" s="1"/>
  <c r="AA137" i="2" s="1"/>
  <c r="AA138" i="2" s="1"/>
  <c r="AA139" i="2" s="1"/>
  <c r="AA140" i="2" s="1"/>
  <c r="AA141" i="2" s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AA154" i="2" s="1"/>
  <c r="AA155" i="2" s="1"/>
  <c r="AA156" i="2" s="1"/>
  <c r="AA157" i="2" s="1"/>
  <c r="AA158" i="2" s="1"/>
  <c r="AA159" i="2" s="1"/>
  <c r="AA160" i="2" s="1"/>
  <c r="AA161" i="2" s="1"/>
  <c r="AA162" i="2" s="1"/>
  <c r="AA163" i="2" s="1"/>
  <c r="AA164" i="2" s="1"/>
  <c r="AA165" i="2" s="1"/>
  <c r="AA166" i="2" s="1"/>
  <c r="AA167" i="2" s="1"/>
  <c r="AA168" i="2" s="1"/>
  <c r="AA169" i="2" s="1"/>
  <c r="AA170" i="2" s="1"/>
  <c r="AA171" i="2" s="1"/>
  <c r="AA172" i="2" s="1"/>
  <c r="AA173" i="2" s="1"/>
  <c r="AA174" i="2" s="1"/>
  <c r="AA175" i="2" s="1"/>
  <c r="AA176" i="2" s="1"/>
  <c r="AA177" i="2" s="1"/>
  <c r="AA178" i="2" s="1"/>
  <c r="AA179" i="2" s="1"/>
  <c r="AA180" i="2" s="1"/>
  <c r="AA181" i="2" s="1"/>
  <c r="AA182" i="2" s="1"/>
  <c r="AA183" i="2" s="1"/>
  <c r="AA184" i="2" s="1"/>
  <c r="AA185" i="2" s="1"/>
  <c r="AA186" i="2" s="1"/>
  <c r="AA187" i="2" s="1"/>
  <c r="AA188" i="2" s="1"/>
  <c r="H17" i="1" l="1"/>
  <c r="I17" i="1"/>
  <c r="H18" i="1"/>
  <c r="I18" i="1"/>
  <c r="H19" i="1"/>
  <c r="I19" i="1"/>
  <c r="H20" i="1"/>
  <c r="I20" i="1"/>
  <c r="AA189" i="2"/>
  <c r="H21" i="1" l="1"/>
  <c r="I21" i="1"/>
  <c r="AA190" i="2"/>
  <c r="AA191" i="2" s="1"/>
  <c r="AA192" i="2" s="1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AA203" i="2" s="1"/>
  <c r="AA204" i="2" s="1"/>
  <c r="AA205" i="2" s="1"/>
  <c r="AA206" i="2" s="1"/>
  <c r="AA207" i="2" s="1"/>
  <c r="AA208" i="2" s="1"/>
  <c r="AA209" i="2" s="1"/>
  <c r="AA210" i="2" s="1"/>
  <c r="H22" i="1" l="1"/>
  <c r="I22" i="1"/>
  <c r="AA211" i="2"/>
  <c r="AA212" i="2" s="1"/>
  <c r="AA213" i="2" s="1"/>
  <c r="AA214" i="2" s="1"/>
  <c r="AA215" i="2" s="1"/>
  <c r="AA216" i="2" s="1"/>
  <c r="AA217" i="2" s="1"/>
  <c r="AA218" i="2" s="1"/>
  <c r="AA219" i="2" s="1"/>
  <c r="AA220" i="2" s="1"/>
  <c r="AA221" i="2" s="1"/>
  <c r="AA222" i="2" s="1"/>
  <c r="AA223" i="2" s="1"/>
  <c r="AA224" i="2" s="1"/>
  <c r="AA225" i="2" s="1"/>
  <c r="AA226" i="2" s="1"/>
  <c r="AA227" i="2" s="1"/>
  <c r="AA228" i="2" s="1"/>
  <c r="AA229" i="2" s="1"/>
  <c r="AA230" i="2" s="1"/>
  <c r="AA231" i="2" s="1"/>
  <c r="AA232" i="2" s="1"/>
  <c r="H23" i="1" l="1"/>
  <c r="I23" i="1"/>
  <c r="AA233" i="2"/>
  <c r="AA234" i="2" s="1"/>
  <c r="H24" i="1" l="1"/>
  <c r="I24" i="1"/>
  <c r="H25" i="1"/>
  <c r="I25" i="1"/>
  <c r="H26" i="1"/>
  <c r="I26" i="1"/>
  <c r="AA235" i="2"/>
  <c r="AA236" i="2" s="1"/>
  <c r="AA237" i="2" s="1"/>
  <c r="AA238" i="2" s="1"/>
  <c r="AA239" i="2" s="1"/>
  <c r="AA240" i="2" s="1"/>
  <c r="AA241" i="2" s="1"/>
  <c r="AA242" i="2" s="1"/>
  <c r="AA243" i="2" s="1"/>
  <c r="AA244" i="2" s="1"/>
  <c r="AA245" i="2" s="1"/>
  <c r="AA246" i="2" s="1"/>
  <c r="AA247" i="2" s="1"/>
  <c r="AA248" i="2" s="1"/>
  <c r="AA249" i="2" s="1"/>
  <c r="H6" i="1" l="1"/>
  <c r="I6" i="1"/>
  <c r="AA250" i="2"/>
  <c r="AA251" i="2" s="1"/>
</calcChain>
</file>

<file path=xl/sharedStrings.xml><?xml version="1.0" encoding="utf-8"?>
<sst xmlns="http://schemas.openxmlformats.org/spreadsheetml/2006/main" count="122" uniqueCount="48">
  <si>
    <t>Fecha</t>
  </si>
  <si>
    <t>Operacion</t>
  </si>
  <si>
    <t>Tipo de activo</t>
  </si>
  <si>
    <t>Activo</t>
  </si>
  <si>
    <t>Nominales</t>
  </si>
  <si>
    <t>Precio</t>
  </si>
  <si>
    <t>Valor USD</t>
  </si>
  <si>
    <t>Precio ARS</t>
  </si>
  <si>
    <t>Valor ARS</t>
  </si>
  <si>
    <t>Deposito cash</t>
  </si>
  <si>
    <t>Retiro Cash</t>
  </si>
  <si>
    <t>Invertido</t>
  </si>
  <si>
    <t xml:space="preserve">Compra </t>
  </si>
  <si>
    <t>Lecaps</t>
  </si>
  <si>
    <t>AL29</t>
  </si>
  <si>
    <t>Venta</t>
  </si>
  <si>
    <t>CER</t>
  </si>
  <si>
    <t>AL30</t>
  </si>
  <si>
    <t>Compra</t>
  </si>
  <si>
    <t>Soberano USD</t>
  </si>
  <si>
    <t>Dividendos</t>
  </si>
  <si>
    <t>AL35</t>
  </si>
  <si>
    <t>AL41</t>
  </si>
  <si>
    <t>Amortización</t>
  </si>
  <si>
    <t>GD35</t>
  </si>
  <si>
    <t>Cupon</t>
  </si>
  <si>
    <t>GD29</t>
  </si>
  <si>
    <t>GD30</t>
  </si>
  <si>
    <t>GD38</t>
  </si>
  <si>
    <t>GD41</t>
  </si>
  <si>
    <t>GD46</t>
  </si>
  <si>
    <t>AE38</t>
  </si>
  <si>
    <t>BPA7</t>
  </si>
  <si>
    <t>BPB7</t>
  </si>
  <si>
    <t>BPC7</t>
  </si>
  <si>
    <t>BPD7</t>
  </si>
  <si>
    <t>BPJ5</t>
  </si>
  <si>
    <t>BPY6</t>
  </si>
  <si>
    <t>BPA7C</t>
  </si>
  <si>
    <t>BPB7C</t>
  </si>
  <si>
    <t>BPC7C</t>
  </si>
  <si>
    <t>BPD7C</t>
  </si>
  <si>
    <t>BPJ5C</t>
  </si>
  <si>
    <t>BPY6C</t>
  </si>
  <si>
    <t>BPO8</t>
  </si>
  <si>
    <t>BPO8C</t>
  </si>
  <si>
    <t>ARS</t>
  </si>
  <si>
    <t>Precio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</si>
</sst>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4" fontId="1" fillId="0" borderId="0" xfId="0" applyNumberFormat="1" applyFont="1"/>
    <xf numFmtId="0" fontId="1" fillId="0" borderId="0" xfId="0" applyFont="1"/>
    <xf numFmtId="0" fontId="0" fillId="0" borderId="0" xfId="0" quotePrefix="1"/>
    <xf numFmtId="2" fontId="0" fillId="0" borderId="0" xfId="0" applyNumberFormat="1" applyAlignment="1">
      <alignment wrapText="1"/>
    </xf>
    <xf numFmtId="2" fontId="0" fillId="0" borderId="0" xfId="0" applyNumberFormat="1"/>
    <xf numFmtId="14" fontId="2" fillId="0" borderId="0" xfId="0" applyNumberFormat="1" applyFont="1"/>
    <xf numFmtId="0" fontId="2" fillId="0" borderId="0" xfId="0" applyFont="1"/>
    <xf numFmtId="0" fontId="2" fillId="0" borderId="0" xfId="0" quotePrefix="1" applyFont="1"/>
    <xf numFmtId="1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workbookViewId="0">
      <selection activeCell="J3" sqref="J3"/>
    </sheetView>
  </sheetViews>
  <sheetFormatPr defaultRowHeight="15"/>
  <cols>
    <col min="1" max="1" width="10.85546875" bestFit="1" customWidth="1"/>
    <col min="2" max="2" width="13.85546875" customWidth="1"/>
    <col min="3" max="3" width="14.28515625" customWidth="1"/>
    <col min="4" max="4" width="14.140625" customWidth="1"/>
    <col min="5" max="5" width="15.7109375" customWidth="1"/>
    <col min="6" max="6" width="13.85546875" customWidth="1"/>
    <col min="7" max="7" width="15.5703125" style="9" customWidth="1"/>
    <col min="8" max="8" width="12.140625" style="9" customWidth="1"/>
    <col min="9" max="12" width="14.140625" customWidth="1"/>
    <col min="14" max="14" width="10.85546875" bestFit="1" customWidth="1"/>
    <col min="15" max="15" width="13.7109375" customWidth="1"/>
    <col min="16" max="16" width="13.28515625" customWidth="1"/>
    <col min="17" max="17" width="11" bestFit="1" customWidth="1"/>
    <col min="18" max="18" width="14.5703125" bestFit="1" customWidth="1"/>
    <col min="21" max="21" width="13.28515625" customWidth="1"/>
    <col min="22" max="22" width="12.855468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9" t="s">
        <v>6</v>
      </c>
      <c r="H1" s="9" t="s">
        <v>7</v>
      </c>
      <c r="I1" t="s">
        <v>8</v>
      </c>
      <c r="J1" t="s">
        <v>9</v>
      </c>
      <c r="K1" t="s">
        <v>10</v>
      </c>
      <c r="L1" t="s">
        <v>11</v>
      </c>
      <c r="Q1" t="s">
        <v>12</v>
      </c>
      <c r="S1" t="s">
        <v>13</v>
      </c>
      <c r="U1" t="s">
        <v>14</v>
      </c>
    </row>
    <row r="2" spans="1:21" ht="18" customHeight="1">
      <c r="A2" s="1">
        <v>45580</v>
      </c>
      <c r="J2">
        <v>100000</v>
      </c>
      <c r="L2" s="13">
        <f>J2-K2</f>
        <v>100000</v>
      </c>
      <c r="M2" s="9"/>
      <c r="N2" s="1"/>
      <c r="O2" s="9"/>
      <c r="Q2" t="s">
        <v>15</v>
      </c>
      <c r="S2" t="s">
        <v>16</v>
      </c>
      <c r="U2" t="s">
        <v>17</v>
      </c>
    </row>
    <row r="3" spans="1:21">
      <c r="A3" s="1">
        <v>45581</v>
      </c>
      <c r="B3" t="s">
        <v>18</v>
      </c>
      <c r="C3" t="s">
        <v>19</v>
      </c>
      <c r="D3" t="s">
        <v>17</v>
      </c>
      <c r="E3">
        <v>1000</v>
      </c>
      <c r="F3">
        <v>63.26</v>
      </c>
      <c r="G3" s="9">
        <f>+F3*E3</f>
        <v>63260</v>
      </c>
      <c r="H3" s="8">
        <f>F3*VLOOKUP(A3,Precios!$A$3:$AA$601,27)</f>
        <v>72369.440000000002</v>
      </c>
      <c r="I3" s="8">
        <f>G3*VLOOKUP(A3,Precios!$A$3:$AA$601,27)</f>
        <v>72369440</v>
      </c>
      <c r="J3" s="8"/>
      <c r="K3" s="8"/>
      <c r="L3" s="14">
        <f>L2+J3-K3</f>
        <v>100000</v>
      </c>
      <c r="M3" s="9"/>
      <c r="N3" s="1"/>
      <c r="O3" s="9"/>
      <c r="Q3" t="s">
        <v>20</v>
      </c>
      <c r="S3" t="s">
        <v>19</v>
      </c>
      <c r="U3" t="s">
        <v>21</v>
      </c>
    </row>
    <row r="4" spans="1:21">
      <c r="A4" s="1">
        <v>45581</v>
      </c>
      <c r="B4" t="s">
        <v>18</v>
      </c>
      <c r="C4" t="s">
        <v>19</v>
      </c>
      <c r="D4" t="s">
        <v>22</v>
      </c>
      <c r="E4">
        <v>900</v>
      </c>
      <c r="F4">
        <v>52.7</v>
      </c>
      <c r="G4" s="9">
        <f>+F4*E4</f>
        <v>47430</v>
      </c>
      <c r="H4" s="8">
        <f>F4*VLOOKUP(A4,Precios!$A$3:$AA$601,27)</f>
        <v>60288.800000000003</v>
      </c>
      <c r="I4" s="8">
        <f>G4*VLOOKUP(A4,Precios!$A$3:$AA$601,27)</f>
        <v>54259920</v>
      </c>
      <c r="J4" s="8"/>
      <c r="K4" s="8"/>
      <c r="L4" s="14">
        <f>L3+J4-K4</f>
        <v>100000</v>
      </c>
      <c r="Q4" t="s">
        <v>23</v>
      </c>
    </row>
    <row r="5" spans="1:21">
      <c r="A5" s="1">
        <v>45585</v>
      </c>
      <c r="B5" t="s">
        <v>15</v>
      </c>
      <c r="C5" t="s">
        <v>19</v>
      </c>
      <c r="D5" t="s">
        <v>22</v>
      </c>
      <c r="E5">
        <v>400</v>
      </c>
      <c r="F5">
        <v>52.7</v>
      </c>
      <c r="G5" s="9">
        <f>+F5*E5</f>
        <v>21080</v>
      </c>
      <c r="H5" s="8">
        <f>F5*VLOOKUP(A5,Precios!$A$3:$AA$601,27)</f>
        <v>60394.200000000004</v>
      </c>
      <c r="I5" s="8">
        <f>G5*VLOOKUP(A5,Precios!$A$3:$AA$601,27)</f>
        <v>24157680</v>
      </c>
      <c r="J5" s="8"/>
      <c r="K5" s="8"/>
      <c r="L5" s="14">
        <f t="shared" ref="L5:L26" si="0">L4+J5-K5</f>
        <v>100000</v>
      </c>
      <c r="N5" s="1"/>
    </row>
    <row r="6" spans="1:21">
      <c r="A6" s="1">
        <v>45582</v>
      </c>
      <c r="B6" t="s">
        <v>18</v>
      </c>
      <c r="C6" t="s">
        <v>19</v>
      </c>
      <c r="D6" t="s">
        <v>24</v>
      </c>
      <c r="E6">
        <v>100</v>
      </c>
      <c r="F6">
        <v>50</v>
      </c>
      <c r="G6" s="9">
        <f>+F6*E6</f>
        <v>5000</v>
      </c>
      <c r="H6" s="8">
        <f>F6*VLOOKUP(A6,Precios!$A$3:$AA$601,27)</f>
        <v>57250</v>
      </c>
      <c r="I6" s="8">
        <f>G6*VLOOKUP(A6,Precios!$A$3:$AA$601,27)</f>
        <v>5725000</v>
      </c>
      <c r="J6" s="8"/>
      <c r="K6" s="8"/>
      <c r="L6" s="14">
        <f t="shared" si="0"/>
        <v>100000</v>
      </c>
      <c r="N6" s="1"/>
      <c r="O6" s="9"/>
    </row>
    <row r="7" spans="1:21">
      <c r="A7" s="1">
        <v>45583</v>
      </c>
      <c r="B7" t="s">
        <v>18</v>
      </c>
      <c r="C7" t="s">
        <v>19</v>
      </c>
      <c r="D7" t="s">
        <v>22</v>
      </c>
      <c r="E7">
        <v>100</v>
      </c>
      <c r="F7">
        <v>52.7</v>
      </c>
      <c r="G7" s="9">
        <f>+F7*E7</f>
        <v>5270</v>
      </c>
      <c r="H7" s="8">
        <f>F7*VLOOKUP(A7,Precios!$A$3:$AA$601,27)</f>
        <v>60394.200000000004</v>
      </c>
      <c r="I7" s="8">
        <f>G7*VLOOKUP(A7,Precios!$A$3:$AA$601,27)</f>
        <v>6039420</v>
      </c>
      <c r="J7" s="8"/>
      <c r="K7" s="8"/>
      <c r="L7" s="14">
        <f t="shared" si="0"/>
        <v>100000</v>
      </c>
    </row>
    <row r="8" spans="1:21">
      <c r="A8" s="1">
        <v>45584</v>
      </c>
      <c r="B8" t="s">
        <v>15</v>
      </c>
      <c r="C8" t="s">
        <v>19</v>
      </c>
      <c r="D8" t="s">
        <v>22</v>
      </c>
      <c r="E8">
        <v>600</v>
      </c>
      <c r="F8">
        <v>52.7</v>
      </c>
      <c r="G8" s="9">
        <f>+F8*E8</f>
        <v>31620</v>
      </c>
      <c r="H8" s="8">
        <f>F8*VLOOKUP(A8,Precios!$A$3:$AA$601,27)</f>
        <v>60394.200000000004</v>
      </c>
      <c r="I8" s="8">
        <f>G8*VLOOKUP(A8,Precios!$A$3:$AA$601,27)</f>
        <v>36236520</v>
      </c>
      <c r="J8" s="8"/>
      <c r="K8" s="8"/>
      <c r="L8" s="14">
        <f t="shared" si="0"/>
        <v>100000</v>
      </c>
    </row>
    <row r="9" spans="1:21">
      <c r="A9" s="1">
        <v>45665</v>
      </c>
      <c r="B9" t="s">
        <v>23</v>
      </c>
      <c r="C9" t="s">
        <v>19</v>
      </c>
      <c r="D9" t="s">
        <v>17</v>
      </c>
      <c r="G9" s="9">
        <v>8000</v>
      </c>
      <c r="H9" s="8">
        <f>F9*VLOOKUP(A9,Precios!$A$3:$AA$601,27)</f>
        <v>0</v>
      </c>
      <c r="I9" s="8">
        <f>G9*VLOOKUP(A9,Precios!$A$3:$AA$601,27)</f>
        <v>9584000</v>
      </c>
      <c r="J9" s="8"/>
      <c r="K9" s="8"/>
      <c r="L9" s="14">
        <f t="shared" si="0"/>
        <v>100000</v>
      </c>
    </row>
    <row r="10" spans="1:21">
      <c r="A10" s="1">
        <v>45665</v>
      </c>
      <c r="B10" t="s">
        <v>23</v>
      </c>
      <c r="C10" t="s">
        <v>19</v>
      </c>
      <c r="D10" t="s">
        <v>24</v>
      </c>
      <c r="G10" s="9">
        <v>8000</v>
      </c>
      <c r="H10" s="8">
        <f>F10*VLOOKUP(A10,Precios!$A$3:$AA$601,27)</f>
        <v>0</v>
      </c>
      <c r="I10" s="8">
        <f>G10*VLOOKUP(A10,Precios!$A$3:$AA$601,27)</f>
        <v>9584000</v>
      </c>
      <c r="J10" s="8"/>
      <c r="K10" s="8">
        <v>8000</v>
      </c>
      <c r="L10" s="14">
        <f t="shared" si="0"/>
        <v>92000</v>
      </c>
    </row>
    <row r="11" spans="1:21">
      <c r="A11" s="1">
        <v>45665</v>
      </c>
      <c r="B11" t="s">
        <v>25</v>
      </c>
      <c r="C11" t="s">
        <v>19</v>
      </c>
      <c r="D11" t="s">
        <v>17</v>
      </c>
      <c r="G11" s="9">
        <v>375</v>
      </c>
      <c r="H11" s="8">
        <f>F11*VLOOKUP(A11,Precios!$A$3:$AA$601,27)</f>
        <v>0</v>
      </c>
      <c r="I11" s="8">
        <f>G11*VLOOKUP(A11,Precios!$A$3:$AA$601,27)</f>
        <v>449250</v>
      </c>
      <c r="J11" s="8"/>
      <c r="K11" s="8"/>
      <c r="L11" s="14">
        <f t="shared" si="0"/>
        <v>92000</v>
      </c>
      <c r="N11" s="1"/>
    </row>
    <row r="12" spans="1:21">
      <c r="A12" s="1">
        <v>45665</v>
      </c>
      <c r="B12" t="s">
        <v>18</v>
      </c>
      <c r="C12" t="s">
        <v>19</v>
      </c>
      <c r="D12" t="s">
        <v>22</v>
      </c>
      <c r="E12">
        <v>300</v>
      </c>
      <c r="F12">
        <v>54</v>
      </c>
      <c r="G12" s="9">
        <f>E12*F12</f>
        <v>16200</v>
      </c>
      <c r="H12" s="8">
        <f>F12*VLOOKUP(A12,Precios!$A$3:$AA$601,27)</f>
        <v>64692</v>
      </c>
      <c r="I12" s="8">
        <f>G12*VLOOKUP(A12,Precios!$A$3:$AA$601,27)</f>
        <v>19407600</v>
      </c>
      <c r="J12" s="8"/>
      <c r="K12" s="8"/>
      <c r="L12" s="14">
        <f t="shared" si="0"/>
        <v>92000</v>
      </c>
    </row>
    <row r="13" spans="1:21">
      <c r="A13" s="1">
        <v>45667</v>
      </c>
      <c r="B13" t="s">
        <v>15</v>
      </c>
      <c r="C13" t="s">
        <v>19</v>
      </c>
      <c r="D13" t="s">
        <v>17</v>
      </c>
      <c r="E13">
        <v>1000</v>
      </c>
      <c r="F13">
        <v>68.5</v>
      </c>
      <c r="G13" s="9">
        <f>+F13*E13</f>
        <v>68500</v>
      </c>
      <c r="H13" s="8">
        <f>F13*VLOOKUP(A13,Precios!$A$3:$AA$601,27)</f>
        <v>82200</v>
      </c>
      <c r="I13" s="8">
        <f>G13*VLOOKUP(A13,Precios!$A$3:$AA$601,27)</f>
        <v>82200000</v>
      </c>
      <c r="J13" s="8"/>
      <c r="K13" s="8"/>
      <c r="L13" s="14">
        <f t="shared" si="0"/>
        <v>92000</v>
      </c>
    </row>
    <row r="14" spans="1:21">
      <c r="A14" s="1">
        <v>45669</v>
      </c>
      <c r="B14" t="s">
        <v>18</v>
      </c>
      <c r="C14" t="s">
        <v>19</v>
      </c>
      <c r="D14" t="s">
        <v>14</v>
      </c>
      <c r="E14">
        <v>1000</v>
      </c>
      <c r="F14">
        <v>68.5</v>
      </c>
      <c r="G14" s="9">
        <f>+F14*E14</f>
        <v>68500</v>
      </c>
      <c r="H14" s="8">
        <f>F14*VLOOKUP(A14,Precios!$A$3:$AA$601,27)</f>
        <v>82200</v>
      </c>
      <c r="I14" s="8">
        <f>G14*VLOOKUP(A14,Precios!$A$3:$AA$601,27)</f>
        <v>82200000</v>
      </c>
      <c r="J14" s="8"/>
      <c r="K14" s="8"/>
      <c r="L14" s="14">
        <f t="shared" si="0"/>
        <v>92000</v>
      </c>
    </row>
    <row r="15" spans="1:21">
      <c r="A15" s="1">
        <v>45669</v>
      </c>
      <c r="B15" t="s">
        <v>15</v>
      </c>
      <c r="C15" t="s">
        <v>19</v>
      </c>
      <c r="D15" t="s">
        <v>14</v>
      </c>
      <c r="E15">
        <v>1000</v>
      </c>
      <c r="F15">
        <v>68.5</v>
      </c>
      <c r="G15" s="9">
        <f>+F15*E15</f>
        <v>68500</v>
      </c>
      <c r="H15" s="8">
        <f>F15*VLOOKUP(A15,Precios!$A$3:$AA$601,27)</f>
        <v>82200</v>
      </c>
      <c r="I15" s="8">
        <f>G15*VLOOKUP(A15,Precios!$A$3:$AA$601,27)</f>
        <v>82200000</v>
      </c>
      <c r="J15" s="8"/>
      <c r="K15" s="8"/>
      <c r="L15" s="14">
        <f t="shared" si="0"/>
        <v>92000</v>
      </c>
    </row>
    <row r="16" spans="1:21">
      <c r="A16" s="1">
        <v>45698</v>
      </c>
      <c r="B16" t="s">
        <v>18</v>
      </c>
      <c r="C16" t="s">
        <v>19</v>
      </c>
      <c r="D16" t="s">
        <v>17</v>
      </c>
      <c r="E16">
        <v>200</v>
      </c>
      <c r="F16">
        <v>64.7</v>
      </c>
      <c r="G16" s="9">
        <f>+F16*E16</f>
        <v>12940</v>
      </c>
      <c r="H16" s="8">
        <f>F16*VLOOKUP(A16,Precios!$A$3:$AA$601,27)</f>
        <v>78998.7</v>
      </c>
      <c r="I16" s="8">
        <f>G16*VLOOKUP(A16,Precios!$A$3:$AA$601,27)</f>
        <v>15799740</v>
      </c>
      <c r="J16" s="8"/>
      <c r="K16" s="8"/>
      <c r="L16" s="14">
        <f t="shared" si="0"/>
        <v>92000</v>
      </c>
    </row>
    <row r="17" spans="1:22">
      <c r="A17" s="1">
        <v>45846</v>
      </c>
      <c r="B17" t="s">
        <v>23</v>
      </c>
      <c r="C17" t="s">
        <v>19</v>
      </c>
      <c r="D17" t="s">
        <v>17</v>
      </c>
      <c r="G17" s="9">
        <v>1600</v>
      </c>
      <c r="H17" s="8">
        <f>F17*VLOOKUP(A17,Precios!$A$3:$AA$601,27)</f>
        <v>0</v>
      </c>
      <c r="I17" s="8">
        <f>G17*VLOOKUP(A17,Precios!$A$3:$AA$601,27)</f>
        <v>2107200</v>
      </c>
      <c r="J17" s="8"/>
      <c r="K17" s="8">
        <v>1600</v>
      </c>
      <c r="L17" s="14">
        <f t="shared" si="0"/>
        <v>90400</v>
      </c>
      <c r="M17" s="3"/>
    </row>
    <row r="18" spans="1:22">
      <c r="A18" s="1">
        <v>45846</v>
      </c>
      <c r="B18" t="s">
        <v>25</v>
      </c>
      <c r="C18" t="s">
        <v>19</v>
      </c>
      <c r="D18" t="s">
        <v>17</v>
      </c>
      <c r="G18" s="9">
        <v>75</v>
      </c>
      <c r="H18" s="8">
        <f>F18*VLOOKUP(A18,Precios!$A$3:$AA$601,27)</f>
        <v>0</v>
      </c>
      <c r="I18" s="8">
        <f>G18*VLOOKUP(A18,Precios!$A$3:$AA$601,27)</f>
        <v>98775</v>
      </c>
      <c r="J18" s="8"/>
      <c r="K18" s="8"/>
      <c r="L18" s="14">
        <f t="shared" si="0"/>
        <v>90400</v>
      </c>
    </row>
    <row r="19" spans="1:22">
      <c r="A19" s="1">
        <v>45846</v>
      </c>
      <c r="B19" t="s">
        <v>25</v>
      </c>
      <c r="C19" t="s">
        <v>19</v>
      </c>
      <c r="D19" t="s">
        <v>22</v>
      </c>
      <c r="G19" s="9">
        <f>1575/2</f>
        <v>787.5</v>
      </c>
      <c r="H19" s="8">
        <f>F19*VLOOKUP(A19,Precios!$A$3:$AA$601,27)</f>
        <v>0</v>
      </c>
      <c r="I19" s="8">
        <f>G19*VLOOKUP(A19,Precios!$A$3:$AA$601,27)</f>
        <v>1037137.5</v>
      </c>
      <c r="J19" s="8"/>
      <c r="K19" s="8"/>
      <c r="L19" s="14">
        <f t="shared" si="0"/>
        <v>90400</v>
      </c>
    </row>
    <row r="20" spans="1:22">
      <c r="A20" s="1">
        <v>45847</v>
      </c>
      <c r="B20" t="s">
        <v>18</v>
      </c>
      <c r="C20" t="s">
        <v>19</v>
      </c>
      <c r="D20" t="s">
        <v>22</v>
      </c>
      <c r="E20">
        <v>300</v>
      </c>
      <c r="F20">
        <v>59</v>
      </c>
      <c r="G20" s="9">
        <f>+F20*E20</f>
        <v>17700</v>
      </c>
      <c r="H20" s="8">
        <f>F20*VLOOKUP(A20,Precios!$A$3:$AA$601,27)</f>
        <v>77703</v>
      </c>
      <c r="I20" s="8">
        <f>G20*VLOOKUP(A20,Precios!$A$3:$AA$601,27)</f>
        <v>23310900</v>
      </c>
      <c r="J20" s="8"/>
      <c r="K20" s="8"/>
      <c r="L20" s="14">
        <f t="shared" si="0"/>
        <v>90400</v>
      </c>
    </row>
    <row r="21" spans="1:22">
      <c r="A21" s="1">
        <v>45848</v>
      </c>
      <c r="B21" t="s">
        <v>18</v>
      </c>
      <c r="C21" t="s">
        <v>19</v>
      </c>
      <c r="D21" t="s">
        <v>17</v>
      </c>
      <c r="E21">
        <v>600</v>
      </c>
      <c r="F21">
        <v>60.7</v>
      </c>
      <c r="G21" s="9">
        <f>+F21*E21</f>
        <v>36420</v>
      </c>
      <c r="H21" s="8">
        <f>F21*VLOOKUP(A21,Precios!$A$3:$AA$601,27)</f>
        <v>80002.600000000006</v>
      </c>
      <c r="I21" s="8">
        <f>G21*VLOOKUP(A21,Precios!$A$3:$AA$601,27)</f>
        <v>48001560</v>
      </c>
      <c r="J21" s="8"/>
      <c r="K21" s="8"/>
      <c r="L21" s="14">
        <f t="shared" si="0"/>
        <v>90400</v>
      </c>
    </row>
    <row r="22" spans="1:22">
      <c r="A22" s="1">
        <v>45879</v>
      </c>
      <c r="B22" t="s">
        <v>15</v>
      </c>
      <c r="C22" t="s">
        <v>19</v>
      </c>
      <c r="D22" t="s">
        <v>17</v>
      </c>
      <c r="E22">
        <v>800</v>
      </c>
      <c r="F22">
        <v>58</v>
      </c>
      <c r="G22" s="9">
        <f>+F22*E22</f>
        <v>46400</v>
      </c>
      <c r="H22" s="8">
        <f>F22*VLOOKUP(A22,Precios!$A$3:$AA$601,27)</f>
        <v>77662</v>
      </c>
      <c r="I22" s="8">
        <f>G22*VLOOKUP(A22,Precios!$A$3:$AA$601,27)</f>
        <v>62129600</v>
      </c>
      <c r="J22" s="8"/>
      <c r="K22" s="8"/>
      <c r="L22" s="14">
        <f t="shared" si="0"/>
        <v>90400</v>
      </c>
      <c r="V22" s="4"/>
    </row>
    <row r="23" spans="1:22">
      <c r="A23" s="1">
        <v>45910</v>
      </c>
      <c r="B23" t="s">
        <v>18</v>
      </c>
      <c r="C23" t="s">
        <v>19</v>
      </c>
      <c r="D23" t="s">
        <v>21</v>
      </c>
      <c r="E23">
        <v>400</v>
      </c>
      <c r="F23">
        <v>55</v>
      </c>
      <c r="G23" s="9">
        <f>+F23*E23</f>
        <v>22000</v>
      </c>
      <c r="H23" s="8">
        <f>F23*VLOOKUP(A23,Precios!$A$3:$AA$601,27)</f>
        <v>74855</v>
      </c>
      <c r="I23" s="8">
        <f>G23*VLOOKUP(A23,Precios!$A$3:$AA$601,27)</f>
        <v>29942000</v>
      </c>
      <c r="J23" s="8"/>
      <c r="K23" s="8"/>
      <c r="L23" s="14">
        <f t="shared" si="0"/>
        <v>90400</v>
      </c>
    </row>
    <row r="24" spans="1:22">
      <c r="A24" s="1">
        <v>45912</v>
      </c>
      <c r="B24" t="s">
        <v>15</v>
      </c>
      <c r="C24" t="s">
        <v>19</v>
      </c>
      <c r="D24" t="s">
        <v>21</v>
      </c>
      <c r="E24">
        <v>200</v>
      </c>
      <c r="F24">
        <v>54</v>
      </c>
      <c r="G24" s="9">
        <f>+F24*E24</f>
        <v>10800</v>
      </c>
      <c r="H24" s="8">
        <f>F24*VLOOKUP(A24,Precios!$A$3:$AA$601,27)</f>
        <v>73602</v>
      </c>
      <c r="I24" s="8">
        <f>G24*VLOOKUP(A24,Precios!$A$3:$AA$601,27)</f>
        <v>14720400</v>
      </c>
      <c r="J24" s="8"/>
      <c r="K24" s="8"/>
      <c r="L24" s="14">
        <f t="shared" si="0"/>
        <v>90400</v>
      </c>
    </row>
    <row r="25" spans="1:22">
      <c r="A25" s="1">
        <v>45913</v>
      </c>
      <c r="B25" t="s">
        <v>18</v>
      </c>
      <c r="C25" t="s">
        <v>19</v>
      </c>
      <c r="D25" t="s">
        <v>22</v>
      </c>
      <c r="E25">
        <v>300</v>
      </c>
      <c r="F25">
        <v>50</v>
      </c>
      <c r="G25" s="9">
        <f>+F25*E25</f>
        <v>15000</v>
      </c>
      <c r="H25" s="8">
        <f>F25*VLOOKUP(A25,Precios!$A$3:$AA$601,27)</f>
        <v>68150</v>
      </c>
      <c r="I25" s="8">
        <f>G25*VLOOKUP(A25,Precios!$A$3:$AA$601,27)</f>
        <v>20445000</v>
      </c>
      <c r="J25" s="8"/>
      <c r="K25" s="8"/>
      <c r="L25" s="14">
        <f t="shared" si="0"/>
        <v>90400</v>
      </c>
    </row>
    <row r="26" spans="1:22">
      <c r="A26" s="1">
        <v>45914</v>
      </c>
      <c r="B26" t="s">
        <v>23</v>
      </c>
      <c r="C26" t="s">
        <v>19</v>
      </c>
      <c r="D26" t="s">
        <v>22</v>
      </c>
      <c r="G26" s="9">
        <v>5000</v>
      </c>
      <c r="H26" s="8">
        <f>F26*VLOOKUP(A26,Precios!$A$3:$AA$601,27)</f>
        <v>0</v>
      </c>
      <c r="I26" s="8">
        <f>G26*VLOOKUP(A26,Precios!$A$3:$AA$601,27)</f>
        <v>6815000</v>
      </c>
      <c r="J26" s="8"/>
      <c r="K26" s="8"/>
      <c r="L26" s="14">
        <f t="shared" si="0"/>
        <v>90400</v>
      </c>
    </row>
    <row r="27" spans="1:22">
      <c r="A27" s="1"/>
    </row>
    <row r="28" spans="1:22">
      <c r="A28" s="1"/>
    </row>
    <row r="29" spans="1:22">
      <c r="A29" s="1"/>
    </row>
    <row r="30" spans="1:22">
      <c r="A30" s="1"/>
    </row>
    <row r="31" spans="1:22">
      <c r="A31" s="1"/>
    </row>
    <row r="32" spans="1:22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</sheetData>
  <autoFilter ref="A1:G25" xr:uid="{00000000-0001-0000-0000-000000000000}"/>
  <sortState xmlns:xlrd2="http://schemas.microsoft.com/office/spreadsheetml/2017/richdata2" ref="A3:G18">
    <sortCondition ref="A3:A18"/>
  </sortState>
  <dataValidations count="5">
    <dataValidation type="list" allowBlank="1" showInputMessage="1" showErrorMessage="1" sqref="Q4 B14 B3:B12 B16:B37" xr:uid="{D82FC90E-F4C1-4FEE-90A7-1E7B4FF2C652}">
      <formula1>$P$1:$P$23</formula1>
    </dataValidation>
    <dataValidation type="list" allowBlank="1" showInputMessage="1" showErrorMessage="1" sqref="B1" xr:uid="{9837364A-ACA4-4040-937F-F0F8B099CD79}">
      <formula1>$P$1:$P$17</formula1>
    </dataValidation>
    <dataValidation type="list" allowBlank="1" showInputMessage="1" showErrorMessage="1" sqref="C1" xr:uid="{5ACDAC43-0A2C-44ED-89F3-6CC7CBBC5473}">
      <formula1>$R$1:$R$12</formula1>
    </dataValidation>
    <dataValidation type="list" allowBlank="1" showInputMessage="1" showErrorMessage="1" sqref="D1" xr:uid="{072F3766-733D-4D00-B107-5AF1B31BCE79}">
      <formula1>$T$1:$T$35</formula1>
    </dataValidation>
    <dataValidation type="list" allowBlank="1" showInputMessage="1" showErrorMessage="1" sqref="D3:D42" xr:uid="{ED8D13E1-2439-4B9C-AEC1-F990B45E5811}">
      <formula1>$T$1:$T$57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11B3-0E9A-43BD-8421-E8F835D75104}">
  <dimension ref="A1:AB251"/>
  <sheetViews>
    <sheetView workbookViewId="0">
      <pane xSplit="1" ySplit="1" topLeftCell="B2" activePane="bottomRight" state="frozen"/>
      <selection pane="bottomRight" activeCell="L2" sqref="L2"/>
      <selection pane="bottomLeft"/>
      <selection pane="topRight"/>
    </sheetView>
  </sheetViews>
  <sheetFormatPr defaultRowHeight="15"/>
  <cols>
    <col min="1" max="1" width="14.85546875" customWidth="1"/>
    <col min="2" max="2" width="14.5703125" bestFit="1" customWidth="1"/>
    <col min="3" max="3" width="19.85546875" bestFit="1" customWidth="1"/>
    <col min="9" max="9" width="9.5703125" bestFit="1" customWidth="1"/>
  </cols>
  <sheetData>
    <row r="1" spans="1:28">
      <c r="A1" t="s">
        <v>0</v>
      </c>
      <c r="B1" t="s">
        <v>26</v>
      </c>
      <c r="C1" t="s">
        <v>27</v>
      </c>
      <c r="D1" t="s">
        <v>24</v>
      </c>
      <c r="E1" t="s">
        <v>28</v>
      </c>
      <c r="F1" t="s">
        <v>29</v>
      </c>
      <c r="G1" t="s">
        <v>30</v>
      </c>
      <c r="H1" t="s">
        <v>14</v>
      </c>
      <c r="I1" t="s">
        <v>17</v>
      </c>
      <c r="J1" t="s">
        <v>21</v>
      </c>
      <c r="K1" t="s">
        <v>31</v>
      </c>
      <c r="L1" t="s">
        <v>22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</row>
    <row r="2" spans="1:28">
      <c r="A2" s="10" t="s">
        <v>47</v>
      </c>
      <c r="B2" s="11">
        <v>60.5</v>
      </c>
      <c r="C2" s="11">
        <v>58.08</v>
      </c>
      <c r="D2" s="11">
        <v>57.62</v>
      </c>
      <c r="E2" s="11">
        <v>62.3</v>
      </c>
      <c r="F2" s="11">
        <v>54.6</v>
      </c>
      <c r="G2" s="11">
        <v>55</v>
      </c>
      <c r="H2" s="11">
        <v>58</v>
      </c>
      <c r="I2" s="11">
        <v>54.84</v>
      </c>
      <c r="J2" s="11">
        <v>54.32</v>
      </c>
      <c r="K2" s="11">
        <v>55.98</v>
      </c>
      <c r="L2" s="11">
        <v>45</v>
      </c>
      <c r="M2" s="11" t="e">
        <v>#N/A</v>
      </c>
      <c r="N2" s="11">
        <v>97.6</v>
      </c>
      <c r="O2" s="11">
        <v>91.5</v>
      </c>
      <c r="P2" s="11">
        <v>89.92</v>
      </c>
      <c r="Q2" s="11" t="e">
        <v>#N/A</v>
      </c>
      <c r="R2" s="11">
        <v>101.9</v>
      </c>
      <c r="S2" s="11" t="e">
        <v>#N/A</v>
      </c>
      <c r="T2" s="11">
        <v>94.99</v>
      </c>
      <c r="U2" s="11">
        <v>90.17</v>
      </c>
      <c r="V2" s="11">
        <v>87.83</v>
      </c>
      <c r="W2" s="11">
        <v>0</v>
      </c>
      <c r="X2" s="11">
        <v>99.94</v>
      </c>
      <c r="Y2" s="11">
        <v>67.040000000000006</v>
      </c>
      <c r="Z2" s="11">
        <v>65.67</v>
      </c>
      <c r="AA2" s="12">
        <v>1400</v>
      </c>
      <c r="AB2" s="11"/>
    </row>
    <row r="3" spans="1:28">
      <c r="A3" s="1">
        <v>45569</v>
      </c>
      <c r="B3">
        <f t="shared" ref="B3:B13" si="0">+B4-0.1</f>
        <v>71.400000000000063</v>
      </c>
      <c r="C3">
        <f t="shared" ref="C3:C13" si="1">+C4-0.1</f>
        <v>63.800000000000054</v>
      </c>
      <c r="D3">
        <f t="shared" ref="D3:D13" si="2">+D4-0.1</f>
        <v>55.70999999999998</v>
      </c>
      <c r="E3">
        <f t="shared" ref="E3:E13" si="3">+E4-0.1</f>
        <v>60.16999999999998</v>
      </c>
      <c r="F3">
        <f t="shared" ref="F3:F13" si="4">+F4-0.1</f>
        <v>51.499999999999986</v>
      </c>
      <c r="G3">
        <f t="shared" ref="G3:G13" si="5">+G4-0.1</f>
        <v>57.91999999999998</v>
      </c>
      <c r="H3">
        <f t="shared" ref="H3:H13" si="6">+H4-0.1</f>
        <v>70.260000000000062</v>
      </c>
      <c r="I3">
        <f t="shared" ref="I3:I13" si="7">+I4-0.1</f>
        <v>62.059999999999981</v>
      </c>
      <c r="J3">
        <f t="shared" ref="J3:J13" si="8">+J4-0.1</f>
        <v>55.579999999999984</v>
      </c>
      <c r="K3">
        <f t="shared" ref="K3:K13" si="9">+K4-0.1</f>
        <v>57.789999999999985</v>
      </c>
      <c r="L3">
        <f t="shared" ref="L3:L13" si="10">+L4-0.1</f>
        <v>51.499999999999986</v>
      </c>
      <c r="M3">
        <f t="shared" ref="M3:M13" si="11">+M4-0.1</f>
        <v>97.700000000000074</v>
      </c>
      <c r="N3">
        <f t="shared" ref="N3:N13" si="12">+N4-0.1</f>
        <v>92.900000000000063</v>
      </c>
      <c r="O3">
        <f t="shared" ref="O3:O13" si="13">+O4-0.1</f>
        <v>87.200000000000074</v>
      </c>
      <c r="P3">
        <f t="shared" ref="P3:P13" si="14">+P4-0.1</f>
        <v>86.630000000000067</v>
      </c>
      <c r="Q3">
        <f t="shared" ref="Q3:Q13" si="15">+Q4-0.1</f>
        <v>73.500000000000071</v>
      </c>
      <c r="R3">
        <f t="shared" ref="R3:R13" si="16">+R4-0.1</f>
        <v>90.560000000000073</v>
      </c>
      <c r="S3">
        <f t="shared" ref="S3:S13" si="17">+S4-0.1</f>
        <v>94.600000000000065</v>
      </c>
      <c r="T3">
        <f t="shared" ref="T3:T13" si="18">+T4-0.1</f>
        <v>90.550000000000068</v>
      </c>
      <c r="U3">
        <f t="shared" ref="U3:U13" si="19">+U4-0.1</f>
        <v>84.800000000000068</v>
      </c>
      <c r="V3">
        <f t="shared" ref="V3:V13" si="20">+V4-0.1</f>
        <v>83.600000000000065</v>
      </c>
      <c r="W3">
        <f t="shared" ref="W3:W13" si="21">+W4-0.1</f>
        <v>71.800000000000068</v>
      </c>
      <c r="X3">
        <f t="shared" ref="X3:X13" si="22">+X4-0.1</f>
        <v>88.210000000000065</v>
      </c>
      <c r="AA3">
        <v>1132</v>
      </c>
    </row>
    <row r="4" spans="1:28">
      <c r="A4" s="1">
        <v>45570</v>
      </c>
      <c r="B4">
        <f t="shared" si="0"/>
        <v>71.500000000000057</v>
      </c>
      <c r="C4">
        <f t="shared" si="1"/>
        <v>63.900000000000055</v>
      </c>
      <c r="D4">
        <f t="shared" si="2"/>
        <v>55.809999999999981</v>
      </c>
      <c r="E4">
        <f t="shared" si="3"/>
        <v>60.269999999999982</v>
      </c>
      <c r="F4">
        <f t="shared" si="4"/>
        <v>51.599999999999987</v>
      </c>
      <c r="G4">
        <f t="shared" si="5"/>
        <v>58.019999999999982</v>
      </c>
      <c r="H4">
        <f t="shared" si="6"/>
        <v>70.360000000000056</v>
      </c>
      <c r="I4">
        <f t="shared" si="7"/>
        <v>62.159999999999982</v>
      </c>
      <c r="J4">
        <f t="shared" si="8"/>
        <v>55.679999999999986</v>
      </c>
      <c r="K4">
        <f t="shared" si="9"/>
        <v>57.889999999999986</v>
      </c>
      <c r="L4">
        <f t="shared" si="10"/>
        <v>51.599999999999987</v>
      </c>
      <c r="M4">
        <f t="shared" si="11"/>
        <v>97.800000000000068</v>
      </c>
      <c r="N4">
        <f t="shared" si="12"/>
        <v>93.000000000000057</v>
      </c>
      <c r="O4">
        <f t="shared" si="13"/>
        <v>87.300000000000068</v>
      </c>
      <c r="P4">
        <f t="shared" si="14"/>
        <v>86.730000000000061</v>
      </c>
      <c r="Q4">
        <f t="shared" si="15"/>
        <v>73.600000000000065</v>
      </c>
      <c r="R4">
        <f t="shared" si="16"/>
        <v>90.660000000000068</v>
      </c>
      <c r="S4">
        <f t="shared" si="17"/>
        <v>94.70000000000006</v>
      </c>
      <c r="T4">
        <f t="shared" si="18"/>
        <v>90.650000000000063</v>
      </c>
      <c r="U4">
        <f t="shared" si="19"/>
        <v>84.900000000000063</v>
      </c>
      <c r="V4">
        <f t="shared" si="20"/>
        <v>83.70000000000006</v>
      </c>
      <c r="W4">
        <f t="shared" si="21"/>
        <v>71.900000000000063</v>
      </c>
      <c r="X4">
        <f t="shared" si="22"/>
        <v>88.310000000000059</v>
      </c>
      <c r="AA4" s="7">
        <f>+AA3+1</f>
        <v>1133</v>
      </c>
    </row>
    <row r="5" spans="1:28">
      <c r="A5" s="1">
        <v>45571</v>
      </c>
      <c r="B5">
        <f t="shared" si="0"/>
        <v>71.600000000000051</v>
      </c>
      <c r="C5">
        <f t="shared" si="1"/>
        <v>64.000000000000057</v>
      </c>
      <c r="D5">
        <f t="shared" si="2"/>
        <v>55.909999999999982</v>
      </c>
      <c r="E5">
        <f t="shared" si="3"/>
        <v>60.369999999999983</v>
      </c>
      <c r="F5">
        <f t="shared" si="4"/>
        <v>51.699999999999989</v>
      </c>
      <c r="G5">
        <f t="shared" si="5"/>
        <v>58.119999999999983</v>
      </c>
      <c r="H5">
        <f t="shared" si="6"/>
        <v>70.460000000000051</v>
      </c>
      <c r="I5">
        <f t="shared" si="7"/>
        <v>62.259999999999984</v>
      </c>
      <c r="J5">
        <f t="shared" si="8"/>
        <v>55.779999999999987</v>
      </c>
      <c r="K5">
        <f t="shared" si="9"/>
        <v>57.989999999999988</v>
      </c>
      <c r="L5">
        <f t="shared" si="10"/>
        <v>51.699999999999989</v>
      </c>
      <c r="M5">
        <f t="shared" si="11"/>
        <v>97.900000000000063</v>
      </c>
      <c r="N5">
        <f t="shared" si="12"/>
        <v>93.100000000000051</v>
      </c>
      <c r="O5">
        <f t="shared" si="13"/>
        <v>87.400000000000063</v>
      </c>
      <c r="P5">
        <f t="shared" si="14"/>
        <v>86.830000000000055</v>
      </c>
      <c r="Q5">
        <f t="shared" si="15"/>
        <v>73.70000000000006</v>
      </c>
      <c r="R5">
        <f t="shared" si="16"/>
        <v>90.760000000000062</v>
      </c>
      <c r="S5">
        <f t="shared" si="17"/>
        <v>94.800000000000054</v>
      </c>
      <c r="T5">
        <f t="shared" si="18"/>
        <v>90.750000000000057</v>
      </c>
      <c r="U5">
        <f t="shared" si="19"/>
        <v>85.000000000000057</v>
      </c>
      <c r="V5">
        <f t="shared" si="20"/>
        <v>83.800000000000054</v>
      </c>
      <c r="W5">
        <f t="shared" si="21"/>
        <v>72.000000000000057</v>
      </c>
      <c r="X5">
        <f t="shared" si="22"/>
        <v>88.410000000000053</v>
      </c>
      <c r="AA5" s="7">
        <f t="shared" ref="AA5:AA68" si="23">+AA4+1</f>
        <v>1134</v>
      </c>
    </row>
    <row r="6" spans="1:28">
      <c r="A6" s="1">
        <v>45572</v>
      </c>
      <c r="B6">
        <f t="shared" si="0"/>
        <v>71.700000000000045</v>
      </c>
      <c r="C6">
        <f t="shared" si="1"/>
        <v>64.100000000000051</v>
      </c>
      <c r="D6">
        <f t="shared" si="2"/>
        <v>56.009999999999984</v>
      </c>
      <c r="E6">
        <f t="shared" si="3"/>
        <v>60.469999999999985</v>
      </c>
      <c r="F6">
        <f t="shared" si="4"/>
        <v>51.79999999999999</v>
      </c>
      <c r="G6">
        <f t="shared" si="5"/>
        <v>58.219999999999985</v>
      </c>
      <c r="H6">
        <f t="shared" si="6"/>
        <v>70.560000000000045</v>
      </c>
      <c r="I6">
        <f t="shared" si="7"/>
        <v>62.359999999999985</v>
      </c>
      <c r="J6">
        <f t="shared" si="8"/>
        <v>55.879999999999988</v>
      </c>
      <c r="K6">
        <f t="shared" si="9"/>
        <v>58.089999999999989</v>
      </c>
      <c r="L6">
        <f t="shared" si="10"/>
        <v>51.79999999999999</v>
      </c>
      <c r="M6">
        <f t="shared" si="11"/>
        <v>98.000000000000057</v>
      </c>
      <c r="N6">
        <f t="shared" si="12"/>
        <v>93.200000000000045</v>
      </c>
      <c r="O6">
        <f t="shared" si="13"/>
        <v>87.500000000000057</v>
      </c>
      <c r="P6">
        <f t="shared" si="14"/>
        <v>86.930000000000049</v>
      </c>
      <c r="Q6">
        <f t="shared" si="15"/>
        <v>73.800000000000054</v>
      </c>
      <c r="R6">
        <f t="shared" si="16"/>
        <v>90.860000000000056</v>
      </c>
      <c r="S6">
        <f t="shared" si="17"/>
        <v>94.900000000000048</v>
      </c>
      <c r="T6">
        <f t="shared" si="18"/>
        <v>90.850000000000051</v>
      </c>
      <c r="U6">
        <f t="shared" si="19"/>
        <v>85.100000000000051</v>
      </c>
      <c r="V6">
        <f t="shared" si="20"/>
        <v>83.900000000000048</v>
      </c>
      <c r="W6">
        <f t="shared" si="21"/>
        <v>72.100000000000051</v>
      </c>
      <c r="X6">
        <f t="shared" si="22"/>
        <v>88.510000000000048</v>
      </c>
      <c r="AA6" s="7">
        <f t="shared" si="23"/>
        <v>1135</v>
      </c>
    </row>
    <row r="7" spans="1:28">
      <c r="A7" s="1">
        <v>45573</v>
      </c>
      <c r="B7">
        <f t="shared" si="0"/>
        <v>71.80000000000004</v>
      </c>
      <c r="C7">
        <f t="shared" si="1"/>
        <v>64.200000000000045</v>
      </c>
      <c r="D7">
        <f t="shared" si="2"/>
        <v>56.109999999999985</v>
      </c>
      <c r="E7">
        <f t="shared" si="3"/>
        <v>60.569999999999986</v>
      </c>
      <c r="F7">
        <f t="shared" si="4"/>
        <v>51.899999999999991</v>
      </c>
      <c r="G7">
        <f t="shared" si="5"/>
        <v>58.319999999999986</v>
      </c>
      <c r="H7">
        <f t="shared" si="6"/>
        <v>70.660000000000039</v>
      </c>
      <c r="I7">
        <f t="shared" si="7"/>
        <v>62.459999999999987</v>
      </c>
      <c r="J7">
        <f t="shared" si="8"/>
        <v>55.97999999999999</v>
      </c>
      <c r="K7">
        <f t="shared" si="9"/>
        <v>58.189999999999991</v>
      </c>
      <c r="L7">
        <f t="shared" si="10"/>
        <v>51.899999999999991</v>
      </c>
      <c r="M7">
        <f t="shared" si="11"/>
        <v>98.100000000000051</v>
      </c>
      <c r="N7">
        <f t="shared" si="12"/>
        <v>93.30000000000004</v>
      </c>
      <c r="O7">
        <f t="shared" si="13"/>
        <v>87.600000000000051</v>
      </c>
      <c r="P7">
        <f t="shared" si="14"/>
        <v>87.030000000000044</v>
      </c>
      <c r="Q7">
        <f t="shared" si="15"/>
        <v>73.900000000000048</v>
      </c>
      <c r="R7">
        <f t="shared" si="16"/>
        <v>90.960000000000051</v>
      </c>
      <c r="S7">
        <f t="shared" si="17"/>
        <v>95.000000000000043</v>
      </c>
      <c r="T7">
        <f t="shared" si="18"/>
        <v>90.950000000000045</v>
      </c>
      <c r="U7">
        <f t="shared" si="19"/>
        <v>85.200000000000045</v>
      </c>
      <c r="V7">
        <f t="shared" si="20"/>
        <v>84.000000000000043</v>
      </c>
      <c r="W7">
        <f t="shared" si="21"/>
        <v>72.200000000000045</v>
      </c>
      <c r="X7">
        <f t="shared" si="22"/>
        <v>88.610000000000042</v>
      </c>
      <c r="AA7" s="7">
        <f t="shared" si="23"/>
        <v>1136</v>
      </c>
    </row>
    <row r="8" spans="1:28">
      <c r="A8" s="1">
        <v>45574</v>
      </c>
      <c r="B8">
        <f t="shared" si="0"/>
        <v>71.900000000000034</v>
      </c>
      <c r="C8">
        <f t="shared" si="1"/>
        <v>64.30000000000004</v>
      </c>
      <c r="D8">
        <f t="shared" si="2"/>
        <v>56.209999999999987</v>
      </c>
      <c r="E8">
        <f t="shared" si="3"/>
        <v>60.669999999999987</v>
      </c>
      <c r="F8">
        <f t="shared" si="4"/>
        <v>51.999999999999993</v>
      </c>
      <c r="G8">
        <f t="shared" si="5"/>
        <v>58.419999999999987</v>
      </c>
      <c r="H8">
        <f t="shared" si="6"/>
        <v>70.760000000000034</v>
      </c>
      <c r="I8">
        <f t="shared" si="7"/>
        <v>62.559999999999988</v>
      </c>
      <c r="J8">
        <f t="shared" si="8"/>
        <v>56.079999999999991</v>
      </c>
      <c r="K8">
        <f t="shared" si="9"/>
        <v>58.289999999999992</v>
      </c>
      <c r="L8">
        <f t="shared" si="10"/>
        <v>51.999999999999993</v>
      </c>
      <c r="M8">
        <f t="shared" si="11"/>
        <v>98.200000000000045</v>
      </c>
      <c r="N8">
        <f t="shared" si="12"/>
        <v>93.400000000000034</v>
      </c>
      <c r="O8">
        <f t="shared" si="13"/>
        <v>87.700000000000045</v>
      </c>
      <c r="P8">
        <f t="shared" si="14"/>
        <v>87.130000000000038</v>
      </c>
      <c r="Q8">
        <f t="shared" si="15"/>
        <v>74.000000000000043</v>
      </c>
      <c r="R8">
        <f t="shared" si="16"/>
        <v>91.060000000000045</v>
      </c>
      <c r="S8">
        <f t="shared" si="17"/>
        <v>95.100000000000037</v>
      </c>
      <c r="T8">
        <f t="shared" si="18"/>
        <v>91.05000000000004</v>
      </c>
      <c r="U8">
        <f t="shared" si="19"/>
        <v>85.30000000000004</v>
      </c>
      <c r="V8">
        <f t="shared" si="20"/>
        <v>84.100000000000037</v>
      </c>
      <c r="W8">
        <f t="shared" si="21"/>
        <v>72.30000000000004</v>
      </c>
      <c r="X8">
        <f t="shared" si="22"/>
        <v>88.710000000000036</v>
      </c>
      <c r="AA8" s="7">
        <f t="shared" si="23"/>
        <v>1137</v>
      </c>
    </row>
    <row r="9" spans="1:28">
      <c r="A9" s="1">
        <v>45575</v>
      </c>
      <c r="B9">
        <f t="shared" si="0"/>
        <v>72.000000000000028</v>
      </c>
      <c r="C9">
        <f t="shared" si="1"/>
        <v>64.400000000000034</v>
      </c>
      <c r="D9">
        <f t="shared" si="2"/>
        <v>56.309999999999988</v>
      </c>
      <c r="E9">
        <f t="shared" si="3"/>
        <v>60.769999999999989</v>
      </c>
      <c r="F9">
        <f t="shared" si="4"/>
        <v>52.099999999999994</v>
      </c>
      <c r="G9">
        <f t="shared" si="5"/>
        <v>58.519999999999989</v>
      </c>
      <c r="H9">
        <f t="shared" si="6"/>
        <v>70.860000000000028</v>
      </c>
      <c r="I9">
        <f t="shared" si="7"/>
        <v>62.659999999999989</v>
      </c>
      <c r="J9">
        <f t="shared" si="8"/>
        <v>56.179999999999993</v>
      </c>
      <c r="K9">
        <f t="shared" si="9"/>
        <v>58.389999999999993</v>
      </c>
      <c r="L9">
        <f t="shared" si="10"/>
        <v>52.099999999999994</v>
      </c>
      <c r="M9">
        <f t="shared" si="11"/>
        <v>98.30000000000004</v>
      </c>
      <c r="N9">
        <f t="shared" si="12"/>
        <v>93.500000000000028</v>
      </c>
      <c r="O9">
        <f t="shared" si="13"/>
        <v>87.80000000000004</v>
      </c>
      <c r="P9">
        <f t="shared" si="14"/>
        <v>87.230000000000032</v>
      </c>
      <c r="Q9">
        <f t="shared" si="15"/>
        <v>74.100000000000037</v>
      </c>
      <c r="R9">
        <f t="shared" si="16"/>
        <v>91.160000000000039</v>
      </c>
      <c r="S9">
        <f t="shared" si="17"/>
        <v>95.200000000000031</v>
      </c>
      <c r="T9">
        <f t="shared" si="18"/>
        <v>91.150000000000034</v>
      </c>
      <c r="U9">
        <f t="shared" si="19"/>
        <v>85.400000000000034</v>
      </c>
      <c r="V9">
        <f t="shared" si="20"/>
        <v>84.200000000000031</v>
      </c>
      <c r="W9">
        <f t="shared" si="21"/>
        <v>72.400000000000034</v>
      </c>
      <c r="X9">
        <f t="shared" si="22"/>
        <v>88.810000000000031</v>
      </c>
      <c r="AA9" s="7">
        <f t="shared" si="23"/>
        <v>1138</v>
      </c>
    </row>
    <row r="10" spans="1:28">
      <c r="A10" s="1">
        <v>45576</v>
      </c>
      <c r="B10">
        <f t="shared" si="0"/>
        <v>72.100000000000023</v>
      </c>
      <c r="C10">
        <f t="shared" si="1"/>
        <v>64.500000000000028</v>
      </c>
      <c r="D10">
        <f t="shared" si="2"/>
        <v>56.409999999999989</v>
      </c>
      <c r="E10">
        <f t="shared" si="3"/>
        <v>60.86999999999999</v>
      </c>
      <c r="F10">
        <f t="shared" si="4"/>
        <v>52.199999999999996</v>
      </c>
      <c r="G10">
        <f t="shared" si="5"/>
        <v>58.61999999999999</v>
      </c>
      <c r="H10">
        <f t="shared" si="6"/>
        <v>70.960000000000022</v>
      </c>
      <c r="I10">
        <f t="shared" si="7"/>
        <v>62.759999999999991</v>
      </c>
      <c r="J10">
        <f t="shared" si="8"/>
        <v>56.279999999999994</v>
      </c>
      <c r="K10">
        <f t="shared" si="9"/>
        <v>58.489999999999995</v>
      </c>
      <c r="L10">
        <f t="shared" si="10"/>
        <v>52.199999999999996</v>
      </c>
      <c r="M10">
        <f t="shared" si="11"/>
        <v>98.400000000000034</v>
      </c>
      <c r="N10">
        <f t="shared" si="12"/>
        <v>93.600000000000023</v>
      </c>
      <c r="O10">
        <f t="shared" si="13"/>
        <v>87.900000000000034</v>
      </c>
      <c r="P10">
        <f t="shared" si="14"/>
        <v>87.330000000000027</v>
      </c>
      <c r="Q10">
        <f t="shared" si="15"/>
        <v>74.200000000000031</v>
      </c>
      <c r="R10">
        <f t="shared" si="16"/>
        <v>91.260000000000034</v>
      </c>
      <c r="S10">
        <f t="shared" si="17"/>
        <v>95.300000000000026</v>
      </c>
      <c r="T10">
        <f t="shared" si="18"/>
        <v>91.250000000000028</v>
      </c>
      <c r="U10">
        <f t="shared" si="19"/>
        <v>85.500000000000028</v>
      </c>
      <c r="V10">
        <f t="shared" si="20"/>
        <v>84.300000000000026</v>
      </c>
      <c r="W10">
        <f t="shared" si="21"/>
        <v>72.500000000000028</v>
      </c>
      <c r="X10">
        <f t="shared" si="22"/>
        <v>88.910000000000025</v>
      </c>
      <c r="AA10" s="7">
        <f t="shared" si="23"/>
        <v>1139</v>
      </c>
    </row>
    <row r="11" spans="1:28">
      <c r="A11" s="1">
        <v>45577</v>
      </c>
      <c r="B11">
        <f t="shared" si="0"/>
        <v>72.200000000000017</v>
      </c>
      <c r="C11">
        <f t="shared" si="1"/>
        <v>64.600000000000023</v>
      </c>
      <c r="D11">
        <f t="shared" si="2"/>
        <v>56.509999999999991</v>
      </c>
      <c r="E11">
        <f t="shared" si="3"/>
        <v>60.969999999999992</v>
      </c>
      <c r="F11">
        <f t="shared" si="4"/>
        <v>52.3</v>
      </c>
      <c r="G11">
        <f t="shared" si="5"/>
        <v>58.719999999999992</v>
      </c>
      <c r="H11">
        <f t="shared" si="6"/>
        <v>71.060000000000016</v>
      </c>
      <c r="I11">
        <f t="shared" si="7"/>
        <v>62.859999999999992</v>
      </c>
      <c r="J11">
        <f t="shared" si="8"/>
        <v>56.379999999999995</v>
      </c>
      <c r="K11">
        <f t="shared" si="9"/>
        <v>58.589999999999996</v>
      </c>
      <c r="L11">
        <f t="shared" si="10"/>
        <v>52.3</v>
      </c>
      <c r="M11">
        <f t="shared" si="11"/>
        <v>98.500000000000028</v>
      </c>
      <c r="N11">
        <f t="shared" si="12"/>
        <v>93.700000000000017</v>
      </c>
      <c r="O11">
        <f t="shared" si="13"/>
        <v>88.000000000000028</v>
      </c>
      <c r="P11">
        <f t="shared" si="14"/>
        <v>87.430000000000021</v>
      </c>
      <c r="Q11">
        <f t="shared" si="15"/>
        <v>74.300000000000026</v>
      </c>
      <c r="R11">
        <f t="shared" si="16"/>
        <v>91.360000000000028</v>
      </c>
      <c r="S11">
        <f t="shared" si="17"/>
        <v>95.40000000000002</v>
      </c>
      <c r="T11">
        <f t="shared" si="18"/>
        <v>91.350000000000023</v>
      </c>
      <c r="U11">
        <f t="shared" si="19"/>
        <v>85.600000000000023</v>
      </c>
      <c r="V11">
        <f t="shared" si="20"/>
        <v>84.40000000000002</v>
      </c>
      <c r="W11">
        <f t="shared" si="21"/>
        <v>72.600000000000023</v>
      </c>
      <c r="X11">
        <f t="shared" si="22"/>
        <v>89.010000000000019</v>
      </c>
      <c r="AA11" s="7">
        <f t="shared" si="23"/>
        <v>1140</v>
      </c>
    </row>
    <row r="12" spans="1:28">
      <c r="A12" s="1">
        <v>45578</v>
      </c>
      <c r="B12">
        <f t="shared" si="0"/>
        <v>72.300000000000011</v>
      </c>
      <c r="C12">
        <f t="shared" si="1"/>
        <v>64.700000000000017</v>
      </c>
      <c r="D12">
        <f t="shared" si="2"/>
        <v>56.609999999999992</v>
      </c>
      <c r="E12">
        <f t="shared" si="3"/>
        <v>61.069999999999993</v>
      </c>
      <c r="F12">
        <f t="shared" si="4"/>
        <v>52.4</v>
      </c>
      <c r="G12">
        <f t="shared" si="5"/>
        <v>58.819999999999993</v>
      </c>
      <c r="H12">
        <f t="shared" si="6"/>
        <v>71.160000000000011</v>
      </c>
      <c r="I12">
        <f t="shared" si="7"/>
        <v>62.959999999999994</v>
      </c>
      <c r="J12">
        <f t="shared" si="8"/>
        <v>56.48</v>
      </c>
      <c r="K12">
        <f t="shared" si="9"/>
        <v>58.69</v>
      </c>
      <c r="L12">
        <f t="shared" si="10"/>
        <v>52.4</v>
      </c>
      <c r="M12">
        <f t="shared" si="11"/>
        <v>98.600000000000023</v>
      </c>
      <c r="N12">
        <f t="shared" si="12"/>
        <v>93.800000000000011</v>
      </c>
      <c r="O12">
        <f t="shared" si="13"/>
        <v>88.100000000000023</v>
      </c>
      <c r="P12">
        <f t="shared" si="14"/>
        <v>87.530000000000015</v>
      </c>
      <c r="Q12">
        <f t="shared" si="15"/>
        <v>74.40000000000002</v>
      </c>
      <c r="R12">
        <f t="shared" si="16"/>
        <v>91.460000000000022</v>
      </c>
      <c r="S12">
        <f t="shared" si="17"/>
        <v>95.500000000000014</v>
      </c>
      <c r="T12">
        <f t="shared" si="18"/>
        <v>91.450000000000017</v>
      </c>
      <c r="U12">
        <f t="shared" si="19"/>
        <v>85.700000000000017</v>
      </c>
      <c r="V12">
        <f t="shared" si="20"/>
        <v>84.500000000000014</v>
      </c>
      <c r="W12">
        <f t="shared" si="21"/>
        <v>72.700000000000017</v>
      </c>
      <c r="X12">
        <f t="shared" si="22"/>
        <v>89.110000000000014</v>
      </c>
      <c r="AA12" s="7">
        <f t="shared" si="23"/>
        <v>1141</v>
      </c>
    </row>
    <row r="13" spans="1:28">
      <c r="A13" s="1">
        <v>45579</v>
      </c>
      <c r="B13">
        <f t="shared" si="0"/>
        <v>72.400000000000006</v>
      </c>
      <c r="C13">
        <f t="shared" si="1"/>
        <v>64.800000000000011</v>
      </c>
      <c r="D13">
        <f t="shared" si="2"/>
        <v>56.709999999999994</v>
      </c>
      <c r="E13">
        <f t="shared" si="3"/>
        <v>61.169999999999995</v>
      </c>
      <c r="F13">
        <f t="shared" si="4"/>
        <v>52.5</v>
      </c>
      <c r="G13">
        <f t="shared" si="5"/>
        <v>58.919999999999995</v>
      </c>
      <c r="H13">
        <f t="shared" si="6"/>
        <v>71.260000000000005</v>
      </c>
      <c r="I13">
        <f t="shared" si="7"/>
        <v>63.059999999999995</v>
      </c>
      <c r="J13">
        <f t="shared" si="8"/>
        <v>56.58</v>
      </c>
      <c r="K13">
        <f t="shared" si="9"/>
        <v>58.79</v>
      </c>
      <c r="L13">
        <f t="shared" si="10"/>
        <v>52.5</v>
      </c>
      <c r="M13">
        <f t="shared" si="11"/>
        <v>98.700000000000017</v>
      </c>
      <c r="N13">
        <f t="shared" si="12"/>
        <v>93.9</v>
      </c>
      <c r="O13">
        <f t="shared" si="13"/>
        <v>88.200000000000017</v>
      </c>
      <c r="P13">
        <f t="shared" si="14"/>
        <v>87.63000000000001</v>
      </c>
      <c r="Q13">
        <f t="shared" si="15"/>
        <v>74.500000000000014</v>
      </c>
      <c r="R13">
        <f t="shared" si="16"/>
        <v>91.560000000000016</v>
      </c>
      <c r="S13">
        <f t="shared" si="17"/>
        <v>95.600000000000009</v>
      </c>
      <c r="T13">
        <f t="shared" si="18"/>
        <v>91.550000000000011</v>
      </c>
      <c r="U13">
        <f t="shared" si="19"/>
        <v>85.800000000000011</v>
      </c>
      <c r="V13">
        <f t="shared" si="20"/>
        <v>84.600000000000009</v>
      </c>
      <c r="W13">
        <f t="shared" si="21"/>
        <v>72.800000000000011</v>
      </c>
      <c r="X13">
        <f t="shared" si="22"/>
        <v>89.210000000000008</v>
      </c>
      <c r="AA13" s="7">
        <f t="shared" si="23"/>
        <v>1142</v>
      </c>
    </row>
    <row r="14" spans="1:28">
      <c r="A14" s="1">
        <v>45580</v>
      </c>
      <c r="B14">
        <f>+B15-0.1</f>
        <v>72.5</v>
      </c>
      <c r="C14">
        <f t="shared" ref="C14:X14" si="24">+C15-0.1</f>
        <v>64.900000000000006</v>
      </c>
      <c r="D14">
        <f t="shared" si="24"/>
        <v>56.809999999999995</v>
      </c>
      <c r="E14">
        <f t="shared" si="24"/>
        <v>61.269999999999996</v>
      </c>
      <c r="F14">
        <f t="shared" si="24"/>
        <v>52.6</v>
      </c>
      <c r="G14">
        <f t="shared" si="24"/>
        <v>59.019999999999996</v>
      </c>
      <c r="H14">
        <f t="shared" si="24"/>
        <v>71.36</v>
      </c>
      <c r="I14">
        <f t="shared" si="24"/>
        <v>63.16</v>
      </c>
      <c r="J14">
        <f t="shared" si="24"/>
        <v>56.68</v>
      </c>
      <c r="K14">
        <f t="shared" si="24"/>
        <v>58.89</v>
      </c>
      <c r="L14">
        <f t="shared" si="24"/>
        <v>52.6</v>
      </c>
      <c r="M14">
        <f t="shared" si="24"/>
        <v>98.800000000000011</v>
      </c>
      <c r="N14">
        <f t="shared" si="24"/>
        <v>94</v>
      </c>
      <c r="O14">
        <f t="shared" si="24"/>
        <v>88.300000000000011</v>
      </c>
      <c r="P14">
        <f t="shared" si="24"/>
        <v>87.73</v>
      </c>
      <c r="Q14">
        <f t="shared" si="24"/>
        <v>74.600000000000009</v>
      </c>
      <c r="R14">
        <f t="shared" si="24"/>
        <v>91.660000000000011</v>
      </c>
      <c r="S14">
        <f t="shared" si="24"/>
        <v>95.7</v>
      </c>
      <c r="T14">
        <f t="shared" si="24"/>
        <v>91.65</v>
      </c>
      <c r="U14">
        <f t="shared" si="24"/>
        <v>85.9</v>
      </c>
      <c r="V14">
        <f t="shared" si="24"/>
        <v>84.7</v>
      </c>
      <c r="W14">
        <f t="shared" si="24"/>
        <v>72.900000000000006</v>
      </c>
      <c r="X14">
        <f t="shared" si="24"/>
        <v>89.31</v>
      </c>
      <c r="AA14" s="7">
        <f t="shared" si="23"/>
        <v>1143</v>
      </c>
    </row>
    <row r="15" spans="1:28">
      <c r="A15" s="1">
        <v>45581</v>
      </c>
      <c r="B15">
        <v>72.599999999999994</v>
      </c>
      <c r="C15">
        <v>65</v>
      </c>
      <c r="D15">
        <v>56.91</v>
      </c>
      <c r="E15">
        <v>61.37</v>
      </c>
      <c r="F15">
        <v>52.7</v>
      </c>
      <c r="G15">
        <v>59.12</v>
      </c>
      <c r="H15">
        <v>71.459999999999994</v>
      </c>
      <c r="I15">
        <v>63.26</v>
      </c>
      <c r="J15">
        <v>56.78</v>
      </c>
      <c r="K15">
        <v>58.99</v>
      </c>
      <c r="L15">
        <v>52.7</v>
      </c>
      <c r="M15">
        <v>98.9</v>
      </c>
      <c r="N15">
        <v>94.1</v>
      </c>
      <c r="O15">
        <v>88.4</v>
      </c>
      <c r="P15">
        <v>87.83</v>
      </c>
      <c r="Q15">
        <v>74.7</v>
      </c>
      <c r="R15">
        <v>91.76</v>
      </c>
      <c r="S15">
        <v>95.8</v>
      </c>
      <c r="T15">
        <v>91.75</v>
      </c>
      <c r="U15">
        <v>86</v>
      </c>
      <c r="V15">
        <v>84.8</v>
      </c>
      <c r="W15">
        <v>73</v>
      </c>
      <c r="X15">
        <v>89.41</v>
      </c>
      <c r="AA15" s="7">
        <f t="shared" si="23"/>
        <v>1144</v>
      </c>
    </row>
    <row r="16" spans="1:28">
      <c r="A16" s="1">
        <v>45582</v>
      </c>
      <c r="B16">
        <v>71.900000000000006</v>
      </c>
      <c r="C16">
        <v>64.2</v>
      </c>
      <c r="D16">
        <v>55.65</v>
      </c>
      <c r="E16">
        <v>60.43</v>
      </c>
      <c r="F16">
        <v>51.69</v>
      </c>
      <c r="G16">
        <v>57.3</v>
      </c>
      <c r="H16">
        <v>69.7</v>
      </c>
      <c r="I16">
        <v>62.28</v>
      </c>
      <c r="J16">
        <v>55.2</v>
      </c>
      <c r="K16">
        <v>58.3</v>
      </c>
      <c r="L16">
        <v>51.22</v>
      </c>
      <c r="M16">
        <v>98.5</v>
      </c>
      <c r="N16">
        <v>93.89</v>
      </c>
      <c r="O16">
        <v>88.5</v>
      </c>
      <c r="P16">
        <v>86.7</v>
      </c>
      <c r="Q16">
        <v>75.3</v>
      </c>
      <c r="R16">
        <v>91.1</v>
      </c>
      <c r="S16">
        <v>95.7</v>
      </c>
      <c r="T16">
        <v>91.1</v>
      </c>
      <c r="U16">
        <v>85.25</v>
      </c>
      <c r="V16">
        <v>84.35</v>
      </c>
      <c r="W16">
        <v>73.25</v>
      </c>
      <c r="X16">
        <v>88.5</v>
      </c>
      <c r="AA16" s="7">
        <f t="shared" si="23"/>
        <v>1145</v>
      </c>
    </row>
    <row r="17" spans="1:27">
      <c r="A17" s="1">
        <v>45583</v>
      </c>
      <c r="B17">
        <v>72.599999999999994</v>
      </c>
      <c r="C17">
        <v>63.9</v>
      </c>
      <c r="D17">
        <v>56</v>
      </c>
      <c r="E17">
        <v>60.4</v>
      </c>
      <c r="F17">
        <v>51.81</v>
      </c>
      <c r="G17">
        <v>58</v>
      </c>
      <c r="H17">
        <v>70.400000000000006</v>
      </c>
      <c r="I17">
        <v>62.12</v>
      </c>
      <c r="J17">
        <v>55.78</v>
      </c>
      <c r="K17">
        <v>59</v>
      </c>
      <c r="L17">
        <v>51</v>
      </c>
      <c r="M17">
        <v>99</v>
      </c>
      <c r="N17">
        <v>93.64</v>
      </c>
      <c r="O17">
        <v>88.99</v>
      </c>
      <c r="P17">
        <v>87.31</v>
      </c>
      <c r="Q17">
        <v>74.94</v>
      </c>
      <c r="R17">
        <v>90.88</v>
      </c>
      <c r="S17">
        <v>95.9</v>
      </c>
      <c r="T17">
        <v>91.2</v>
      </c>
      <c r="U17">
        <v>85.86</v>
      </c>
      <c r="V17">
        <v>84.5</v>
      </c>
      <c r="W17">
        <v>73.5</v>
      </c>
      <c r="X17">
        <v>88.3</v>
      </c>
      <c r="AA17" s="7">
        <f t="shared" si="23"/>
        <v>1146</v>
      </c>
    </row>
    <row r="18" spans="1:27">
      <c r="A18" s="1">
        <v>45586</v>
      </c>
      <c r="B18">
        <v>71.5</v>
      </c>
      <c r="C18">
        <v>63.66</v>
      </c>
      <c r="D18">
        <v>55.36</v>
      </c>
      <c r="E18">
        <v>60.2</v>
      </c>
      <c r="F18">
        <v>51.35</v>
      </c>
      <c r="G18">
        <v>58</v>
      </c>
      <c r="H18">
        <v>69.599999999999994</v>
      </c>
      <c r="I18">
        <v>61.7</v>
      </c>
      <c r="J18">
        <v>55.5</v>
      </c>
      <c r="K18">
        <v>58.6</v>
      </c>
      <c r="L18">
        <v>51</v>
      </c>
      <c r="M18">
        <v>98.8</v>
      </c>
      <c r="N18">
        <v>93.62</v>
      </c>
      <c r="O18">
        <v>87.81</v>
      </c>
      <c r="P18">
        <v>86.8</v>
      </c>
      <c r="Q18">
        <v>75.75</v>
      </c>
      <c r="R18">
        <v>90.95</v>
      </c>
      <c r="S18">
        <v>96.4</v>
      </c>
      <c r="T18">
        <v>91.2</v>
      </c>
      <c r="U18">
        <v>85.95</v>
      </c>
      <c r="V18">
        <v>84.5</v>
      </c>
      <c r="W18">
        <v>73.5</v>
      </c>
      <c r="X18">
        <v>88.62</v>
      </c>
      <c r="AA18" s="7">
        <f t="shared" si="23"/>
        <v>1147</v>
      </c>
    </row>
    <row r="19" spans="1:27">
      <c r="A19" s="1">
        <v>45587</v>
      </c>
      <c r="B19">
        <v>71.900000000000006</v>
      </c>
      <c r="C19">
        <v>63.55</v>
      </c>
      <c r="D19">
        <v>54.85</v>
      </c>
      <c r="E19">
        <v>59.57</v>
      </c>
      <c r="F19">
        <v>50.8</v>
      </c>
      <c r="G19">
        <v>57.46</v>
      </c>
      <c r="H19">
        <v>69.540000000000006</v>
      </c>
      <c r="I19">
        <v>61.8</v>
      </c>
      <c r="J19">
        <v>54.67</v>
      </c>
      <c r="K19">
        <v>58.05</v>
      </c>
      <c r="L19">
        <v>50.43</v>
      </c>
      <c r="M19">
        <v>98.3</v>
      </c>
      <c r="N19">
        <v>93.3</v>
      </c>
      <c r="O19">
        <v>88.53</v>
      </c>
      <c r="P19">
        <v>86.79</v>
      </c>
      <c r="Q19">
        <v>75.260000000000005</v>
      </c>
      <c r="R19">
        <v>90.6</v>
      </c>
      <c r="S19">
        <v>96.3</v>
      </c>
      <c r="T19">
        <v>91.25</v>
      </c>
      <c r="U19">
        <v>86.65</v>
      </c>
      <c r="V19">
        <v>84.6</v>
      </c>
      <c r="W19">
        <v>74</v>
      </c>
      <c r="X19">
        <v>88.35</v>
      </c>
      <c r="AA19" s="7">
        <f t="shared" si="23"/>
        <v>1148</v>
      </c>
    </row>
    <row r="20" spans="1:27">
      <c r="A20" s="1">
        <v>45588</v>
      </c>
      <c r="B20">
        <v>71.5</v>
      </c>
      <c r="C20">
        <v>64</v>
      </c>
      <c r="D20">
        <v>55</v>
      </c>
      <c r="E20">
        <v>59.59</v>
      </c>
      <c r="F20">
        <v>51.3</v>
      </c>
      <c r="G20">
        <v>57.29</v>
      </c>
      <c r="H20">
        <v>68.84</v>
      </c>
      <c r="I20">
        <v>61.98</v>
      </c>
      <c r="J20">
        <v>55</v>
      </c>
      <c r="K20">
        <v>58.45</v>
      </c>
      <c r="L20">
        <v>50.4</v>
      </c>
      <c r="M20">
        <v>98.76</v>
      </c>
      <c r="N20">
        <v>93.38</v>
      </c>
      <c r="O20">
        <v>88.49</v>
      </c>
      <c r="P20">
        <v>87</v>
      </c>
      <c r="Q20">
        <v>76.23</v>
      </c>
      <c r="R20">
        <v>90.25</v>
      </c>
      <c r="S20">
        <v>96.75</v>
      </c>
      <c r="T20">
        <v>91.75</v>
      </c>
      <c r="U20">
        <v>86.21</v>
      </c>
      <c r="V20">
        <v>85</v>
      </c>
      <c r="W20">
        <v>74.25</v>
      </c>
      <c r="X20">
        <v>88.25</v>
      </c>
      <c r="AA20" s="7">
        <f t="shared" si="23"/>
        <v>1149</v>
      </c>
    </row>
    <row r="21" spans="1:27">
      <c r="A21" s="1">
        <v>45589</v>
      </c>
      <c r="B21">
        <v>72.709999999999994</v>
      </c>
      <c r="C21">
        <v>65.56</v>
      </c>
      <c r="D21">
        <v>56.3</v>
      </c>
      <c r="E21">
        <v>60.93</v>
      </c>
      <c r="F21">
        <v>52.15</v>
      </c>
      <c r="G21">
        <v>58</v>
      </c>
      <c r="H21">
        <v>70.77</v>
      </c>
      <c r="I21">
        <v>63.5</v>
      </c>
      <c r="J21">
        <v>56.3</v>
      </c>
      <c r="K21">
        <v>59.3</v>
      </c>
      <c r="L21">
        <v>51.98</v>
      </c>
      <c r="M21">
        <v>99.18</v>
      </c>
      <c r="N21">
        <v>94.39</v>
      </c>
      <c r="O21">
        <v>88.61</v>
      </c>
      <c r="P21">
        <v>87.4</v>
      </c>
      <c r="Q21">
        <v>75.75</v>
      </c>
      <c r="R21">
        <v>91.04</v>
      </c>
      <c r="S21">
        <v>96.8</v>
      </c>
      <c r="T21">
        <v>92.5</v>
      </c>
      <c r="U21">
        <v>87.25</v>
      </c>
      <c r="V21">
        <v>85.75</v>
      </c>
      <c r="W21">
        <v>74.45</v>
      </c>
      <c r="X21">
        <v>89.2</v>
      </c>
      <c r="AA21" s="7">
        <f t="shared" si="23"/>
        <v>1150</v>
      </c>
    </row>
    <row r="22" spans="1:27">
      <c r="A22" s="1">
        <v>45590</v>
      </c>
      <c r="B22">
        <v>72.709999999999994</v>
      </c>
      <c r="C22">
        <v>65.56</v>
      </c>
      <c r="D22">
        <v>56.3</v>
      </c>
      <c r="E22">
        <v>60.93</v>
      </c>
      <c r="F22">
        <v>52.15</v>
      </c>
      <c r="G22">
        <v>58</v>
      </c>
      <c r="H22">
        <v>70.77</v>
      </c>
      <c r="I22">
        <v>63.5</v>
      </c>
      <c r="J22">
        <v>56.3</v>
      </c>
      <c r="K22">
        <v>59.3</v>
      </c>
      <c r="L22">
        <v>51.98</v>
      </c>
      <c r="M22">
        <v>99.18</v>
      </c>
      <c r="N22">
        <v>94.39</v>
      </c>
      <c r="O22">
        <v>88.61</v>
      </c>
      <c r="P22">
        <v>87.4</v>
      </c>
      <c r="Q22">
        <v>75.75</v>
      </c>
      <c r="R22">
        <v>91.04</v>
      </c>
      <c r="S22">
        <v>96.8</v>
      </c>
      <c r="T22">
        <v>92.5</v>
      </c>
      <c r="U22">
        <v>87.25</v>
      </c>
      <c r="V22">
        <v>85.75</v>
      </c>
      <c r="W22">
        <v>74.45</v>
      </c>
      <c r="X22">
        <v>89.2</v>
      </c>
      <c r="AA22" s="7">
        <f t="shared" si="23"/>
        <v>1151</v>
      </c>
    </row>
    <row r="23" spans="1:27">
      <c r="A23" s="1">
        <v>45593</v>
      </c>
      <c r="B23">
        <v>75.75</v>
      </c>
      <c r="C23">
        <v>69.05</v>
      </c>
      <c r="D23">
        <v>59.65</v>
      </c>
      <c r="E23">
        <v>64</v>
      </c>
      <c r="F23">
        <v>55.48</v>
      </c>
      <c r="G23">
        <v>60.99</v>
      </c>
      <c r="H23">
        <v>74</v>
      </c>
      <c r="I23">
        <v>67</v>
      </c>
      <c r="J23">
        <v>59.59</v>
      </c>
      <c r="K23">
        <v>62.98</v>
      </c>
      <c r="L23">
        <v>54.83</v>
      </c>
      <c r="M23">
        <v>100</v>
      </c>
      <c r="N23">
        <v>95.99</v>
      </c>
      <c r="O23">
        <v>91</v>
      </c>
      <c r="P23">
        <v>89.74</v>
      </c>
      <c r="Q23">
        <v>75.5</v>
      </c>
      <c r="R23">
        <v>92</v>
      </c>
      <c r="S23">
        <v>97.79</v>
      </c>
      <c r="T23">
        <v>93.81</v>
      </c>
      <c r="U23">
        <v>89</v>
      </c>
      <c r="V23">
        <v>87.85</v>
      </c>
      <c r="W23">
        <v>74</v>
      </c>
      <c r="X23">
        <v>90.06</v>
      </c>
      <c r="AA23" s="7">
        <f t="shared" si="23"/>
        <v>1152</v>
      </c>
    </row>
    <row r="24" spans="1:27">
      <c r="A24" s="1">
        <v>45594</v>
      </c>
      <c r="B24">
        <v>74.16</v>
      </c>
      <c r="C24">
        <v>67.5</v>
      </c>
      <c r="D24">
        <v>58.7</v>
      </c>
      <c r="E24">
        <v>64.099999999999994</v>
      </c>
      <c r="F24">
        <v>54.78</v>
      </c>
      <c r="G24">
        <v>63</v>
      </c>
      <c r="H24">
        <v>72</v>
      </c>
      <c r="I24">
        <v>65.42</v>
      </c>
      <c r="J24">
        <v>58.9</v>
      </c>
      <c r="K24">
        <v>61.55</v>
      </c>
      <c r="L24">
        <v>54.66</v>
      </c>
      <c r="M24">
        <v>99.2</v>
      </c>
      <c r="N24">
        <v>95.02</v>
      </c>
      <c r="O24">
        <v>89.7</v>
      </c>
      <c r="P24">
        <v>88.85</v>
      </c>
      <c r="Q24">
        <v>74</v>
      </c>
      <c r="R24">
        <v>91.39</v>
      </c>
      <c r="S24">
        <v>97.08</v>
      </c>
      <c r="T24">
        <v>93.35</v>
      </c>
      <c r="U24">
        <v>88.5</v>
      </c>
      <c r="V24">
        <v>87.6</v>
      </c>
      <c r="W24">
        <v>74</v>
      </c>
      <c r="X24">
        <v>89.35</v>
      </c>
      <c r="AA24" s="7">
        <f t="shared" si="23"/>
        <v>1153</v>
      </c>
    </row>
    <row r="25" spans="1:27">
      <c r="A25" s="1">
        <v>45595</v>
      </c>
      <c r="B25">
        <v>73.849999999999994</v>
      </c>
      <c r="C25">
        <v>67</v>
      </c>
      <c r="D25">
        <v>58.4</v>
      </c>
      <c r="E25">
        <v>63.34</v>
      </c>
      <c r="F25">
        <v>54.22</v>
      </c>
      <c r="G25">
        <v>60.56</v>
      </c>
      <c r="H25">
        <v>71.66</v>
      </c>
      <c r="I25">
        <v>64.489999999999995</v>
      </c>
      <c r="J25">
        <v>58.5</v>
      </c>
      <c r="K25">
        <v>61.72</v>
      </c>
      <c r="L25">
        <v>54.05</v>
      </c>
      <c r="M25">
        <v>95.9</v>
      </c>
      <c r="N25">
        <v>91.5</v>
      </c>
      <c r="O25">
        <v>86.5</v>
      </c>
      <c r="P25">
        <v>86.59</v>
      </c>
      <c r="Q25">
        <v>66.75</v>
      </c>
      <c r="R25">
        <v>91.6</v>
      </c>
      <c r="S25">
        <v>93.8</v>
      </c>
      <c r="T25">
        <v>90</v>
      </c>
      <c r="U25">
        <v>85</v>
      </c>
      <c r="V25">
        <v>84.2</v>
      </c>
      <c r="W25">
        <v>66</v>
      </c>
      <c r="X25">
        <v>89.75</v>
      </c>
      <c r="AA25" s="7">
        <f t="shared" si="23"/>
        <v>1154</v>
      </c>
    </row>
    <row r="26" spans="1:27">
      <c r="A26" s="1">
        <v>45596</v>
      </c>
      <c r="B26">
        <v>73.02</v>
      </c>
      <c r="C26">
        <v>66.099999999999994</v>
      </c>
      <c r="D26">
        <v>58.23</v>
      </c>
      <c r="E26">
        <v>63</v>
      </c>
      <c r="F26">
        <v>53.9</v>
      </c>
      <c r="G26">
        <v>60.03</v>
      </c>
      <c r="H26">
        <v>72.19</v>
      </c>
      <c r="I26">
        <v>63.9</v>
      </c>
      <c r="J26">
        <v>58.2</v>
      </c>
      <c r="K26">
        <v>61.23</v>
      </c>
      <c r="L26">
        <v>53.95</v>
      </c>
      <c r="M26">
        <v>96.5</v>
      </c>
      <c r="N26">
        <v>91.5</v>
      </c>
      <c r="O26">
        <v>87.1</v>
      </c>
      <c r="P26">
        <v>85.93</v>
      </c>
      <c r="Q26">
        <v>67.25</v>
      </c>
      <c r="R26">
        <v>91.49</v>
      </c>
      <c r="S26">
        <v>94.81</v>
      </c>
      <c r="T26">
        <v>89.35</v>
      </c>
      <c r="U26">
        <v>85</v>
      </c>
      <c r="V26">
        <v>84</v>
      </c>
      <c r="W26">
        <v>65.5</v>
      </c>
      <c r="X26">
        <v>89.5</v>
      </c>
      <c r="AA26" s="7">
        <f t="shared" si="23"/>
        <v>1155</v>
      </c>
    </row>
    <row r="27" spans="1:27">
      <c r="A27" s="1">
        <v>45597</v>
      </c>
      <c r="B27">
        <v>75.489999999999995</v>
      </c>
      <c r="C27">
        <v>67.06</v>
      </c>
      <c r="D27">
        <v>58.9</v>
      </c>
      <c r="E27">
        <v>63.84</v>
      </c>
      <c r="F27">
        <v>54.95</v>
      </c>
      <c r="G27">
        <v>61</v>
      </c>
      <c r="H27">
        <v>73.290000000000006</v>
      </c>
      <c r="I27">
        <v>65.2</v>
      </c>
      <c r="J27">
        <v>59.3</v>
      </c>
      <c r="K27">
        <v>62.2</v>
      </c>
      <c r="L27">
        <v>54.93</v>
      </c>
      <c r="M27">
        <v>96.6</v>
      </c>
      <c r="N27">
        <v>91.6</v>
      </c>
      <c r="O27">
        <v>87.1</v>
      </c>
      <c r="P27">
        <v>86.5</v>
      </c>
      <c r="Q27">
        <v>67.09</v>
      </c>
      <c r="R27">
        <v>92.1</v>
      </c>
      <c r="S27">
        <v>93.5</v>
      </c>
      <c r="T27">
        <v>89.4</v>
      </c>
      <c r="U27">
        <v>84.5</v>
      </c>
      <c r="V27">
        <v>83.75</v>
      </c>
      <c r="W27">
        <v>64.94</v>
      </c>
      <c r="X27">
        <v>89.5</v>
      </c>
      <c r="AA27" s="7">
        <f t="shared" si="23"/>
        <v>1156</v>
      </c>
    </row>
    <row r="28" spans="1:27">
      <c r="A28" s="1">
        <v>45600</v>
      </c>
      <c r="B28">
        <v>74.7</v>
      </c>
      <c r="C28">
        <v>67.16</v>
      </c>
      <c r="D28">
        <v>59</v>
      </c>
      <c r="E28">
        <v>64.150000000000006</v>
      </c>
      <c r="F28">
        <v>55.12</v>
      </c>
      <c r="G28">
        <v>61.5</v>
      </c>
      <c r="H28">
        <v>73.06</v>
      </c>
      <c r="I28">
        <v>65</v>
      </c>
      <c r="J28">
        <v>58.75</v>
      </c>
      <c r="K28">
        <v>62.39</v>
      </c>
      <c r="L28">
        <v>54.9</v>
      </c>
      <c r="M28">
        <v>96.37</v>
      </c>
      <c r="N28">
        <v>91.59</v>
      </c>
      <c r="O28">
        <v>87.7</v>
      </c>
      <c r="P28">
        <v>85.81</v>
      </c>
      <c r="Q28">
        <v>64</v>
      </c>
      <c r="R28">
        <v>92.6</v>
      </c>
      <c r="S28">
        <v>94</v>
      </c>
      <c r="T28">
        <v>89.48</v>
      </c>
      <c r="U28">
        <v>85.25</v>
      </c>
      <c r="V28">
        <v>83.8</v>
      </c>
      <c r="W28">
        <v>65.430000000000007</v>
      </c>
      <c r="X28">
        <v>90.2</v>
      </c>
      <c r="AA28" s="7">
        <f t="shared" si="23"/>
        <v>1157</v>
      </c>
    </row>
    <row r="29" spans="1:27">
      <c r="A29" s="1">
        <v>45601</v>
      </c>
      <c r="B29">
        <v>75.52</v>
      </c>
      <c r="C29">
        <v>68.22</v>
      </c>
      <c r="D29">
        <v>59.85</v>
      </c>
      <c r="E29">
        <v>65.89</v>
      </c>
      <c r="F29">
        <v>56.7</v>
      </c>
      <c r="G29">
        <v>62.45</v>
      </c>
      <c r="H29">
        <v>73.599999999999994</v>
      </c>
      <c r="I29">
        <v>65.8</v>
      </c>
      <c r="J29">
        <v>59.6</v>
      </c>
      <c r="K29">
        <v>63.45</v>
      </c>
      <c r="L29">
        <v>55.95</v>
      </c>
      <c r="M29">
        <v>96.75</v>
      </c>
      <c r="N29">
        <v>91.78</v>
      </c>
      <c r="O29">
        <v>87.99</v>
      </c>
      <c r="P29">
        <v>86.85</v>
      </c>
      <c r="Q29">
        <v>66.78</v>
      </c>
      <c r="R29">
        <v>92.61</v>
      </c>
      <c r="S29">
        <v>94.1</v>
      </c>
      <c r="T29">
        <v>89.25</v>
      </c>
      <c r="U29">
        <v>85.1</v>
      </c>
      <c r="V29">
        <v>84.25</v>
      </c>
      <c r="W29">
        <v>65.17</v>
      </c>
      <c r="X29">
        <v>90.2</v>
      </c>
      <c r="AA29" s="7">
        <f t="shared" si="23"/>
        <v>1158</v>
      </c>
    </row>
    <row r="30" spans="1:27">
      <c r="A30" s="1">
        <v>45603</v>
      </c>
      <c r="B30">
        <v>77.34</v>
      </c>
      <c r="C30">
        <v>69.92</v>
      </c>
      <c r="D30">
        <v>61.74</v>
      </c>
      <c r="E30">
        <v>66.900000000000006</v>
      </c>
      <c r="F30">
        <v>57.6</v>
      </c>
      <c r="G30">
        <v>63.79</v>
      </c>
      <c r="H30">
        <v>75.55</v>
      </c>
      <c r="I30">
        <v>67.430000000000007</v>
      </c>
      <c r="J30">
        <v>61.4</v>
      </c>
      <c r="K30">
        <v>64.5</v>
      </c>
      <c r="L30">
        <v>57.32</v>
      </c>
      <c r="M30">
        <v>96.75</v>
      </c>
      <c r="N30">
        <v>92.36</v>
      </c>
      <c r="O30">
        <v>88.86</v>
      </c>
      <c r="P30">
        <v>88</v>
      </c>
      <c r="Q30">
        <v>67.66</v>
      </c>
      <c r="R30">
        <v>92.65</v>
      </c>
      <c r="S30">
        <v>94.25</v>
      </c>
      <c r="T30">
        <v>89.81</v>
      </c>
      <c r="U30">
        <v>86.73</v>
      </c>
      <c r="V30">
        <v>85.25</v>
      </c>
      <c r="W30">
        <v>65.69</v>
      </c>
      <c r="X30">
        <v>90.4</v>
      </c>
      <c r="AA30" s="7">
        <f t="shared" si="23"/>
        <v>1159</v>
      </c>
    </row>
    <row r="31" spans="1:27">
      <c r="A31" s="1">
        <v>45604</v>
      </c>
      <c r="B31">
        <v>77.97</v>
      </c>
      <c r="C31">
        <v>70.14</v>
      </c>
      <c r="D31">
        <v>62.5</v>
      </c>
      <c r="E31">
        <v>68.23</v>
      </c>
      <c r="F31">
        <v>58.6</v>
      </c>
      <c r="G31">
        <v>64.7</v>
      </c>
      <c r="H31">
        <v>76.5</v>
      </c>
      <c r="I31">
        <v>67.599999999999994</v>
      </c>
      <c r="J31">
        <v>62.5</v>
      </c>
      <c r="K31">
        <v>65.489999999999995</v>
      </c>
      <c r="L31">
        <v>58.5</v>
      </c>
      <c r="M31">
        <v>96.5</v>
      </c>
      <c r="N31">
        <v>91.9</v>
      </c>
      <c r="O31">
        <v>88.49</v>
      </c>
      <c r="P31">
        <v>87.26</v>
      </c>
      <c r="Q31">
        <v>67.5</v>
      </c>
      <c r="R31">
        <v>92.9</v>
      </c>
      <c r="S31">
        <v>94</v>
      </c>
      <c r="T31">
        <v>89.6</v>
      </c>
      <c r="U31">
        <v>86</v>
      </c>
      <c r="V31">
        <v>85.05</v>
      </c>
      <c r="W31">
        <v>66.05</v>
      </c>
      <c r="X31">
        <v>90.5</v>
      </c>
      <c r="AA31" s="7">
        <f t="shared" si="23"/>
        <v>1160</v>
      </c>
    </row>
    <row r="32" spans="1:27">
      <c r="A32" s="1">
        <v>45607</v>
      </c>
      <c r="B32">
        <v>77.89</v>
      </c>
      <c r="C32">
        <v>70.84</v>
      </c>
      <c r="D32">
        <v>63.7</v>
      </c>
      <c r="E32">
        <v>68.599999999999994</v>
      </c>
      <c r="F32">
        <v>58.74</v>
      </c>
      <c r="G32">
        <v>64.5</v>
      </c>
      <c r="H32">
        <v>76.849999999999994</v>
      </c>
      <c r="I32">
        <v>67.599999999999994</v>
      </c>
      <c r="J32">
        <v>63.36</v>
      </c>
      <c r="K32">
        <v>66</v>
      </c>
      <c r="L32">
        <v>58.92</v>
      </c>
      <c r="M32">
        <v>97</v>
      </c>
      <c r="N32">
        <v>92.29</v>
      </c>
      <c r="O32">
        <v>88.79</v>
      </c>
      <c r="P32">
        <v>87.4</v>
      </c>
      <c r="Q32">
        <v>67.709999999999994</v>
      </c>
      <c r="R32">
        <v>93.25</v>
      </c>
      <c r="S32">
        <v>94</v>
      </c>
      <c r="T32">
        <v>89.7</v>
      </c>
      <c r="U32">
        <v>85.95</v>
      </c>
      <c r="V32">
        <v>85.2</v>
      </c>
      <c r="W32">
        <v>66</v>
      </c>
      <c r="X32">
        <v>90.85</v>
      </c>
      <c r="AA32" s="7">
        <f t="shared" si="23"/>
        <v>1161</v>
      </c>
    </row>
    <row r="33" spans="1:27">
      <c r="A33" s="1">
        <v>45608</v>
      </c>
      <c r="B33">
        <v>77.8</v>
      </c>
      <c r="C33">
        <v>71.2</v>
      </c>
      <c r="D33">
        <v>63.67</v>
      </c>
      <c r="E33">
        <v>68.650000000000006</v>
      </c>
      <c r="F33">
        <v>59</v>
      </c>
      <c r="G33">
        <v>64.72</v>
      </c>
      <c r="H33">
        <v>76.75</v>
      </c>
      <c r="I33">
        <v>68.11</v>
      </c>
      <c r="J33">
        <v>63.99</v>
      </c>
      <c r="K33">
        <v>66.599999999999994</v>
      </c>
      <c r="L33">
        <v>58.86</v>
      </c>
      <c r="M33">
        <v>96.55</v>
      </c>
      <c r="N33">
        <v>92</v>
      </c>
      <c r="O33">
        <v>87.99</v>
      </c>
      <c r="P33">
        <v>87.57</v>
      </c>
      <c r="Q33">
        <v>67.69</v>
      </c>
      <c r="R33">
        <v>94.4</v>
      </c>
      <c r="S33">
        <v>94</v>
      </c>
      <c r="T33">
        <v>89.6</v>
      </c>
      <c r="U33">
        <v>85.5</v>
      </c>
      <c r="V33">
        <v>85.2</v>
      </c>
      <c r="W33">
        <v>65.5</v>
      </c>
      <c r="X33">
        <v>92</v>
      </c>
      <c r="AA33" s="7">
        <f t="shared" si="23"/>
        <v>1162</v>
      </c>
    </row>
    <row r="34" spans="1:27">
      <c r="A34" s="1">
        <v>45609</v>
      </c>
      <c r="B34">
        <v>79.459999999999994</v>
      </c>
      <c r="C34">
        <v>71.760000000000005</v>
      </c>
      <c r="D34">
        <v>64.75</v>
      </c>
      <c r="E34">
        <v>68.900000000000006</v>
      </c>
      <c r="F34">
        <v>60.01</v>
      </c>
      <c r="G34">
        <v>66.3</v>
      </c>
      <c r="H34">
        <v>77.25</v>
      </c>
      <c r="I34">
        <v>68.78</v>
      </c>
      <c r="J34">
        <v>64.62</v>
      </c>
      <c r="K34">
        <v>67.650000000000006</v>
      </c>
      <c r="L34">
        <v>60.27</v>
      </c>
      <c r="M34">
        <v>96.21</v>
      </c>
      <c r="N34">
        <v>91.65</v>
      </c>
      <c r="O34">
        <v>88.01</v>
      </c>
      <c r="P34">
        <v>88</v>
      </c>
      <c r="Q34">
        <v>67.75</v>
      </c>
      <c r="R34">
        <v>95</v>
      </c>
      <c r="S34">
        <v>93.26</v>
      </c>
      <c r="T34">
        <v>89.15</v>
      </c>
      <c r="U34">
        <v>85.2</v>
      </c>
      <c r="V34">
        <v>85.4</v>
      </c>
      <c r="W34">
        <v>65.599999999999994</v>
      </c>
      <c r="X34">
        <v>92.2</v>
      </c>
      <c r="AA34" s="7">
        <f t="shared" si="23"/>
        <v>1163</v>
      </c>
    </row>
    <row r="35" spans="1:27">
      <c r="A35" s="1">
        <v>45610</v>
      </c>
      <c r="B35">
        <v>80.41</v>
      </c>
      <c r="C35">
        <v>72.83</v>
      </c>
      <c r="D35">
        <v>65.89</v>
      </c>
      <c r="E35">
        <v>70.349999999999994</v>
      </c>
      <c r="F35">
        <v>61.39</v>
      </c>
      <c r="G35">
        <v>66.3</v>
      </c>
      <c r="H35">
        <v>77.930000000000007</v>
      </c>
      <c r="I35">
        <v>69.900000000000006</v>
      </c>
      <c r="J35">
        <v>65.650000000000006</v>
      </c>
      <c r="K35">
        <v>69.47</v>
      </c>
      <c r="L35">
        <v>61.73</v>
      </c>
      <c r="M35">
        <v>96.14</v>
      </c>
      <c r="N35">
        <v>92.85</v>
      </c>
      <c r="O35">
        <v>87.95</v>
      </c>
      <c r="P35">
        <v>87.9</v>
      </c>
      <c r="Q35">
        <v>68.48</v>
      </c>
      <c r="R35">
        <v>95.3</v>
      </c>
      <c r="S35">
        <v>93.25</v>
      </c>
      <c r="T35">
        <v>90.5</v>
      </c>
      <c r="U35">
        <v>84.7</v>
      </c>
      <c r="V35">
        <v>84.15</v>
      </c>
      <c r="W35">
        <v>65.849999999999994</v>
      </c>
      <c r="X35">
        <v>91.8</v>
      </c>
      <c r="AA35" s="7">
        <f t="shared" si="23"/>
        <v>1164</v>
      </c>
    </row>
    <row r="36" spans="1:27">
      <c r="A36" s="1">
        <v>45611</v>
      </c>
      <c r="B36">
        <v>80.34</v>
      </c>
      <c r="C36">
        <v>72.5</v>
      </c>
      <c r="D36">
        <v>66.150000000000006</v>
      </c>
      <c r="E36">
        <v>70.930000000000007</v>
      </c>
      <c r="F36">
        <v>62.01</v>
      </c>
      <c r="G36">
        <v>67.2</v>
      </c>
      <c r="H36">
        <v>77.599999999999994</v>
      </c>
      <c r="I36">
        <v>69.78</v>
      </c>
      <c r="J36">
        <v>66.06</v>
      </c>
      <c r="K36">
        <v>70</v>
      </c>
      <c r="L36">
        <v>63.6</v>
      </c>
      <c r="M36">
        <v>96.2</v>
      </c>
      <c r="N36">
        <v>92.6</v>
      </c>
      <c r="O36">
        <v>87.88</v>
      </c>
      <c r="P36">
        <v>87.81</v>
      </c>
      <c r="Q36">
        <v>67.900000000000006</v>
      </c>
      <c r="R36">
        <v>95</v>
      </c>
      <c r="S36">
        <v>93.65</v>
      </c>
      <c r="T36">
        <v>89.5</v>
      </c>
      <c r="U36">
        <v>84.95</v>
      </c>
      <c r="V36">
        <v>84.75</v>
      </c>
      <c r="W36">
        <v>66</v>
      </c>
      <c r="X36">
        <v>91.7</v>
      </c>
      <c r="AA36" s="7">
        <f t="shared" si="23"/>
        <v>1165</v>
      </c>
    </row>
    <row r="37" spans="1:27">
      <c r="A37" s="1">
        <v>45615</v>
      </c>
      <c r="B37">
        <v>81</v>
      </c>
      <c r="C37">
        <v>73.41</v>
      </c>
      <c r="D37">
        <v>67</v>
      </c>
      <c r="E37">
        <v>71.2</v>
      </c>
      <c r="F37">
        <v>62.35</v>
      </c>
      <c r="G37">
        <v>66.900000000000006</v>
      </c>
      <c r="H37">
        <v>78.319999999999993</v>
      </c>
      <c r="I37">
        <v>70.95</v>
      </c>
      <c r="J37">
        <v>66.7</v>
      </c>
      <c r="K37">
        <v>70.23</v>
      </c>
      <c r="L37">
        <v>62.34</v>
      </c>
      <c r="M37">
        <v>96.45</v>
      </c>
      <c r="N37">
        <v>93.5</v>
      </c>
      <c r="O37">
        <v>87.94</v>
      </c>
      <c r="P37">
        <v>87.8</v>
      </c>
      <c r="Q37">
        <v>68.34</v>
      </c>
      <c r="R37">
        <v>95</v>
      </c>
      <c r="S37">
        <v>93.4</v>
      </c>
      <c r="T37">
        <v>90</v>
      </c>
      <c r="U37">
        <v>84.75</v>
      </c>
      <c r="V37">
        <v>84.8</v>
      </c>
      <c r="W37">
        <v>66.069999999999993</v>
      </c>
      <c r="X37">
        <v>91.77</v>
      </c>
      <c r="AA37" s="7">
        <f t="shared" si="23"/>
        <v>1166</v>
      </c>
    </row>
    <row r="38" spans="1:27">
      <c r="A38" s="1">
        <v>45616</v>
      </c>
      <c r="B38">
        <v>81.599999999999994</v>
      </c>
      <c r="C38">
        <v>73.2</v>
      </c>
      <c r="D38">
        <v>67.5</v>
      </c>
      <c r="E38">
        <v>71.849999999999994</v>
      </c>
      <c r="F38">
        <v>63.12</v>
      </c>
      <c r="G38">
        <v>67.7</v>
      </c>
      <c r="H38">
        <v>78.05</v>
      </c>
      <c r="I38">
        <v>71.069999999999993</v>
      </c>
      <c r="J38">
        <v>68.05</v>
      </c>
      <c r="K38">
        <v>70.599999999999994</v>
      </c>
      <c r="L38">
        <v>63.5</v>
      </c>
      <c r="M38">
        <v>96.25</v>
      </c>
      <c r="N38">
        <v>92.15</v>
      </c>
      <c r="O38">
        <v>86.95</v>
      </c>
      <c r="P38">
        <v>87.17</v>
      </c>
      <c r="Q38">
        <v>68.12</v>
      </c>
      <c r="R38">
        <v>94.6</v>
      </c>
      <c r="S38">
        <v>93.35</v>
      </c>
      <c r="T38">
        <v>89.5</v>
      </c>
      <c r="U38">
        <v>84.4</v>
      </c>
      <c r="V38">
        <v>84.25</v>
      </c>
      <c r="W38">
        <v>66.45</v>
      </c>
      <c r="X38">
        <v>91.85</v>
      </c>
      <c r="AA38" s="7">
        <f t="shared" si="23"/>
        <v>1167</v>
      </c>
    </row>
    <row r="39" spans="1:27">
      <c r="A39" s="1">
        <v>45617</v>
      </c>
      <c r="B39">
        <v>80.209999999999994</v>
      </c>
      <c r="C39">
        <v>72.8</v>
      </c>
      <c r="D39">
        <v>66.900000000000006</v>
      </c>
      <c r="E39">
        <v>71.400000000000006</v>
      </c>
      <c r="F39">
        <v>62.15</v>
      </c>
      <c r="G39">
        <v>67.63</v>
      </c>
      <c r="H39">
        <v>78.34</v>
      </c>
      <c r="I39">
        <v>70.55</v>
      </c>
      <c r="J39">
        <v>67.25</v>
      </c>
      <c r="K39">
        <v>70.5</v>
      </c>
      <c r="L39">
        <v>62.8</v>
      </c>
      <c r="M39">
        <v>96.4</v>
      </c>
      <c r="N39">
        <v>92.6</v>
      </c>
      <c r="O39">
        <v>87.2</v>
      </c>
      <c r="P39">
        <v>87.33</v>
      </c>
      <c r="Q39">
        <v>68.3</v>
      </c>
      <c r="R39">
        <v>94.75</v>
      </c>
      <c r="S39">
        <v>93.58</v>
      </c>
      <c r="T39">
        <v>89.5</v>
      </c>
      <c r="U39">
        <v>84.6</v>
      </c>
      <c r="V39">
        <v>84.65</v>
      </c>
      <c r="W39">
        <v>66.349999999999994</v>
      </c>
      <c r="X39">
        <v>91.6</v>
      </c>
      <c r="AA39" s="7">
        <f t="shared" si="23"/>
        <v>1168</v>
      </c>
    </row>
    <row r="40" spans="1:27">
      <c r="A40" s="1">
        <v>45618</v>
      </c>
      <c r="B40">
        <v>80.5</v>
      </c>
      <c r="C40">
        <v>72.8</v>
      </c>
      <c r="D40">
        <v>66.599999999999994</v>
      </c>
      <c r="E40">
        <v>71</v>
      </c>
      <c r="F40">
        <v>63</v>
      </c>
      <c r="G40">
        <v>66.83</v>
      </c>
      <c r="H40">
        <v>77.22</v>
      </c>
      <c r="I40">
        <v>70.400000000000006</v>
      </c>
      <c r="J40">
        <v>66.66</v>
      </c>
      <c r="K40">
        <v>71.39</v>
      </c>
      <c r="L40">
        <v>62.77</v>
      </c>
      <c r="M40">
        <v>95.7</v>
      </c>
      <c r="N40">
        <v>92</v>
      </c>
      <c r="O40">
        <v>86.9</v>
      </c>
      <c r="P40">
        <v>86.78</v>
      </c>
      <c r="Q40">
        <v>69.52</v>
      </c>
      <c r="R40">
        <v>94.16</v>
      </c>
      <c r="S40">
        <v>93.05</v>
      </c>
      <c r="T40">
        <v>89.58</v>
      </c>
      <c r="U40">
        <v>84.4</v>
      </c>
      <c r="V40">
        <v>84.35</v>
      </c>
      <c r="W40">
        <v>67.3</v>
      </c>
      <c r="X40">
        <v>91.5</v>
      </c>
      <c r="AA40" s="7">
        <f t="shared" si="23"/>
        <v>1169</v>
      </c>
    </row>
    <row r="41" spans="1:27">
      <c r="A41" s="1">
        <v>45621</v>
      </c>
      <c r="B41">
        <v>80.53</v>
      </c>
      <c r="C41">
        <v>72.86</v>
      </c>
      <c r="D41">
        <v>66.8</v>
      </c>
      <c r="E41">
        <v>70.78</v>
      </c>
      <c r="F41">
        <v>62.4</v>
      </c>
      <c r="G41">
        <v>66.790000000000006</v>
      </c>
      <c r="H41">
        <v>77.260000000000005</v>
      </c>
      <c r="I41">
        <v>71.08</v>
      </c>
      <c r="J41">
        <v>66.77</v>
      </c>
      <c r="K41">
        <v>70.349999999999994</v>
      </c>
      <c r="L41">
        <v>62.15</v>
      </c>
      <c r="M41">
        <v>95.8</v>
      </c>
      <c r="N41">
        <v>92.86</v>
      </c>
      <c r="O41">
        <v>86.9</v>
      </c>
      <c r="P41">
        <v>86.99</v>
      </c>
      <c r="Q41">
        <v>69.400000000000006</v>
      </c>
      <c r="R41">
        <v>94.32</v>
      </c>
      <c r="S41">
        <v>93.35</v>
      </c>
      <c r="T41">
        <v>90</v>
      </c>
      <c r="U41">
        <v>84.47</v>
      </c>
      <c r="V41">
        <v>84.38</v>
      </c>
      <c r="W41">
        <v>67.2</v>
      </c>
      <c r="X41">
        <v>91.65</v>
      </c>
      <c r="AA41" s="7">
        <f t="shared" si="23"/>
        <v>1170</v>
      </c>
    </row>
    <row r="42" spans="1:27">
      <c r="A42" s="1">
        <v>45622</v>
      </c>
      <c r="B42">
        <v>79.900000000000006</v>
      </c>
      <c r="C42">
        <v>72.760000000000005</v>
      </c>
      <c r="D42">
        <v>66.59</v>
      </c>
      <c r="E42">
        <v>71.099999999999994</v>
      </c>
      <c r="F42">
        <v>62.18</v>
      </c>
      <c r="G42">
        <v>67.16</v>
      </c>
      <c r="H42">
        <v>76.599999999999994</v>
      </c>
      <c r="I42" s="2">
        <v>70.84</v>
      </c>
      <c r="J42">
        <v>66.45</v>
      </c>
      <c r="K42">
        <v>69.849999999999994</v>
      </c>
      <c r="L42">
        <v>62.12</v>
      </c>
      <c r="M42">
        <v>95.8</v>
      </c>
      <c r="N42">
        <v>92.05</v>
      </c>
      <c r="O42">
        <v>87</v>
      </c>
      <c r="P42">
        <v>86.7</v>
      </c>
      <c r="Q42">
        <v>68.8</v>
      </c>
      <c r="R42">
        <v>93.91</v>
      </c>
      <c r="S42">
        <v>92.9</v>
      </c>
      <c r="T42">
        <v>89.5</v>
      </c>
      <c r="U42">
        <v>84.65</v>
      </c>
      <c r="V42">
        <v>84.4</v>
      </c>
      <c r="W42">
        <v>67</v>
      </c>
      <c r="X42">
        <v>91.5</v>
      </c>
      <c r="AA42" s="7">
        <f t="shared" si="23"/>
        <v>1171</v>
      </c>
    </row>
    <row r="43" spans="1:27">
      <c r="A43" s="1">
        <v>45623</v>
      </c>
      <c r="B43">
        <v>80.150000000000006</v>
      </c>
      <c r="C43">
        <v>73.099999999999994</v>
      </c>
      <c r="D43">
        <v>66.599999999999994</v>
      </c>
      <c r="E43">
        <v>71.3</v>
      </c>
      <c r="F43">
        <v>62.5</v>
      </c>
      <c r="G43">
        <v>66.88</v>
      </c>
      <c r="H43">
        <v>76.400000000000006</v>
      </c>
      <c r="I43">
        <v>71.150000000000006</v>
      </c>
      <c r="J43">
        <v>66.61</v>
      </c>
      <c r="K43">
        <v>69.760000000000005</v>
      </c>
      <c r="L43">
        <v>62.54</v>
      </c>
      <c r="M43">
        <v>96</v>
      </c>
      <c r="N43">
        <v>92.4</v>
      </c>
      <c r="O43">
        <v>87.03</v>
      </c>
      <c r="P43">
        <v>86.6</v>
      </c>
      <c r="Q43">
        <v>68.8</v>
      </c>
      <c r="R43">
        <v>94.19</v>
      </c>
      <c r="S43">
        <v>93.51</v>
      </c>
      <c r="T43">
        <v>89.87</v>
      </c>
      <c r="U43">
        <v>84.53</v>
      </c>
      <c r="V43">
        <v>84.12</v>
      </c>
      <c r="W43">
        <v>66.75</v>
      </c>
      <c r="X43">
        <v>91.5</v>
      </c>
      <c r="AA43" s="7">
        <f t="shared" si="23"/>
        <v>1172</v>
      </c>
    </row>
    <row r="44" spans="1:27">
      <c r="A44" s="1">
        <v>45624</v>
      </c>
      <c r="B44">
        <v>80.19</v>
      </c>
      <c r="C44">
        <v>73.2</v>
      </c>
      <c r="D44">
        <v>66.739999999999995</v>
      </c>
      <c r="E44">
        <v>71</v>
      </c>
      <c r="F44">
        <v>62.7</v>
      </c>
      <c r="G44">
        <v>67.14</v>
      </c>
      <c r="H44">
        <v>76.64</v>
      </c>
      <c r="I44">
        <v>71.19</v>
      </c>
      <c r="J44">
        <v>66.63</v>
      </c>
      <c r="K44">
        <v>69.599999999999994</v>
      </c>
      <c r="L44">
        <v>62.7</v>
      </c>
      <c r="M44">
        <v>96.2</v>
      </c>
      <c r="N44">
        <v>92.3</v>
      </c>
      <c r="O44">
        <v>87.49</v>
      </c>
      <c r="P44">
        <v>86.75</v>
      </c>
      <c r="Q44">
        <v>68.7</v>
      </c>
      <c r="R44">
        <v>94.15</v>
      </c>
      <c r="S44">
        <v>93.5</v>
      </c>
      <c r="T44">
        <v>89.92</v>
      </c>
      <c r="U44">
        <v>84.65</v>
      </c>
      <c r="V44">
        <v>84.55</v>
      </c>
      <c r="W44">
        <v>66.790000000000006</v>
      </c>
      <c r="X44">
        <v>91.5</v>
      </c>
      <c r="AA44" s="7">
        <f t="shared" si="23"/>
        <v>1173</v>
      </c>
    </row>
    <row r="45" spans="1:27">
      <c r="A45" s="1">
        <v>45625</v>
      </c>
      <c r="B45">
        <v>79.63</v>
      </c>
      <c r="C45">
        <v>72.84</v>
      </c>
      <c r="D45">
        <v>66.7</v>
      </c>
      <c r="E45">
        <v>71</v>
      </c>
      <c r="F45">
        <v>62.57</v>
      </c>
      <c r="G45">
        <v>67.33</v>
      </c>
      <c r="H45">
        <v>77.88</v>
      </c>
      <c r="I45">
        <v>71.03</v>
      </c>
      <c r="J45">
        <v>66.7</v>
      </c>
      <c r="K45">
        <v>69.900000000000006</v>
      </c>
      <c r="L45">
        <v>62.86</v>
      </c>
      <c r="M45">
        <v>96.5</v>
      </c>
      <c r="N45">
        <v>92.34</v>
      </c>
      <c r="O45">
        <v>87.35</v>
      </c>
      <c r="P45">
        <v>87.42</v>
      </c>
      <c r="Q45">
        <v>58.75</v>
      </c>
      <c r="R45">
        <v>93.88</v>
      </c>
      <c r="S45">
        <v>94.25</v>
      </c>
      <c r="T45">
        <v>89.9</v>
      </c>
      <c r="U45">
        <v>85.15</v>
      </c>
      <c r="V45">
        <v>85.05</v>
      </c>
      <c r="W45">
        <v>57.4</v>
      </c>
      <c r="X45">
        <v>91.55</v>
      </c>
      <c r="AA45" s="7">
        <f t="shared" si="23"/>
        <v>1174</v>
      </c>
    </row>
    <row r="46" spans="1:27">
      <c r="A46" s="1">
        <v>45628</v>
      </c>
      <c r="B46">
        <v>80.209999999999994</v>
      </c>
      <c r="C46">
        <v>73.03</v>
      </c>
      <c r="D46">
        <v>66.77</v>
      </c>
      <c r="E46">
        <v>71.349999999999994</v>
      </c>
      <c r="F46">
        <v>62.55</v>
      </c>
      <c r="G46">
        <v>67.400000000000006</v>
      </c>
      <c r="H46">
        <v>77.77</v>
      </c>
      <c r="I46">
        <v>71.83</v>
      </c>
      <c r="J46">
        <v>66.77</v>
      </c>
      <c r="K46">
        <v>69.72</v>
      </c>
      <c r="L46">
        <v>63.03</v>
      </c>
      <c r="M46">
        <v>96.53</v>
      </c>
      <c r="N46">
        <v>92.2</v>
      </c>
      <c r="O46">
        <v>88</v>
      </c>
      <c r="P46">
        <v>88.45</v>
      </c>
      <c r="Q46">
        <v>59.89</v>
      </c>
      <c r="R46">
        <v>94</v>
      </c>
      <c r="S46">
        <v>94</v>
      </c>
      <c r="T46">
        <v>89.98</v>
      </c>
      <c r="U46">
        <v>85.75</v>
      </c>
      <c r="V46">
        <v>86.39</v>
      </c>
      <c r="W46">
        <v>58.3</v>
      </c>
      <c r="X46">
        <v>92</v>
      </c>
      <c r="AA46" s="7">
        <f t="shared" si="23"/>
        <v>1175</v>
      </c>
    </row>
    <row r="47" spans="1:27">
      <c r="A47" s="1">
        <v>45629</v>
      </c>
      <c r="B47">
        <v>80.2</v>
      </c>
      <c r="C47">
        <v>73.3</v>
      </c>
      <c r="D47">
        <v>66.41</v>
      </c>
      <c r="E47">
        <v>70.7</v>
      </c>
      <c r="F47">
        <v>62.1</v>
      </c>
      <c r="G47">
        <v>66.8</v>
      </c>
      <c r="H47">
        <v>78</v>
      </c>
      <c r="I47">
        <v>71.650000000000006</v>
      </c>
      <c r="J47">
        <v>66.489999999999995</v>
      </c>
      <c r="K47">
        <v>69.39</v>
      </c>
      <c r="L47">
        <v>62.51</v>
      </c>
      <c r="M47">
        <v>96.8</v>
      </c>
      <c r="N47">
        <v>91.83</v>
      </c>
      <c r="O47">
        <v>88.3</v>
      </c>
      <c r="P47">
        <v>88.49</v>
      </c>
      <c r="Q47">
        <v>60</v>
      </c>
      <c r="R47">
        <v>93.9</v>
      </c>
      <c r="S47">
        <v>94.45</v>
      </c>
      <c r="T47">
        <v>89.75</v>
      </c>
      <c r="U47">
        <v>86</v>
      </c>
      <c r="V47">
        <v>85.7</v>
      </c>
      <c r="W47">
        <v>58.55</v>
      </c>
      <c r="X47">
        <v>91.5</v>
      </c>
      <c r="AA47" s="7">
        <f t="shared" si="23"/>
        <v>1176</v>
      </c>
    </row>
    <row r="48" spans="1:27">
      <c r="A48" s="1">
        <v>45630</v>
      </c>
      <c r="B48">
        <v>80.86</v>
      </c>
      <c r="C48">
        <v>73.2</v>
      </c>
      <c r="D48">
        <v>66.7</v>
      </c>
      <c r="E48">
        <v>70.98</v>
      </c>
      <c r="F48">
        <v>62</v>
      </c>
      <c r="G48">
        <v>67.2</v>
      </c>
      <c r="H48">
        <v>77.510000000000005</v>
      </c>
      <c r="I48">
        <v>71.650000000000006</v>
      </c>
      <c r="J48">
        <v>66.44</v>
      </c>
      <c r="K48">
        <v>68.67</v>
      </c>
      <c r="L48">
        <v>62.32</v>
      </c>
      <c r="M48">
        <v>97</v>
      </c>
      <c r="N48">
        <v>92.15</v>
      </c>
      <c r="O48">
        <v>88.26</v>
      </c>
      <c r="P48">
        <v>88.56</v>
      </c>
      <c r="Q48">
        <v>59.74</v>
      </c>
      <c r="R48">
        <v>93.65</v>
      </c>
      <c r="S48">
        <v>94.75</v>
      </c>
      <c r="T48">
        <v>89.75</v>
      </c>
      <c r="U48">
        <v>85.97</v>
      </c>
      <c r="V48">
        <v>86.39</v>
      </c>
      <c r="W48">
        <v>58.19</v>
      </c>
      <c r="X48">
        <v>91.25</v>
      </c>
      <c r="AA48" s="7">
        <f t="shared" si="23"/>
        <v>1177</v>
      </c>
    </row>
    <row r="49" spans="1:27">
      <c r="A49" s="1">
        <v>45631</v>
      </c>
      <c r="B49">
        <v>80.569999999999993</v>
      </c>
      <c r="C49">
        <v>72.709999999999994</v>
      </c>
      <c r="D49">
        <v>65.709999999999994</v>
      </c>
      <c r="E49">
        <v>70.5</v>
      </c>
      <c r="F49">
        <v>61.54</v>
      </c>
      <c r="G49">
        <v>66.95</v>
      </c>
      <c r="H49">
        <v>77.87</v>
      </c>
      <c r="I49">
        <v>71.319999999999993</v>
      </c>
      <c r="J49">
        <v>65.790000000000006</v>
      </c>
      <c r="K49">
        <v>68.22</v>
      </c>
      <c r="L49">
        <v>61.8</v>
      </c>
      <c r="M49">
        <v>97.15</v>
      </c>
      <c r="N49">
        <v>91.8</v>
      </c>
      <c r="O49">
        <v>88.7</v>
      </c>
      <c r="P49">
        <v>88.61</v>
      </c>
      <c r="Q49">
        <v>59.31</v>
      </c>
      <c r="R49">
        <v>93.77</v>
      </c>
      <c r="S49">
        <v>94.9</v>
      </c>
      <c r="T49">
        <v>89.72</v>
      </c>
      <c r="U49">
        <v>86.5</v>
      </c>
      <c r="V49">
        <v>86.47</v>
      </c>
      <c r="W49">
        <v>58.14</v>
      </c>
      <c r="X49">
        <v>91.5</v>
      </c>
      <c r="AA49" s="7">
        <f t="shared" si="23"/>
        <v>1178</v>
      </c>
    </row>
    <row r="50" spans="1:27">
      <c r="A50" s="1">
        <v>45632</v>
      </c>
      <c r="B50">
        <v>80.41</v>
      </c>
      <c r="C50">
        <v>73.19</v>
      </c>
      <c r="D50">
        <v>66.33</v>
      </c>
      <c r="E50">
        <v>70.849999999999994</v>
      </c>
      <c r="F50">
        <v>61.75</v>
      </c>
      <c r="G50">
        <v>67.95</v>
      </c>
      <c r="H50">
        <v>78.650000000000006</v>
      </c>
      <c r="I50">
        <v>71.650000000000006</v>
      </c>
      <c r="J50">
        <v>66.36</v>
      </c>
      <c r="K50">
        <v>69.33</v>
      </c>
      <c r="L50">
        <v>62.21</v>
      </c>
      <c r="M50">
        <v>96.92</v>
      </c>
      <c r="N50">
        <v>91.8</v>
      </c>
      <c r="O50">
        <v>89.08</v>
      </c>
      <c r="P50">
        <v>89.5</v>
      </c>
      <c r="Q50">
        <v>59.14</v>
      </c>
      <c r="R50">
        <v>94.19</v>
      </c>
      <c r="S50">
        <v>95</v>
      </c>
      <c r="T50">
        <v>90.1</v>
      </c>
      <c r="U50">
        <v>87.4</v>
      </c>
      <c r="V50">
        <v>87.6</v>
      </c>
      <c r="W50">
        <v>57.65</v>
      </c>
      <c r="X50">
        <v>92.35</v>
      </c>
      <c r="AA50" s="7">
        <f t="shared" si="23"/>
        <v>1179</v>
      </c>
    </row>
    <row r="51" spans="1:27">
      <c r="A51" s="1">
        <v>45635</v>
      </c>
      <c r="B51">
        <v>80.650000000000006</v>
      </c>
      <c r="C51">
        <v>73.900000000000006</v>
      </c>
      <c r="D51">
        <v>67.05</v>
      </c>
      <c r="E51">
        <v>71.319999999999993</v>
      </c>
      <c r="F51">
        <v>62.85</v>
      </c>
      <c r="G51">
        <v>67.3</v>
      </c>
      <c r="H51">
        <v>78.98</v>
      </c>
      <c r="I51">
        <v>72.56</v>
      </c>
      <c r="J51">
        <v>67</v>
      </c>
      <c r="K51">
        <v>69.48</v>
      </c>
      <c r="L51">
        <v>63.48</v>
      </c>
      <c r="M51">
        <v>96.9</v>
      </c>
      <c r="N51">
        <v>92.05</v>
      </c>
      <c r="O51">
        <v>90.1</v>
      </c>
      <c r="P51">
        <v>90.8</v>
      </c>
      <c r="Q51">
        <v>58.58</v>
      </c>
      <c r="R51">
        <v>93.69</v>
      </c>
      <c r="S51">
        <v>95</v>
      </c>
      <c r="T51">
        <v>90.32</v>
      </c>
      <c r="U51">
        <v>88.4</v>
      </c>
      <c r="V51">
        <v>89.25</v>
      </c>
      <c r="W51">
        <v>57.75</v>
      </c>
      <c r="X51">
        <v>91.81</v>
      </c>
      <c r="AA51" s="7">
        <f t="shared" si="23"/>
        <v>1180</v>
      </c>
    </row>
    <row r="52" spans="1:27">
      <c r="A52" s="1">
        <v>45636</v>
      </c>
      <c r="B52">
        <v>80.650000000000006</v>
      </c>
      <c r="C52">
        <v>73.209999999999994</v>
      </c>
      <c r="D52">
        <v>66.790000000000006</v>
      </c>
      <c r="E52">
        <v>71.08</v>
      </c>
      <c r="F52">
        <v>62.26</v>
      </c>
      <c r="G52">
        <v>67.05</v>
      </c>
      <c r="H52">
        <v>78.680000000000007</v>
      </c>
      <c r="I52">
        <v>71.760000000000005</v>
      </c>
      <c r="J52">
        <v>66.63</v>
      </c>
      <c r="K52">
        <v>69.2</v>
      </c>
      <c r="L52">
        <v>62.65</v>
      </c>
      <c r="M52">
        <v>96.87</v>
      </c>
      <c r="N52">
        <v>91.65</v>
      </c>
      <c r="O52">
        <v>89.34</v>
      </c>
      <c r="P52">
        <v>90.5</v>
      </c>
      <c r="Q52">
        <v>58.52</v>
      </c>
      <c r="R52">
        <v>93.2</v>
      </c>
      <c r="S52">
        <v>94.9</v>
      </c>
      <c r="T52">
        <v>90.25</v>
      </c>
      <c r="U52">
        <v>87.64</v>
      </c>
      <c r="V52">
        <v>89.22</v>
      </c>
      <c r="W52">
        <v>57.4</v>
      </c>
      <c r="X52">
        <v>91.5</v>
      </c>
      <c r="AA52" s="7">
        <f t="shared" si="23"/>
        <v>1181</v>
      </c>
    </row>
    <row r="53" spans="1:27">
      <c r="A53" s="1">
        <v>45637</v>
      </c>
      <c r="B53">
        <v>80.78</v>
      </c>
      <c r="C53">
        <v>74.25</v>
      </c>
      <c r="D53">
        <v>67.3</v>
      </c>
      <c r="E53">
        <v>71.8</v>
      </c>
      <c r="F53">
        <v>62.75</v>
      </c>
      <c r="G53">
        <v>67.599999999999994</v>
      </c>
      <c r="H53">
        <v>78.8</v>
      </c>
      <c r="I53">
        <v>72.760000000000005</v>
      </c>
      <c r="J53">
        <v>67.2</v>
      </c>
      <c r="K53">
        <v>70.239999999999995</v>
      </c>
      <c r="L53">
        <v>63.49</v>
      </c>
      <c r="M53">
        <v>96.53</v>
      </c>
      <c r="N53">
        <v>91.63</v>
      </c>
      <c r="O53">
        <v>89.2</v>
      </c>
      <c r="P53">
        <v>89.36</v>
      </c>
      <c r="Q53">
        <v>58.69</v>
      </c>
      <c r="R53">
        <v>93.1</v>
      </c>
      <c r="S53">
        <v>95.05</v>
      </c>
      <c r="T53">
        <v>90.3</v>
      </c>
      <c r="U53">
        <v>87.77</v>
      </c>
      <c r="V53">
        <v>87.95</v>
      </c>
      <c r="W53">
        <v>57.5</v>
      </c>
      <c r="X53">
        <v>91.5</v>
      </c>
      <c r="AA53" s="7">
        <f t="shared" si="23"/>
        <v>1182</v>
      </c>
    </row>
    <row r="54" spans="1:27">
      <c r="A54" s="1">
        <v>45638</v>
      </c>
      <c r="B54">
        <v>81.650000000000006</v>
      </c>
      <c r="C54">
        <v>74</v>
      </c>
      <c r="D54">
        <v>67.44</v>
      </c>
      <c r="E54">
        <v>71.7</v>
      </c>
      <c r="F54">
        <v>63.3</v>
      </c>
      <c r="G54">
        <v>68.5</v>
      </c>
      <c r="H54">
        <v>79.25</v>
      </c>
      <c r="I54">
        <v>72.95</v>
      </c>
      <c r="J54">
        <v>67.3</v>
      </c>
      <c r="K54">
        <v>70.400000000000006</v>
      </c>
      <c r="L54">
        <v>63.95</v>
      </c>
      <c r="M54">
        <v>96.06</v>
      </c>
      <c r="N54">
        <v>91.3</v>
      </c>
      <c r="O54">
        <v>89.3</v>
      </c>
      <c r="P54">
        <v>89.41</v>
      </c>
      <c r="Q54">
        <v>58.79</v>
      </c>
      <c r="R54">
        <v>93.5</v>
      </c>
      <c r="S54">
        <v>94.4</v>
      </c>
      <c r="T54">
        <v>89.71</v>
      </c>
      <c r="U54">
        <v>87.7</v>
      </c>
      <c r="V54">
        <v>87.75</v>
      </c>
      <c r="W54">
        <v>57.5</v>
      </c>
      <c r="X54">
        <v>91.65</v>
      </c>
      <c r="AA54" s="7">
        <f t="shared" si="23"/>
        <v>1183</v>
      </c>
    </row>
    <row r="55" spans="1:27">
      <c r="A55" s="1">
        <v>45639</v>
      </c>
      <c r="B55">
        <v>81.99</v>
      </c>
      <c r="C55">
        <v>74.099999999999994</v>
      </c>
      <c r="D55">
        <v>67.599999999999994</v>
      </c>
      <c r="E55">
        <v>71.900000000000006</v>
      </c>
      <c r="F55">
        <v>63.55</v>
      </c>
      <c r="G55">
        <v>67.599999999999994</v>
      </c>
      <c r="H55">
        <v>79.8</v>
      </c>
      <c r="I55">
        <v>72.989999999999995</v>
      </c>
      <c r="J55">
        <v>67.319999999999993</v>
      </c>
      <c r="K55">
        <v>70.81</v>
      </c>
      <c r="L55">
        <v>63.75</v>
      </c>
      <c r="M55">
        <v>96.2</v>
      </c>
      <c r="N55">
        <v>91.5</v>
      </c>
      <c r="O55">
        <v>90.1</v>
      </c>
      <c r="P55">
        <v>90.31</v>
      </c>
      <c r="Q55">
        <v>58.84</v>
      </c>
      <c r="R55">
        <v>93.5</v>
      </c>
      <c r="S55">
        <v>94.7</v>
      </c>
      <c r="T55">
        <v>90.2</v>
      </c>
      <c r="U55">
        <v>88.39</v>
      </c>
      <c r="V55">
        <v>88.75</v>
      </c>
      <c r="W55">
        <v>57.8</v>
      </c>
      <c r="X55">
        <v>91.4</v>
      </c>
      <c r="AA55" s="7">
        <f t="shared" si="23"/>
        <v>1184</v>
      </c>
    </row>
    <row r="56" spans="1:27">
      <c r="A56" s="1">
        <v>45642</v>
      </c>
      <c r="B56">
        <v>82.6</v>
      </c>
      <c r="C56">
        <v>75.099999999999994</v>
      </c>
      <c r="D56">
        <v>68.540000000000006</v>
      </c>
      <c r="E56">
        <v>73.400000000000006</v>
      </c>
      <c r="F56">
        <v>64.69</v>
      </c>
      <c r="G56">
        <v>69.45</v>
      </c>
      <c r="H56">
        <v>80.3</v>
      </c>
      <c r="I56">
        <v>74.89</v>
      </c>
      <c r="J56">
        <v>68.5</v>
      </c>
      <c r="K56">
        <v>72.099999999999994</v>
      </c>
      <c r="L56">
        <v>64.459999999999994</v>
      </c>
      <c r="M56">
        <v>96.2</v>
      </c>
      <c r="N56">
        <v>91.85</v>
      </c>
      <c r="O56">
        <v>89.7</v>
      </c>
      <c r="P56">
        <v>89.73</v>
      </c>
      <c r="Q56">
        <v>59.18</v>
      </c>
      <c r="R56">
        <v>92.8</v>
      </c>
      <c r="S56">
        <v>94.55</v>
      </c>
      <c r="T56">
        <v>90.35</v>
      </c>
      <c r="U56">
        <v>88.3</v>
      </c>
      <c r="V56">
        <v>88.04</v>
      </c>
      <c r="W56">
        <v>58.1</v>
      </c>
      <c r="X56">
        <v>91.35</v>
      </c>
      <c r="AA56" s="7">
        <f t="shared" si="23"/>
        <v>1185</v>
      </c>
    </row>
    <row r="57" spans="1:27">
      <c r="A57" s="1">
        <v>45643</v>
      </c>
      <c r="B57">
        <v>82.98</v>
      </c>
      <c r="C57">
        <v>74.599999999999994</v>
      </c>
      <c r="D57">
        <v>68.599999999999994</v>
      </c>
      <c r="E57">
        <v>72.8</v>
      </c>
      <c r="F57">
        <v>64.08</v>
      </c>
      <c r="G57">
        <v>68.5</v>
      </c>
      <c r="H57">
        <v>80.23</v>
      </c>
      <c r="I57">
        <v>73.8</v>
      </c>
      <c r="J57">
        <v>67.900000000000006</v>
      </c>
      <c r="K57">
        <v>72.260000000000005</v>
      </c>
      <c r="L57">
        <v>64.599999999999994</v>
      </c>
      <c r="M57">
        <v>96.05</v>
      </c>
      <c r="N57">
        <v>91.6</v>
      </c>
      <c r="O57">
        <v>89.36</v>
      </c>
      <c r="P57">
        <v>89.25</v>
      </c>
      <c r="Q57">
        <v>58.05</v>
      </c>
      <c r="R57">
        <v>92.45</v>
      </c>
      <c r="S57">
        <v>94.75</v>
      </c>
      <c r="T57">
        <v>90.2</v>
      </c>
      <c r="U57">
        <v>87.95</v>
      </c>
      <c r="V57">
        <v>87.7</v>
      </c>
      <c r="W57">
        <v>58.5</v>
      </c>
      <c r="X57">
        <v>90.95</v>
      </c>
      <c r="AA57" s="7">
        <f t="shared" si="23"/>
        <v>1186</v>
      </c>
    </row>
    <row r="58" spans="1:27">
      <c r="A58" s="1">
        <v>45644</v>
      </c>
      <c r="B58">
        <v>83.3</v>
      </c>
      <c r="C58">
        <v>76</v>
      </c>
      <c r="D58">
        <v>68.790000000000006</v>
      </c>
      <c r="E58">
        <v>73.16</v>
      </c>
      <c r="F58">
        <v>64.849999999999994</v>
      </c>
      <c r="G58">
        <v>70.099999999999994</v>
      </c>
      <c r="H58">
        <v>81.7</v>
      </c>
      <c r="I58">
        <v>75.7</v>
      </c>
      <c r="J58">
        <v>68.900000000000006</v>
      </c>
      <c r="K58">
        <v>72.599999999999994</v>
      </c>
      <c r="L58">
        <v>65.400000000000006</v>
      </c>
      <c r="M58">
        <v>96.75</v>
      </c>
      <c r="N58">
        <v>91.3</v>
      </c>
      <c r="O58">
        <v>89.3</v>
      </c>
      <c r="P58">
        <v>90.09</v>
      </c>
      <c r="Q58">
        <v>59.66</v>
      </c>
      <c r="R58">
        <v>92.4</v>
      </c>
      <c r="S58">
        <v>94.29</v>
      </c>
      <c r="T58">
        <v>90.1</v>
      </c>
      <c r="U58">
        <v>88.15</v>
      </c>
      <c r="V58">
        <v>88.76</v>
      </c>
      <c r="W58">
        <v>58.4</v>
      </c>
      <c r="X58">
        <v>91.2</v>
      </c>
      <c r="AA58" s="7">
        <f t="shared" si="23"/>
        <v>1187</v>
      </c>
    </row>
    <row r="59" spans="1:27">
      <c r="A59" s="1">
        <v>45645</v>
      </c>
      <c r="B59">
        <v>82.84</v>
      </c>
      <c r="C59">
        <v>74.88</v>
      </c>
      <c r="D59">
        <v>68</v>
      </c>
      <c r="E59">
        <v>72.349999999999994</v>
      </c>
      <c r="F59">
        <v>64.099999999999994</v>
      </c>
      <c r="G59">
        <v>69.11</v>
      </c>
      <c r="H59">
        <v>81.02</v>
      </c>
      <c r="I59">
        <v>74.17</v>
      </c>
      <c r="J59">
        <v>67.680000000000007</v>
      </c>
      <c r="K59">
        <v>71.650000000000006</v>
      </c>
      <c r="L59">
        <v>64.3</v>
      </c>
      <c r="M59">
        <v>96.1</v>
      </c>
      <c r="N59">
        <v>91.4</v>
      </c>
      <c r="O59">
        <v>89.06</v>
      </c>
      <c r="P59">
        <v>89.1</v>
      </c>
      <c r="Q59">
        <v>59.43</v>
      </c>
      <c r="R59">
        <v>92.15</v>
      </c>
      <c r="S59">
        <v>95</v>
      </c>
      <c r="T59">
        <v>90.05</v>
      </c>
      <c r="U59">
        <v>88</v>
      </c>
      <c r="V59">
        <v>88.4</v>
      </c>
      <c r="W59">
        <v>58.75</v>
      </c>
      <c r="X59">
        <v>91</v>
      </c>
      <c r="AA59" s="7">
        <f t="shared" si="23"/>
        <v>1188</v>
      </c>
    </row>
    <row r="60" spans="1:27">
      <c r="A60" s="1">
        <v>45646</v>
      </c>
      <c r="B60">
        <v>82.3</v>
      </c>
      <c r="C60">
        <v>74.510000000000005</v>
      </c>
      <c r="D60">
        <v>68.099999999999994</v>
      </c>
      <c r="E60">
        <v>72.790000000000006</v>
      </c>
      <c r="F60">
        <v>64.28</v>
      </c>
      <c r="G60">
        <v>69.75</v>
      </c>
      <c r="H60">
        <v>81</v>
      </c>
      <c r="I60">
        <v>73.61</v>
      </c>
      <c r="J60">
        <v>67.42</v>
      </c>
      <c r="K60">
        <v>71.34</v>
      </c>
      <c r="L60">
        <v>64.34</v>
      </c>
      <c r="M60">
        <v>95.4</v>
      </c>
      <c r="N60">
        <v>91.2</v>
      </c>
      <c r="O60">
        <v>89.64</v>
      </c>
      <c r="P60">
        <v>89.35</v>
      </c>
      <c r="Q60">
        <v>60.2</v>
      </c>
      <c r="R60">
        <v>91.9</v>
      </c>
      <c r="S60">
        <v>94.75</v>
      </c>
      <c r="T60">
        <v>90.1</v>
      </c>
      <c r="U60">
        <v>88.25</v>
      </c>
      <c r="V60">
        <v>88.04</v>
      </c>
      <c r="W60">
        <v>59.08</v>
      </c>
      <c r="X60">
        <v>90.8</v>
      </c>
      <c r="AA60" s="7">
        <f t="shared" si="23"/>
        <v>1189</v>
      </c>
    </row>
    <row r="61" spans="1:27">
      <c r="A61" s="1">
        <v>45649</v>
      </c>
      <c r="B61">
        <v>83.15</v>
      </c>
      <c r="C61">
        <v>75.05</v>
      </c>
      <c r="D61">
        <v>68.5</v>
      </c>
      <c r="E61">
        <v>72.680000000000007</v>
      </c>
      <c r="F61">
        <v>64.81</v>
      </c>
      <c r="G61">
        <v>70</v>
      </c>
      <c r="H61">
        <v>81.09</v>
      </c>
      <c r="I61">
        <v>74.31</v>
      </c>
      <c r="J61">
        <v>68.739999999999995</v>
      </c>
      <c r="K61">
        <v>72.08</v>
      </c>
      <c r="L61">
        <v>65.069999999999993</v>
      </c>
      <c r="M61">
        <v>96.05</v>
      </c>
      <c r="N61">
        <v>91.41</v>
      </c>
      <c r="O61">
        <v>89.25</v>
      </c>
      <c r="P61">
        <v>89.41</v>
      </c>
      <c r="Q61">
        <v>60.63</v>
      </c>
      <c r="R61">
        <v>93</v>
      </c>
      <c r="S61">
        <v>94.5</v>
      </c>
      <c r="T61">
        <v>90.04</v>
      </c>
      <c r="U61">
        <v>88.3</v>
      </c>
      <c r="V61">
        <v>88.32</v>
      </c>
      <c r="W61">
        <v>59.7</v>
      </c>
      <c r="X61">
        <v>91.7</v>
      </c>
      <c r="AA61" s="7">
        <f t="shared" si="23"/>
        <v>1190</v>
      </c>
    </row>
    <row r="62" spans="1:27">
      <c r="A62" s="1">
        <v>45652</v>
      </c>
      <c r="B62">
        <v>83.8</v>
      </c>
      <c r="C62">
        <v>75.75</v>
      </c>
      <c r="D62">
        <v>69.7</v>
      </c>
      <c r="E62">
        <v>73.599999999999994</v>
      </c>
      <c r="F62">
        <v>65.69</v>
      </c>
      <c r="G62">
        <v>70.599999999999994</v>
      </c>
      <c r="H62">
        <v>80.88</v>
      </c>
      <c r="I62">
        <v>75.260000000000005</v>
      </c>
      <c r="J62">
        <v>69.2</v>
      </c>
      <c r="K62">
        <v>72.8</v>
      </c>
      <c r="L62">
        <v>66</v>
      </c>
      <c r="M62">
        <v>95.5</v>
      </c>
      <c r="N62">
        <v>90.78</v>
      </c>
      <c r="O62">
        <v>89</v>
      </c>
      <c r="P62">
        <v>90.09</v>
      </c>
      <c r="Q62">
        <v>61.42</v>
      </c>
      <c r="R62">
        <v>93.24</v>
      </c>
      <c r="S62">
        <v>94.4</v>
      </c>
      <c r="T62">
        <v>89.85</v>
      </c>
      <c r="U62">
        <v>87.85</v>
      </c>
      <c r="V62">
        <v>88.4</v>
      </c>
      <c r="W62">
        <v>60.86</v>
      </c>
      <c r="X62">
        <v>92.1</v>
      </c>
      <c r="AA62" s="7">
        <f t="shared" si="23"/>
        <v>1191</v>
      </c>
    </row>
    <row r="63" spans="1:27">
      <c r="A63" s="1">
        <v>45653</v>
      </c>
      <c r="B63">
        <v>83.51</v>
      </c>
      <c r="C63">
        <v>75.37</v>
      </c>
      <c r="D63">
        <v>70</v>
      </c>
      <c r="E63">
        <v>74</v>
      </c>
      <c r="F63">
        <v>65.510000000000005</v>
      </c>
      <c r="G63">
        <v>70.3</v>
      </c>
      <c r="H63">
        <v>81</v>
      </c>
      <c r="I63">
        <v>74.930000000000007</v>
      </c>
      <c r="J63">
        <v>69.2</v>
      </c>
      <c r="K63">
        <v>73.36</v>
      </c>
      <c r="L63">
        <v>66.400000000000006</v>
      </c>
      <c r="M63">
        <v>95.6</v>
      </c>
      <c r="N63">
        <v>91.45</v>
      </c>
      <c r="O63">
        <v>90</v>
      </c>
      <c r="P63">
        <v>90.7</v>
      </c>
      <c r="Q63">
        <v>52.92</v>
      </c>
      <c r="R63">
        <v>93.75</v>
      </c>
      <c r="S63">
        <v>94.9</v>
      </c>
      <c r="T63">
        <v>90.3</v>
      </c>
      <c r="U63">
        <v>88.6</v>
      </c>
      <c r="V63">
        <v>89.73</v>
      </c>
      <c r="W63">
        <v>52.776000000000003</v>
      </c>
      <c r="X63">
        <v>92.5</v>
      </c>
      <c r="AA63" s="7">
        <f t="shared" si="23"/>
        <v>1192</v>
      </c>
    </row>
    <row r="64" spans="1:27">
      <c r="A64" s="1">
        <v>45656</v>
      </c>
      <c r="B64">
        <v>84.01</v>
      </c>
      <c r="C64">
        <v>75.87</v>
      </c>
      <c r="D64">
        <v>70</v>
      </c>
      <c r="E64">
        <v>74</v>
      </c>
      <c r="F64">
        <v>65.7</v>
      </c>
      <c r="G64">
        <v>72.05</v>
      </c>
      <c r="H64">
        <v>82.1</v>
      </c>
      <c r="I64">
        <v>75.22</v>
      </c>
      <c r="J64">
        <v>69.89</v>
      </c>
      <c r="K64">
        <v>73.900000000000006</v>
      </c>
      <c r="L64">
        <v>66</v>
      </c>
      <c r="M64">
        <v>96.45</v>
      </c>
      <c r="N64">
        <v>91.41</v>
      </c>
      <c r="O64">
        <v>90</v>
      </c>
      <c r="P64">
        <v>89.82</v>
      </c>
      <c r="Q64">
        <v>51.21</v>
      </c>
      <c r="R64">
        <v>94.65</v>
      </c>
      <c r="S64">
        <v>95</v>
      </c>
      <c r="T64">
        <v>90.06</v>
      </c>
      <c r="U64">
        <v>89</v>
      </c>
      <c r="V64">
        <v>89</v>
      </c>
      <c r="W64">
        <v>50.57</v>
      </c>
      <c r="X64">
        <v>93.5</v>
      </c>
      <c r="AA64" s="7">
        <f t="shared" si="23"/>
        <v>1193</v>
      </c>
    </row>
    <row r="65" spans="1:27">
      <c r="A65" s="1">
        <v>45659</v>
      </c>
      <c r="B65">
        <v>84.24</v>
      </c>
      <c r="C65">
        <v>76.8</v>
      </c>
      <c r="D65">
        <v>70.95</v>
      </c>
      <c r="E65">
        <v>74.89</v>
      </c>
      <c r="F65">
        <v>66.349999999999994</v>
      </c>
      <c r="G65">
        <v>71.010000000000005</v>
      </c>
      <c r="H65">
        <v>83</v>
      </c>
      <c r="I65">
        <v>76.2</v>
      </c>
      <c r="J65">
        <v>70.010000000000005</v>
      </c>
      <c r="K65">
        <v>74.5</v>
      </c>
      <c r="L65">
        <v>66.989999999999995</v>
      </c>
      <c r="M65">
        <v>96.08</v>
      </c>
      <c r="N65">
        <v>91.3</v>
      </c>
      <c r="O65">
        <v>89.92</v>
      </c>
      <c r="P65">
        <v>90.24</v>
      </c>
      <c r="Q65">
        <v>50.7</v>
      </c>
      <c r="R65">
        <v>94.17</v>
      </c>
      <c r="S65">
        <v>94.8</v>
      </c>
      <c r="T65">
        <v>90.2</v>
      </c>
      <c r="U65">
        <v>88.8</v>
      </c>
      <c r="V65">
        <v>89.3</v>
      </c>
      <c r="W65">
        <v>50.26</v>
      </c>
      <c r="X65">
        <v>93.16</v>
      </c>
      <c r="AA65" s="7">
        <f t="shared" si="23"/>
        <v>1194</v>
      </c>
    </row>
    <row r="66" spans="1:27">
      <c r="A66" s="1">
        <v>45660</v>
      </c>
      <c r="B66">
        <v>85.3</v>
      </c>
      <c r="C66">
        <v>77.040000000000006</v>
      </c>
      <c r="D66">
        <v>71.2</v>
      </c>
      <c r="E66">
        <v>75.42</v>
      </c>
      <c r="F66">
        <v>66.900000000000006</v>
      </c>
      <c r="G66">
        <v>72.5</v>
      </c>
      <c r="H66">
        <v>83.84</v>
      </c>
      <c r="I66">
        <v>76.260000000000005</v>
      </c>
      <c r="J66">
        <v>70.900000000000006</v>
      </c>
      <c r="K66">
        <v>75.45</v>
      </c>
      <c r="L66">
        <v>67.319999999999993</v>
      </c>
      <c r="M66">
        <v>97</v>
      </c>
      <c r="N66">
        <v>93</v>
      </c>
      <c r="O66">
        <v>91.24</v>
      </c>
      <c r="P66">
        <v>91.5</v>
      </c>
      <c r="Q66">
        <v>52.99</v>
      </c>
      <c r="R66">
        <v>95.39</v>
      </c>
      <c r="S66">
        <v>95.25</v>
      </c>
      <c r="T66">
        <v>90.9</v>
      </c>
      <c r="U66">
        <v>89</v>
      </c>
      <c r="V66">
        <v>90.38</v>
      </c>
      <c r="W66">
        <v>51.95</v>
      </c>
      <c r="X66">
        <v>93.9</v>
      </c>
      <c r="AA66" s="7">
        <f t="shared" si="23"/>
        <v>1195</v>
      </c>
    </row>
    <row r="67" spans="1:27">
      <c r="A67" s="1">
        <v>45663</v>
      </c>
      <c r="B67">
        <v>85.22</v>
      </c>
      <c r="C67">
        <v>78.02</v>
      </c>
      <c r="D67">
        <v>72.16</v>
      </c>
      <c r="E67">
        <v>76.33</v>
      </c>
      <c r="F67">
        <v>67.5</v>
      </c>
      <c r="G67">
        <v>72.95</v>
      </c>
      <c r="H67">
        <v>83.73</v>
      </c>
      <c r="I67">
        <v>76.930000000000007</v>
      </c>
      <c r="J67">
        <v>71.69</v>
      </c>
      <c r="K67">
        <v>75.78</v>
      </c>
      <c r="L67">
        <v>67.739999999999995</v>
      </c>
      <c r="M67">
        <v>97.6</v>
      </c>
      <c r="N67">
        <v>93.84</v>
      </c>
      <c r="O67">
        <v>92.3</v>
      </c>
      <c r="P67">
        <v>92.3</v>
      </c>
      <c r="Q67">
        <v>52.99</v>
      </c>
      <c r="R67">
        <v>95.5</v>
      </c>
      <c r="S67">
        <v>95.9</v>
      </c>
      <c r="T67">
        <v>92.2</v>
      </c>
      <c r="U67">
        <v>90.79</v>
      </c>
      <c r="V67">
        <v>90.69</v>
      </c>
      <c r="W67">
        <v>52.21</v>
      </c>
      <c r="X67">
        <v>93.95</v>
      </c>
      <c r="AA67" s="7">
        <f t="shared" si="23"/>
        <v>1196</v>
      </c>
    </row>
    <row r="68" spans="1:27">
      <c r="A68" s="1">
        <v>45664</v>
      </c>
      <c r="B68">
        <v>84.94</v>
      </c>
      <c r="C68">
        <v>77.819999999999993</v>
      </c>
      <c r="D68">
        <v>72.5</v>
      </c>
      <c r="E68">
        <v>76.650000000000006</v>
      </c>
      <c r="F68">
        <v>67.97</v>
      </c>
      <c r="G68">
        <v>72.849999999999994</v>
      </c>
      <c r="H68">
        <v>82.29</v>
      </c>
      <c r="I68">
        <v>76.739999999999995</v>
      </c>
      <c r="J68">
        <v>71.599999999999994</v>
      </c>
      <c r="K68">
        <v>75.66</v>
      </c>
      <c r="L68">
        <v>67.95</v>
      </c>
      <c r="M68">
        <v>98</v>
      </c>
      <c r="N68">
        <v>94.4</v>
      </c>
      <c r="O68">
        <v>92.65</v>
      </c>
      <c r="P68">
        <v>92.6</v>
      </c>
      <c r="Q68">
        <v>51.09</v>
      </c>
      <c r="R68">
        <v>95.9</v>
      </c>
      <c r="S68">
        <v>96</v>
      </c>
      <c r="T68">
        <v>93</v>
      </c>
      <c r="U68">
        <v>91.12</v>
      </c>
      <c r="V68">
        <v>91.4</v>
      </c>
      <c r="W68">
        <v>50.1</v>
      </c>
      <c r="X68">
        <v>94.2</v>
      </c>
      <c r="AA68" s="7">
        <f t="shared" si="23"/>
        <v>1197</v>
      </c>
    </row>
    <row r="69" spans="1:27">
      <c r="A69" s="1">
        <v>45665</v>
      </c>
      <c r="B69">
        <v>74.150000000000006</v>
      </c>
      <c r="C69">
        <v>69.16</v>
      </c>
      <c r="D69">
        <v>70.400000000000006</v>
      </c>
      <c r="E69">
        <v>74.14</v>
      </c>
      <c r="F69">
        <v>66</v>
      </c>
      <c r="G69">
        <v>68.78</v>
      </c>
      <c r="H69">
        <v>71.28</v>
      </c>
      <c r="I69">
        <v>68.349999999999994</v>
      </c>
      <c r="J69">
        <v>69.98</v>
      </c>
      <c r="K69">
        <v>73.31</v>
      </c>
      <c r="L69">
        <v>66.09</v>
      </c>
      <c r="M69">
        <v>97.74</v>
      </c>
      <c r="N69">
        <v>94.35</v>
      </c>
      <c r="O69">
        <v>92.8</v>
      </c>
      <c r="P69">
        <v>92.53</v>
      </c>
      <c r="Q69">
        <v>52.17</v>
      </c>
      <c r="R69">
        <v>95.92</v>
      </c>
      <c r="S69">
        <v>96.2</v>
      </c>
      <c r="T69">
        <v>92.5</v>
      </c>
      <c r="U69">
        <v>90.9</v>
      </c>
      <c r="V69">
        <v>90.8</v>
      </c>
      <c r="W69">
        <v>50.96</v>
      </c>
      <c r="X69">
        <v>93.9</v>
      </c>
      <c r="AA69" s="7">
        <f t="shared" ref="AA69:AA132" si="25">+AA68+1</f>
        <v>1198</v>
      </c>
    </row>
    <row r="70" spans="1:27">
      <c r="A70" s="1">
        <v>45666</v>
      </c>
      <c r="B70">
        <v>74.599999999999994</v>
      </c>
      <c r="C70">
        <v>68.900000000000006</v>
      </c>
      <c r="D70">
        <v>70.8</v>
      </c>
      <c r="E70">
        <v>74.45</v>
      </c>
      <c r="F70">
        <v>66.66</v>
      </c>
      <c r="G70">
        <v>68.7</v>
      </c>
      <c r="H70">
        <v>73.3</v>
      </c>
      <c r="I70">
        <v>68.510000000000005</v>
      </c>
      <c r="J70">
        <v>70</v>
      </c>
      <c r="K70">
        <v>73.63</v>
      </c>
      <c r="L70">
        <v>66.75</v>
      </c>
      <c r="M70">
        <v>97.6</v>
      </c>
      <c r="N70">
        <v>93.91</v>
      </c>
      <c r="O70">
        <v>92.89</v>
      </c>
      <c r="P70">
        <v>93.1</v>
      </c>
      <c r="Q70">
        <v>51.94</v>
      </c>
      <c r="R70">
        <v>95.5</v>
      </c>
      <c r="S70">
        <v>95.9</v>
      </c>
      <c r="T70">
        <v>92.5</v>
      </c>
      <c r="U70">
        <v>91.14</v>
      </c>
      <c r="V70">
        <v>91.2</v>
      </c>
      <c r="W70">
        <v>50.98</v>
      </c>
      <c r="X70">
        <v>93.8</v>
      </c>
      <c r="AA70" s="7">
        <f t="shared" si="25"/>
        <v>1199</v>
      </c>
    </row>
    <row r="71" spans="1:27">
      <c r="A71" s="1">
        <v>45667</v>
      </c>
      <c r="B71">
        <v>74.62</v>
      </c>
      <c r="C71">
        <v>68.84</v>
      </c>
      <c r="D71">
        <v>70.14</v>
      </c>
      <c r="E71">
        <v>74.55</v>
      </c>
      <c r="F71">
        <v>65.849999999999994</v>
      </c>
      <c r="G71">
        <v>69</v>
      </c>
      <c r="H71">
        <v>72.400000000000006</v>
      </c>
      <c r="I71">
        <v>68.48</v>
      </c>
      <c r="J71">
        <v>70</v>
      </c>
      <c r="K71">
        <v>73.45</v>
      </c>
      <c r="L71">
        <v>66.5</v>
      </c>
      <c r="M71">
        <v>97.74</v>
      </c>
      <c r="N71">
        <v>94.2</v>
      </c>
      <c r="O71">
        <v>92.8</v>
      </c>
      <c r="P71">
        <v>93.72</v>
      </c>
      <c r="Q71">
        <v>52</v>
      </c>
      <c r="R71">
        <v>96.07</v>
      </c>
      <c r="S71">
        <v>95.4</v>
      </c>
      <c r="T71">
        <v>92.25</v>
      </c>
      <c r="U71">
        <v>90.9</v>
      </c>
      <c r="V71">
        <v>91.26</v>
      </c>
      <c r="W71">
        <v>50.85</v>
      </c>
      <c r="X71">
        <v>94.15</v>
      </c>
      <c r="AA71" s="7">
        <f t="shared" si="25"/>
        <v>1200</v>
      </c>
    </row>
    <row r="72" spans="1:27">
      <c r="A72" s="1">
        <v>45670</v>
      </c>
      <c r="B72">
        <v>73.099999999999994</v>
      </c>
      <c r="C72">
        <v>68.53</v>
      </c>
      <c r="D72">
        <v>69.599999999999994</v>
      </c>
      <c r="E72">
        <v>74</v>
      </c>
      <c r="F72">
        <v>64.87</v>
      </c>
      <c r="G72">
        <v>68.89</v>
      </c>
      <c r="H72">
        <v>72.31</v>
      </c>
      <c r="I72">
        <v>68.47</v>
      </c>
      <c r="J72">
        <v>69.48</v>
      </c>
      <c r="K72">
        <v>72.17</v>
      </c>
      <c r="L72">
        <v>65.349999999999994</v>
      </c>
      <c r="M72">
        <v>98.24</v>
      </c>
      <c r="N72">
        <v>94.5</v>
      </c>
      <c r="O72">
        <v>92.64</v>
      </c>
      <c r="P72">
        <v>92.9</v>
      </c>
      <c r="Q72">
        <v>53.47</v>
      </c>
      <c r="R72">
        <v>95.97</v>
      </c>
      <c r="S72">
        <v>95.99</v>
      </c>
      <c r="T72">
        <v>92.75</v>
      </c>
      <c r="U72">
        <v>90.7</v>
      </c>
      <c r="V72">
        <v>91.1</v>
      </c>
      <c r="W72">
        <v>50.85</v>
      </c>
      <c r="X72">
        <v>94</v>
      </c>
      <c r="AA72" s="7">
        <f t="shared" si="25"/>
        <v>1201</v>
      </c>
    </row>
    <row r="73" spans="1:27">
      <c r="A73" s="1">
        <v>45671</v>
      </c>
      <c r="B73">
        <v>72.33</v>
      </c>
      <c r="C73">
        <v>68.77</v>
      </c>
      <c r="D73">
        <v>69.95</v>
      </c>
      <c r="E73">
        <v>74.36</v>
      </c>
      <c r="F73">
        <v>65.5</v>
      </c>
      <c r="G73">
        <v>67.48</v>
      </c>
      <c r="H73">
        <v>71.7</v>
      </c>
      <c r="I73">
        <v>68.62</v>
      </c>
      <c r="J73">
        <v>69.87</v>
      </c>
      <c r="K73">
        <v>72.09</v>
      </c>
      <c r="L73">
        <v>65.98</v>
      </c>
      <c r="M73">
        <v>98.24</v>
      </c>
      <c r="N73">
        <v>94.25</v>
      </c>
      <c r="O73">
        <v>92.59</v>
      </c>
      <c r="P73">
        <v>93.36</v>
      </c>
      <c r="Q73">
        <v>52.32</v>
      </c>
      <c r="R73">
        <v>95.82</v>
      </c>
      <c r="S73">
        <v>96.3</v>
      </c>
      <c r="T73">
        <v>92.3</v>
      </c>
      <c r="U73">
        <v>90.75</v>
      </c>
      <c r="V73">
        <v>91.5</v>
      </c>
      <c r="W73">
        <v>51.36</v>
      </c>
      <c r="X73">
        <v>94.15</v>
      </c>
      <c r="AA73" s="7">
        <f t="shared" si="25"/>
        <v>1202</v>
      </c>
    </row>
    <row r="74" spans="1:27">
      <c r="A74" s="1">
        <v>45672</v>
      </c>
      <c r="B74">
        <v>72.3</v>
      </c>
      <c r="C74">
        <v>68.11</v>
      </c>
      <c r="D74">
        <v>69.55</v>
      </c>
      <c r="E74">
        <v>73.510000000000005</v>
      </c>
      <c r="F74">
        <v>65.16</v>
      </c>
      <c r="G74">
        <v>67.489999999999995</v>
      </c>
      <c r="H74">
        <v>71.349999999999994</v>
      </c>
      <c r="I74">
        <v>68</v>
      </c>
      <c r="J74">
        <v>69</v>
      </c>
      <c r="K74">
        <v>72.05</v>
      </c>
      <c r="L74">
        <v>65.39</v>
      </c>
      <c r="M74">
        <v>98.15</v>
      </c>
      <c r="N74">
        <v>94.25</v>
      </c>
      <c r="O74">
        <v>92.5</v>
      </c>
      <c r="P74">
        <v>93.19</v>
      </c>
      <c r="Q74">
        <v>51.46</v>
      </c>
      <c r="R74">
        <v>95.91</v>
      </c>
      <c r="S74">
        <v>96.8</v>
      </c>
      <c r="T74">
        <v>92.3</v>
      </c>
      <c r="U74">
        <v>90.83</v>
      </c>
      <c r="V74">
        <v>91.2</v>
      </c>
      <c r="W74">
        <v>51.48</v>
      </c>
      <c r="X74">
        <v>94.15</v>
      </c>
      <c r="AA74" s="7">
        <f t="shared" si="25"/>
        <v>1203</v>
      </c>
    </row>
    <row r="75" spans="1:27">
      <c r="A75" s="1">
        <v>45673</v>
      </c>
      <c r="B75">
        <v>71.86</v>
      </c>
      <c r="C75">
        <v>67.75</v>
      </c>
      <c r="D75">
        <v>68.89</v>
      </c>
      <c r="E75">
        <v>72.790000000000006</v>
      </c>
      <c r="F75">
        <v>64.430000000000007</v>
      </c>
      <c r="G75">
        <v>66.17</v>
      </c>
      <c r="H75">
        <v>70.17</v>
      </c>
      <c r="I75">
        <v>67.7</v>
      </c>
      <c r="J75">
        <v>68.52</v>
      </c>
      <c r="K75">
        <v>71.2</v>
      </c>
      <c r="L75">
        <v>64</v>
      </c>
      <c r="M75">
        <v>98</v>
      </c>
      <c r="N75">
        <v>94.29</v>
      </c>
      <c r="O75">
        <v>91.9</v>
      </c>
      <c r="P75">
        <v>92.39</v>
      </c>
      <c r="Q75">
        <v>51.9</v>
      </c>
      <c r="R75">
        <v>95.78</v>
      </c>
      <c r="S75">
        <v>96.19</v>
      </c>
      <c r="T75">
        <v>92.5</v>
      </c>
      <c r="U75">
        <v>90.15</v>
      </c>
      <c r="V75">
        <v>90.8</v>
      </c>
      <c r="W75">
        <v>51.13</v>
      </c>
      <c r="X75">
        <v>93.85</v>
      </c>
      <c r="AA75" s="7">
        <f t="shared" si="25"/>
        <v>1204</v>
      </c>
    </row>
    <row r="76" spans="1:27">
      <c r="A76" s="1">
        <v>45674</v>
      </c>
      <c r="B76">
        <v>70.48</v>
      </c>
      <c r="C76">
        <v>66.900000000000006</v>
      </c>
      <c r="D76">
        <v>67.87</v>
      </c>
      <c r="E76">
        <v>72.099999999999994</v>
      </c>
      <c r="F76">
        <v>63.14</v>
      </c>
      <c r="G76">
        <v>65.3</v>
      </c>
      <c r="H76">
        <v>69.34</v>
      </c>
      <c r="I76">
        <v>66.930000000000007</v>
      </c>
      <c r="J76">
        <v>67.599999999999994</v>
      </c>
      <c r="K76">
        <v>70.61</v>
      </c>
      <c r="L76">
        <v>63.25</v>
      </c>
      <c r="M76">
        <v>97.8</v>
      </c>
      <c r="N76">
        <v>94.05</v>
      </c>
      <c r="O76">
        <v>92.11</v>
      </c>
      <c r="P76">
        <v>92.45</v>
      </c>
      <c r="Q76">
        <v>51.68</v>
      </c>
      <c r="R76">
        <v>95.75</v>
      </c>
      <c r="S76">
        <v>96</v>
      </c>
      <c r="T76">
        <v>92.4</v>
      </c>
      <c r="U76">
        <v>90.4</v>
      </c>
      <c r="V76">
        <v>90.65</v>
      </c>
      <c r="W76">
        <v>50.76</v>
      </c>
      <c r="X76">
        <v>94</v>
      </c>
      <c r="AA76" s="7">
        <f t="shared" si="25"/>
        <v>1205</v>
      </c>
    </row>
    <row r="77" spans="1:27">
      <c r="A77" s="1">
        <v>45677</v>
      </c>
      <c r="B77">
        <v>70.5</v>
      </c>
      <c r="C77">
        <v>66.8</v>
      </c>
      <c r="D77">
        <v>67.400000000000006</v>
      </c>
      <c r="E77">
        <v>72.28</v>
      </c>
      <c r="F77">
        <v>62.8</v>
      </c>
      <c r="G77">
        <v>65.2</v>
      </c>
      <c r="H77">
        <v>69.7</v>
      </c>
      <c r="I77">
        <v>66.98</v>
      </c>
      <c r="J77">
        <v>67.41</v>
      </c>
      <c r="K77">
        <v>70.599999999999994</v>
      </c>
      <c r="L77">
        <v>62.8</v>
      </c>
      <c r="M77">
        <v>97.5</v>
      </c>
      <c r="N77">
        <v>94.15</v>
      </c>
      <c r="O77">
        <v>92.6</v>
      </c>
      <c r="P77">
        <v>93.2</v>
      </c>
      <c r="Q77">
        <v>52.13</v>
      </c>
      <c r="R77">
        <v>95.8</v>
      </c>
      <c r="S77">
        <v>96</v>
      </c>
      <c r="T77">
        <v>92.5</v>
      </c>
      <c r="U77">
        <v>90.9</v>
      </c>
      <c r="V77">
        <v>91.5</v>
      </c>
      <c r="W77">
        <v>50.81</v>
      </c>
      <c r="X77">
        <v>94.15</v>
      </c>
      <c r="AA77" s="7">
        <f t="shared" si="25"/>
        <v>1206</v>
      </c>
    </row>
    <row r="78" spans="1:27">
      <c r="A78" s="1">
        <v>45678</v>
      </c>
      <c r="B78">
        <v>71.489999999999995</v>
      </c>
      <c r="C78">
        <v>67.2</v>
      </c>
      <c r="D78">
        <v>68.34</v>
      </c>
      <c r="E78">
        <v>72.92</v>
      </c>
      <c r="F78">
        <v>63.91</v>
      </c>
      <c r="G78">
        <v>65.31</v>
      </c>
      <c r="H78">
        <v>70.849999999999994</v>
      </c>
      <c r="I78">
        <v>67.06</v>
      </c>
      <c r="J78">
        <v>67.989999999999995</v>
      </c>
      <c r="K78">
        <v>70.55</v>
      </c>
      <c r="L78">
        <v>63.87</v>
      </c>
      <c r="M78">
        <v>98.3</v>
      </c>
      <c r="N78">
        <v>94.2</v>
      </c>
      <c r="O78">
        <v>92.33</v>
      </c>
      <c r="P78">
        <v>92.68</v>
      </c>
      <c r="Q78">
        <v>51.69</v>
      </c>
      <c r="R78">
        <v>95.72</v>
      </c>
      <c r="S78">
        <v>97.02</v>
      </c>
      <c r="T78">
        <v>92.55</v>
      </c>
      <c r="U78">
        <v>90.56</v>
      </c>
      <c r="V78">
        <v>90.9</v>
      </c>
      <c r="W78">
        <v>50.68</v>
      </c>
      <c r="X78">
        <v>94</v>
      </c>
      <c r="AA78" s="7">
        <f t="shared" si="25"/>
        <v>1207</v>
      </c>
    </row>
    <row r="79" spans="1:27">
      <c r="A79" s="1">
        <v>45679</v>
      </c>
      <c r="B79">
        <v>71.430000000000007</v>
      </c>
      <c r="C79">
        <v>66.7</v>
      </c>
      <c r="D79">
        <v>67.849999999999994</v>
      </c>
      <c r="E79">
        <v>72.010000000000005</v>
      </c>
      <c r="F79">
        <v>63.5</v>
      </c>
      <c r="G79">
        <v>65.900000000000006</v>
      </c>
      <c r="H79">
        <v>70.400000000000006</v>
      </c>
      <c r="I79">
        <v>66.02</v>
      </c>
      <c r="J79">
        <v>67.7</v>
      </c>
      <c r="K79">
        <v>70.58</v>
      </c>
      <c r="L79">
        <v>63.26</v>
      </c>
      <c r="M79">
        <v>98.5</v>
      </c>
      <c r="N79">
        <v>94.1</v>
      </c>
      <c r="O79">
        <v>92.1</v>
      </c>
      <c r="P79">
        <v>92.2</v>
      </c>
      <c r="Q79">
        <v>51.15</v>
      </c>
      <c r="R79">
        <v>95.8</v>
      </c>
      <c r="S79">
        <v>96.1</v>
      </c>
      <c r="T79">
        <v>92.5</v>
      </c>
      <c r="U79">
        <v>90.5</v>
      </c>
      <c r="V79">
        <v>90.6</v>
      </c>
      <c r="W79">
        <v>50.21</v>
      </c>
      <c r="X79">
        <v>94.15</v>
      </c>
      <c r="AA79" s="7">
        <f t="shared" si="25"/>
        <v>1208</v>
      </c>
    </row>
    <row r="80" spans="1:27">
      <c r="A80" s="1">
        <v>45680</v>
      </c>
      <c r="B80">
        <v>70.66</v>
      </c>
      <c r="C80">
        <v>66.41</v>
      </c>
      <c r="D80">
        <v>67.83</v>
      </c>
      <c r="E80">
        <v>72.13</v>
      </c>
      <c r="F80">
        <v>63.4</v>
      </c>
      <c r="G80">
        <v>65.37</v>
      </c>
      <c r="H80">
        <v>70.25</v>
      </c>
      <c r="I80">
        <v>65.790000000000006</v>
      </c>
      <c r="J80">
        <v>67.45</v>
      </c>
      <c r="K80">
        <v>70.010000000000005</v>
      </c>
      <c r="L80">
        <v>62.96</v>
      </c>
      <c r="M80">
        <v>97.65</v>
      </c>
      <c r="N80">
        <v>93.75</v>
      </c>
      <c r="O80">
        <v>92</v>
      </c>
      <c r="P80">
        <v>92.09</v>
      </c>
      <c r="Q80">
        <v>51.61</v>
      </c>
      <c r="R80">
        <v>95.65</v>
      </c>
      <c r="S80">
        <v>95.86</v>
      </c>
      <c r="T80">
        <v>92.07</v>
      </c>
      <c r="U80">
        <v>90.36</v>
      </c>
      <c r="V80">
        <v>90.31</v>
      </c>
      <c r="W80">
        <v>50.76</v>
      </c>
      <c r="X80">
        <v>94.23</v>
      </c>
      <c r="AA80" s="7">
        <f t="shared" si="25"/>
        <v>1209</v>
      </c>
    </row>
    <row r="81" spans="1:27">
      <c r="A81" s="1">
        <v>45681</v>
      </c>
      <c r="B81">
        <v>71.2</v>
      </c>
      <c r="C81">
        <v>66.55</v>
      </c>
      <c r="D81">
        <v>68.349999999999994</v>
      </c>
      <c r="E81">
        <v>72.680000000000007</v>
      </c>
      <c r="F81">
        <v>64.2</v>
      </c>
      <c r="G81">
        <v>65.819999999999993</v>
      </c>
      <c r="H81">
        <v>70.3</v>
      </c>
      <c r="I81">
        <v>65.94</v>
      </c>
      <c r="J81">
        <v>67.849999999999994</v>
      </c>
      <c r="K81">
        <v>70.7</v>
      </c>
      <c r="L81">
        <v>63.3</v>
      </c>
      <c r="M81">
        <v>97.4</v>
      </c>
      <c r="N81">
        <v>93.75</v>
      </c>
      <c r="O81">
        <v>91.45</v>
      </c>
      <c r="P81">
        <v>91.6</v>
      </c>
      <c r="Q81">
        <v>51.38</v>
      </c>
      <c r="R81">
        <v>96.25</v>
      </c>
      <c r="S81">
        <v>96.25</v>
      </c>
      <c r="T81">
        <v>92.08</v>
      </c>
      <c r="U81">
        <v>90.25</v>
      </c>
      <c r="V81">
        <v>90.4</v>
      </c>
      <c r="W81">
        <v>50.5</v>
      </c>
      <c r="X81">
        <v>94.75</v>
      </c>
      <c r="AA81" s="7">
        <f t="shared" si="25"/>
        <v>1210</v>
      </c>
    </row>
    <row r="82" spans="1:27">
      <c r="A82" s="1">
        <v>45684</v>
      </c>
      <c r="B82">
        <v>70.510000000000005</v>
      </c>
      <c r="C82">
        <v>66.3</v>
      </c>
      <c r="D82">
        <v>68.28</v>
      </c>
      <c r="E82">
        <v>72.209999999999994</v>
      </c>
      <c r="F82">
        <v>63.3</v>
      </c>
      <c r="G82">
        <v>65.61</v>
      </c>
      <c r="H82">
        <v>69.56</v>
      </c>
      <c r="I82">
        <v>65.650000000000006</v>
      </c>
      <c r="J82">
        <v>67.5</v>
      </c>
      <c r="K82">
        <v>69.86</v>
      </c>
      <c r="L82">
        <v>63.48</v>
      </c>
      <c r="M82">
        <v>96.52</v>
      </c>
      <c r="N82">
        <v>93.67</v>
      </c>
      <c r="O82">
        <v>91.61</v>
      </c>
      <c r="P82">
        <v>91.99</v>
      </c>
      <c r="Q82">
        <v>51.02</v>
      </c>
      <c r="R82">
        <v>96.02</v>
      </c>
      <c r="S82">
        <v>95.75</v>
      </c>
      <c r="T82">
        <v>92.25</v>
      </c>
      <c r="U82">
        <v>90.4</v>
      </c>
      <c r="V82">
        <v>90.5</v>
      </c>
      <c r="W82">
        <v>50.5</v>
      </c>
      <c r="X82">
        <v>95</v>
      </c>
      <c r="AA82" s="7">
        <f t="shared" si="25"/>
        <v>1211</v>
      </c>
    </row>
    <row r="83" spans="1:27">
      <c r="A83" s="1">
        <v>45685</v>
      </c>
      <c r="B83">
        <v>71.34</v>
      </c>
      <c r="C83">
        <v>67.12</v>
      </c>
      <c r="D83">
        <v>68.86</v>
      </c>
      <c r="E83">
        <v>73.099999999999994</v>
      </c>
      <c r="F83">
        <v>64.430000000000007</v>
      </c>
      <c r="G83">
        <v>66.319999999999993</v>
      </c>
      <c r="H83">
        <v>70.099999999999994</v>
      </c>
      <c r="I83">
        <v>66.489999999999995</v>
      </c>
      <c r="J83">
        <v>68.319999999999993</v>
      </c>
      <c r="K83">
        <v>71.3</v>
      </c>
      <c r="L83">
        <v>63.89</v>
      </c>
      <c r="M83">
        <v>97.99</v>
      </c>
      <c r="N83">
        <v>93.77</v>
      </c>
      <c r="O83">
        <v>91.2</v>
      </c>
      <c r="P83">
        <v>91.69</v>
      </c>
      <c r="Q83">
        <v>51.41</v>
      </c>
      <c r="R83">
        <v>97</v>
      </c>
      <c r="S83">
        <v>96</v>
      </c>
      <c r="T83">
        <v>92.65</v>
      </c>
      <c r="U83">
        <v>90.15</v>
      </c>
      <c r="V83">
        <v>90.6</v>
      </c>
      <c r="W83">
        <v>50.8</v>
      </c>
      <c r="X83">
        <v>95.45</v>
      </c>
      <c r="AA83" s="7">
        <f t="shared" si="25"/>
        <v>1212</v>
      </c>
    </row>
    <row r="84" spans="1:27">
      <c r="A84" s="1">
        <v>45686</v>
      </c>
      <c r="B84">
        <v>72</v>
      </c>
      <c r="C84">
        <v>67.33</v>
      </c>
      <c r="D84">
        <v>69.319999999999993</v>
      </c>
      <c r="E84">
        <v>73.599999999999994</v>
      </c>
      <c r="F84">
        <v>64.8</v>
      </c>
      <c r="G84">
        <v>66.2</v>
      </c>
      <c r="H84">
        <v>70.010000000000005</v>
      </c>
      <c r="I84">
        <v>66.599999999999994</v>
      </c>
      <c r="J84">
        <v>69.040000000000006</v>
      </c>
      <c r="K84">
        <v>71.5</v>
      </c>
      <c r="L84">
        <v>64.11</v>
      </c>
      <c r="M84">
        <v>96.81</v>
      </c>
      <c r="N84">
        <v>93.65</v>
      </c>
      <c r="O84">
        <v>91.31</v>
      </c>
      <c r="P84">
        <v>91.97</v>
      </c>
      <c r="Q84">
        <v>50.61</v>
      </c>
      <c r="R84">
        <v>96.5</v>
      </c>
      <c r="S84">
        <v>95.83</v>
      </c>
      <c r="T84">
        <v>92.54</v>
      </c>
      <c r="U84">
        <v>90.24</v>
      </c>
      <c r="V84">
        <v>90.6</v>
      </c>
      <c r="W84">
        <v>50</v>
      </c>
      <c r="X84">
        <v>95.26</v>
      </c>
      <c r="AA84" s="7">
        <f t="shared" si="25"/>
        <v>1213</v>
      </c>
    </row>
    <row r="85" spans="1:27">
      <c r="A85" s="1">
        <v>45687</v>
      </c>
      <c r="B85">
        <v>72.319999999999993</v>
      </c>
      <c r="C85">
        <v>67.25</v>
      </c>
      <c r="D85">
        <v>69.400000000000006</v>
      </c>
      <c r="E85">
        <v>73.959999999999994</v>
      </c>
      <c r="F85">
        <v>65.099999999999994</v>
      </c>
      <c r="G85">
        <v>67.44</v>
      </c>
      <c r="H85">
        <v>70.680000000000007</v>
      </c>
      <c r="I85">
        <v>66.709999999999994</v>
      </c>
      <c r="J85">
        <v>69.12</v>
      </c>
      <c r="K85">
        <v>71.25</v>
      </c>
      <c r="L85">
        <v>64.59</v>
      </c>
      <c r="M85">
        <v>97.58</v>
      </c>
      <c r="N85">
        <v>93.65</v>
      </c>
      <c r="O85">
        <v>91.36</v>
      </c>
      <c r="P85">
        <v>91.71</v>
      </c>
      <c r="Q85">
        <v>42</v>
      </c>
      <c r="R85">
        <v>96.6</v>
      </c>
      <c r="S85">
        <v>96.25</v>
      </c>
      <c r="T85">
        <v>92.7</v>
      </c>
      <c r="U85">
        <v>90.35</v>
      </c>
      <c r="V85">
        <v>90.75</v>
      </c>
      <c r="W85">
        <v>41.5</v>
      </c>
      <c r="X85">
        <v>95.4</v>
      </c>
      <c r="AA85" s="7">
        <f t="shared" si="25"/>
        <v>1214</v>
      </c>
    </row>
    <row r="86" spans="1:27">
      <c r="A86" s="1">
        <v>45688</v>
      </c>
      <c r="B86">
        <v>71.92</v>
      </c>
      <c r="C86">
        <v>67.16</v>
      </c>
      <c r="D86">
        <v>69.25</v>
      </c>
      <c r="E86">
        <v>73.23</v>
      </c>
      <c r="F86">
        <v>64.459999999999994</v>
      </c>
      <c r="G86">
        <v>66.900000000000006</v>
      </c>
      <c r="H86">
        <v>70.400000000000006</v>
      </c>
      <c r="I86">
        <v>66.45</v>
      </c>
      <c r="J86">
        <v>69</v>
      </c>
      <c r="K86">
        <v>71</v>
      </c>
      <c r="L86">
        <v>64.39</v>
      </c>
      <c r="M86">
        <v>97.65</v>
      </c>
      <c r="N86">
        <v>93.9</v>
      </c>
      <c r="O86">
        <v>91.52</v>
      </c>
      <c r="P86">
        <v>91.88</v>
      </c>
      <c r="Q86">
        <v>42.15</v>
      </c>
      <c r="R86">
        <v>95.9</v>
      </c>
      <c r="S86">
        <v>96.6</v>
      </c>
      <c r="T86">
        <v>92.88</v>
      </c>
      <c r="U86">
        <v>90.5</v>
      </c>
      <c r="V86">
        <v>91.2</v>
      </c>
      <c r="W86">
        <v>41.5</v>
      </c>
      <c r="X86">
        <v>95.19</v>
      </c>
      <c r="AA86" s="7">
        <f t="shared" si="25"/>
        <v>1215</v>
      </c>
    </row>
    <row r="87" spans="1:27">
      <c r="A87" s="1">
        <v>45691</v>
      </c>
      <c r="B87">
        <v>71.7</v>
      </c>
      <c r="C87">
        <v>66.45</v>
      </c>
      <c r="D87">
        <v>68.8</v>
      </c>
      <c r="E87">
        <v>72.680000000000007</v>
      </c>
      <c r="F87">
        <v>64.11</v>
      </c>
      <c r="G87">
        <v>66.3</v>
      </c>
      <c r="H87">
        <v>70.400000000000006</v>
      </c>
      <c r="I87">
        <v>65.709999999999994</v>
      </c>
      <c r="J87">
        <v>68.510000000000005</v>
      </c>
      <c r="K87">
        <v>70.5</v>
      </c>
      <c r="L87">
        <v>63.5</v>
      </c>
      <c r="M87">
        <v>97</v>
      </c>
      <c r="N87">
        <v>94.24</v>
      </c>
      <c r="O87">
        <v>91.35</v>
      </c>
      <c r="P87">
        <v>91.4</v>
      </c>
      <c r="Q87">
        <v>42.264000000000003</v>
      </c>
      <c r="R87">
        <v>96.05</v>
      </c>
      <c r="S87">
        <v>97</v>
      </c>
      <c r="T87">
        <v>93.24</v>
      </c>
      <c r="U87">
        <v>90.6</v>
      </c>
      <c r="V87">
        <v>90.5</v>
      </c>
      <c r="W87">
        <v>42</v>
      </c>
      <c r="X87">
        <v>95.22</v>
      </c>
      <c r="AA87" s="7">
        <f t="shared" si="25"/>
        <v>1216</v>
      </c>
    </row>
    <row r="88" spans="1:27">
      <c r="A88" s="1">
        <v>45692</v>
      </c>
      <c r="B88">
        <v>70.650000000000006</v>
      </c>
      <c r="C88">
        <v>66.099999999999994</v>
      </c>
      <c r="D88">
        <v>68.61</v>
      </c>
      <c r="E88">
        <v>72.55</v>
      </c>
      <c r="F88">
        <v>63.62</v>
      </c>
      <c r="G88">
        <v>65.95</v>
      </c>
      <c r="H88">
        <v>69.91</v>
      </c>
      <c r="I88">
        <v>65.319999999999993</v>
      </c>
      <c r="J88">
        <v>68.33</v>
      </c>
      <c r="K88">
        <v>69.989999999999995</v>
      </c>
      <c r="L88">
        <v>63.48</v>
      </c>
      <c r="M88">
        <v>97.85</v>
      </c>
      <c r="N88">
        <v>94.27</v>
      </c>
      <c r="O88">
        <v>91.55</v>
      </c>
      <c r="P88">
        <v>91.9</v>
      </c>
      <c r="Q88">
        <v>42.697000000000003</v>
      </c>
      <c r="R88">
        <v>96.1</v>
      </c>
      <c r="S88">
        <v>97</v>
      </c>
      <c r="T88">
        <v>93.2</v>
      </c>
      <c r="U88">
        <v>90.65</v>
      </c>
      <c r="V88">
        <v>90.9</v>
      </c>
      <c r="W88">
        <v>42.25</v>
      </c>
      <c r="X88">
        <v>95.25</v>
      </c>
      <c r="AA88" s="7">
        <f t="shared" si="25"/>
        <v>1217</v>
      </c>
    </row>
    <row r="89" spans="1:27">
      <c r="A89" s="1">
        <v>45693</v>
      </c>
      <c r="B89">
        <v>70.16</v>
      </c>
      <c r="C89">
        <v>66</v>
      </c>
      <c r="D89">
        <v>67.98</v>
      </c>
      <c r="E89">
        <v>72.12</v>
      </c>
      <c r="F89">
        <v>63</v>
      </c>
      <c r="G89">
        <v>65.25</v>
      </c>
      <c r="H89">
        <v>69.7</v>
      </c>
      <c r="I89">
        <v>65.02</v>
      </c>
      <c r="J89">
        <v>67.48</v>
      </c>
      <c r="K89">
        <v>69.3</v>
      </c>
      <c r="L89">
        <v>62.69</v>
      </c>
      <c r="M89">
        <v>97.22</v>
      </c>
      <c r="N89">
        <v>94</v>
      </c>
      <c r="O89">
        <v>91.92</v>
      </c>
      <c r="P89">
        <v>91.6</v>
      </c>
      <c r="Q89">
        <v>42.322000000000003</v>
      </c>
      <c r="R89">
        <v>96.25</v>
      </c>
      <c r="S89">
        <v>96.75</v>
      </c>
      <c r="T89">
        <v>94</v>
      </c>
      <c r="U89">
        <v>90.9</v>
      </c>
      <c r="V89">
        <v>91</v>
      </c>
      <c r="W89">
        <v>42.5</v>
      </c>
      <c r="X89">
        <v>95.3</v>
      </c>
      <c r="AA89" s="7">
        <f t="shared" si="25"/>
        <v>1218</v>
      </c>
    </row>
    <row r="90" spans="1:27">
      <c r="A90" s="1">
        <v>45694</v>
      </c>
      <c r="B90">
        <v>70.489999999999995</v>
      </c>
      <c r="C90">
        <v>66.150000000000006</v>
      </c>
      <c r="D90">
        <v>67.95</v>
      </c>
      <c r="E90">
        <v>72.099999999999994</v>
      </c>
      <c r="F90">
        <v>63.2</v>
      </c>
      <c r="G90">
        <v>66</v>
      </c>
      <c r="H90">
        <v>69.680000000000007</v>
      </c>
      <c r="I90">
        <v>65.44</v>
      </c>
      <c r="J90">
        <v>67.53</v>
      </c>
      <c r="K90">
        <v>69.5</v>
      </c>
      <c r="L90">
        <v>62.6</v>
      </c>
      <c r="M90">
        <v>98.99</v>
      </c>
      <c r="N90">
        <v>93.77</v>
      </c>
      <c r="O90">
        <v>91.9</v>
      </c>
      <c r="P90">
        <v>91.4</v>
      </c>
      <c r="Q90">
        <v>43.1</v>
      </c>
      <c r="R90">
        <v>96.01</v>
      </c>
      <c r="S90">
        <v>96.7</v>
      </c>
      <c r="T90">
        <v>93.15</v>
      </c>
      <c r="U90">
        <v>91</v>
      </c>
      <c r="V90">
        <v>90.8</v>
      </c>
      <c r="W90">
        <v>42.4</v>
      </c>
      <c r="X90">
        <v>95.25</v>
      </c>
      <c r="AA90" s="7">
        <f t="shared" si="25"/>
        <v>1219</v>
      </c>
    </row>
    <row r="91" spans="1:27">
      <c r="A91" s="1">
        <v>45695</v>
      </c>
      <c r="B91">
        <v>70.75</v>
      </c>
      <c r="C91">
        <v>65.790000000000006</v>
      </c>
      <c r="D91">
        <v>67.69</v>
      </c>
      <c r="E91">
        <v>71.78</v>
      </c>
      <c r="F91">
        <v>62.93</v>
      </c>
      <c r="G91">
        <v>65.55</v>
      </c>
      <c r="H91">
        <v>69.69</v>
      </c>
      <c r="I91">
        <v>65.05</v>
      </c>
      <c r="J91">
        <v>67.3</v>
      </c>
      <c r="K91">
        <v>69.099999999999994</v>
      </c>
      <c r="L91">
        <v>62.53</v>
      </c>
      <c r="M91">
        <v>97.7</v>
      </c>
      <c r="N91">
        <v>95.45</v>
      </c>
      <c r="O91">
        <v>91.42</v>
      </c>
      <c r="P91">
        <v>92.1</v>
      </c>
      <c r="Q91">
        <v>43</v>
      </c>
      <c r="R91">
        <v>96.7</v>
      </c>
      <c r="S91">
        <v>96.7</v>
      </c>
      <c r="T91">
        <v>94.5</v>
      </c>
      <c r="U91">
        <v>90.59</v>
      </c>
      <c r="V91">
        <v>91</v>
      </c>
      <c r="W91">
        <v>42.4</v>
      </c>
      <c r="X91">
        <v>95.7</v>
      </c>
      <c r="AA91" s="7">
        <f t="shared" si="25"/>
        <v>1220</v>
      </c>
    </row>
    <row r="92" spans="1:27">
      <c r="A92" s="1">
        <v>45698</v>
      </c>
      <c r="B92">
        <v>70.209999999999994</v>
      </c>
      <c r="C92">
        <v>65.45</v>
      </c>
      <c r="D92">
        <v>65.89</v>
      </c>
      <c r="E92">
        <v>70.459999999999994</v>
      </c>
      <c r="F92">
        <v>62.2</v>
      </c>
      <c r="G92">
        <v>65</v>
      </c>
      <c r="H92">
        <v>69</v>
      </c>
      <c r="I92">
        <v>64.650000000000006</v>
      </c>
      <c r="J92">
        <v>65.53</v>
      </c>
      <c r="K92">
        <v>68</v>
      </c>
      <c r="L92">
        <v>61.93</v>
      </c>
      <c r="M92">
        <v>97.91</v>
      </c>
      <c r="N92">
        <v>94.74</v>
      </c>
      <c r="O92">
        <v>91.2</v>
      </c>
      <c r="P92">
        <v>91.99</v>
      </c>
      <c r="Q92">
        <v>43.1</v>
      </c>
      <c r="R92">
        <v>96.43</v>
      </c>
      <c r="S92">
        <v>97.16</v>
      </c>
      <c r="T92">
        <v>93.85</v>
      </c>
      <c r="U92">
        <v>90.5</v>
      </c>
      <c r="V92">
        <v>90.71</v>
      </c>
      <c r="W92">
        <v>42.97</v>
      </c>
      <c r="X92">
        <v>95.7</v>
      </c>
      <c r="AA92" s="7">
        <f t="shared" si="25"/>
        <v>1221</v>
      </c>
    </row>
    <row r="93" spans="1:27">
      <c r="A93" s="1">
        <v>45699</v>
      </c>
      <c r="B93">
        <v>69.680000000000007</v>
      </c>
      <c r="C93">
        <v>65.14</v>
      </c>
      <c r="D93">
        <v>65.739999999999995</v>
      </c>
      <c r="E93">
        <v>69.7</v>
      </c>
      <c r="F93">
        <v>61.15</v>
      </c>
      <c r="G93">
        <v>63.89</v>
      </c>
      <c r="H93">
        <v>68.260000000000005</v>
      </c>
      <c r="I93">
        <v>64.5</v>
      </c>
      <c r="J93">
        <v>64.88</v>
      </c>
      <c r="K93">
        <v>67.2</v>
      </c>
      <c r="L93">
        <v>60.88</v>
      </c>
      <c r="M93">
        <v>97.25</v>
      </c>
      <c r="N93">
        <v>93.47</v>
      </c>
      <c r="O93">
        <v>90.64</v>
      </c>
      <c r="P93">
        <v>90.65</v>
      </c>
      <c r="Q93">
        <v>43.11</v>
      </c>
      <c r="R93">
        <v>96</v>
      </c>
      <c r="S93">
        <v>96.4</v>
      </c>
      <c r="T93">
        <v>92.9</v>
      </c>
      <c r="U93">
        <v>89.75</v>
      </c>
      <c r="V93">
        <v>89.8</v>
      </c>
      <c r="W93">
        <v>42.823</v>
      </c>
      <c r="X93">
        <v>95.4</v>
      </c>
      <c r="AA93" s="7">
        <f t="shared" si="25"/>
        <v>1222</v>
      </c>
    </row>
    <row r="94" spans="1:27">
      <c r="A94" s="1">
        <v>45700</v>
      </c>
      <c r="B94">
        <v>70.349999999999994</v>
      </c>
      <c r="C94">
        <v>66</v>
      </c>
      <c r="D94">
        <v>66.39</v>
      </c>
      <c r="E94">
        <v>70.45</v>
      </c>
      <c r="F94">
        <v>61.65</v>
      </c>
      <c r="G94">
        <v>64.3</v>
      </c>
      <c r="H94">
        <v>69.180000000000007</v>
      </c>
      <c r="I94">
        <v>65.09</v>
      </c>
      <c r="J94">
        <v>65.260000000000005</v>
      </c>
      <c r="K94">
        <v>67.7</v>
      </c>
      <c r="L94">
        <v>61.12</v>
      </c>
      <c r="M94">
        <v>97.25</v>
      </c>
      <c r="N94">
        <v>93.3</v>
      </c>
      <c r="O94">
        <v>90.55</v>
      </c>
      <c r="P94">
        <v>90.35</v>
      </c>
      <c r="Q94">
        <v>42.962000000000003</v>
      </c>
      <c r="R94">
        <v>96</v>
      </c>
      <c r="S94">
        <v>96.65</v>
      </c>
      <c r="T94">
        <v>92.45</v>
      </c>
      <c r="U94">
        <v>89.7</v>
      </c>
      <c r="V94">
        <v>89.54</v>
      </c>
      <c r="W94">
        <v>42.88</v>
      </c>
      <c r="X94">
        <v>95.2</v>
      </c>
      <c r="AA94" s="7">
        <f t="shared" si="25"/>
        <v>1223</v>
      </c>
    </row>
    <row r="95" spans="1:27">
      <c r="A95" s="1">
        <v>45701</v>
      </c>
      <c r="B95">
        <v>70.930000000000007</v>
      </c>
      <c r="C95">
        <v>66.400000000000006</v>
      </c>
      <c r="D95">
        <v>66.63</v>
      </c>
      <c r="E95">
        <v>70.760000000000005</v>
      </c>
      <c r="F95">
        <v>62.2</v>
      </c>
      <c r="G95">
        <v>64.97</v>
      </c>
      <c r="H95">
        <v>70.25</v>
      </c>
      <c r="I95">
        <v>65.569999999999993</v>
      </c>
      <c r="J95">
        <v>65.7</v>
      </c>
      <c r="K95">
        <v>67.98</v>
      </c>
      <c r="L95">
        <v>61.54</v>
      </c>
      <c r="M95">
        <v>97.25</v>
      </c>
      <c r="N95">
        <v>93.3</v>
      </c>
      <c r="O95">
        <v>89.85</v>
      </c>
      <c r="P95">
        <v>89.9</v>
      </c>
      <c r="Q95">
        <v>43.231999999999999</v>
      </c>
      <c r="R95">
        <v>96.05</v>
      </c>
      <c r="S95">
        <v>96.75</v>
      </c>
      <c r="T95">
        <v>91.6</v>
      </c>
      <c r="U95">
        <v>89.2</v>
      </c>
      <c r="V95">
        <v>89.25</v>
      </c>
      <c r="W95">
        <v>42.1</v>
      </c>
      <c r="X95">
        <v>95.5</v>
      </c>
      <c r="AA95" s="7">
        <f t="shared" si="25"/>
        <v>1224</v>
      </c>
    </row>
    <row r="96" spans="1:27">
      <c r="A96" s="1">
        <v>45702</v>
      </c>
      <c r="B96">
        <v>71.349999999999994</v>
      </c>
      <c r="C96">
        <v>66.739999999999995</v>
      </c>
      <c r="D96">
        <v>67</v>
      </c>
      <c r="E96">
        <v>71</v>
      </c>
      <c r="F96">
        <v>62.45</v>
      </c>
      <c r="G96">
        <v>65.650000000000006</v>
      </c>
      <c r="H96">
        <v>70.5</v>
      </c>
      <c r="I96">
        <v>65.75</v>
      </c>
      <c r="J96">
        <v>65.95</v>
      </c>
      <c r="K96">
        <v>68.25</v>
      </c>
      <c r="L96">
        <v>61.85</v>
      </c>
      <c r="M96">
        <v>98</v>
      </c>
      <c r="N96">
        <v>92.5</v>
      </c>
      <c r="O96">
        <v>89.86</v>
      </c>
      <c r="P96">
        <v>90.1</v>
      </c>
      <c r="Q96">
        <v>43.398000000000003</v>
      </c>
      <c r="R96">
        <v>96.1</v>
      </c>
      <c r="S96">
        <v>96</v>
      </c>
      <c r="T96">
        <v>91.65</v>
      </c>
      <c r="U96">
        <v>89</v>
      </c>
      <c r="V96">
        <v>88.9</v>
      </c>
      <c r="W96">
        <v>43.5</v>
      </c>
      <c r="X96">
        <v>95.25</v>
      </c>
      <c r="AA96" s="7">
        <f t="shared" si="25"/>
        <v>1225</v>
      </c>
    </row>
    <row r="97" spans="1:27">
      <c r="A97" s="1">
        <v>45705</v>
      </c>
      <c r="B97">
        <v>69.819999999999993</v>
      </c>
      <c r="C97">
        <v>65.41</v>
      </c>
      <c r="D97">
        <v>65</v>
      </c>
      <c r="E97">
        <v>69</v>
      </c>
      <c r="F97">
        <v>60.5</v>
      </c>
      <c r="G97">
        <v>63.75</v>
      </c>
      <c r="H97">
        <v>68.510000000000005</v>
      </c>
      <c r="I97">
        <v>64.819999999999993</v>
      </c>
      <c r="J97">
        <v>64.540000000000006</v>
      </c>
      <c r="K97">
        <v>66.19</v>
      </c>
      <c r="L97">
        <v>59.99</v>
      </c>
      <c r="M97">
        <v>97.17</v>
      </c>
      <c r="N97">
        <v>91.69</v>
      </c>
      <c r="O97">
        <v>89.25</v>
      </c>
      <c r="P97">
        <v>88.93</v>
      </c>
      <c r="Q97">
        <v>43</v>
      </c>
      <c r="R97">
        <v>95.56</v>
      </c>
      <c r="S97">
        <v>96.25</v>
      </c>
      <c r="T97">
        <v>91.15</v>
      </c>
      <c r="U97">
        <v>88.4</v>
      </c>
      <c r="V97">
        <v>88.39</v>
      </c>
      <c r="W97">
        <v>42.75</v>
      </c>
      <c r="X97">
        <v>94.8</v>
      </c>
      <c r="AA97" s="7">
        <f t="shared" si="25"/>
        <v>1226</v>
      </c>
    </row>
    <row r="98" spans="1:27">
      <c r="A98" s="1">
        <v>45706</v>
      </c>
      <c r="B98">
        <v>70.010000000000005</v>
      </c>
      <c r="C98">
        <v>66.14</v>
      </c>
      <c r="D98">
        <v>66.5</v>
      </c>
      <c r="E98">
        <v>69.94</v>
      </c>
      <c r="F98">
        <v>61.55</v>
      </c>
      <c r="G98">
        <v>64.97</v>
      </c>
      <c r="H98">
        <v>69.5</v>
      </c>
      <c r="I98">
        <v>65.12</v>
      </c>
      <c r="J98">
        <v>65.150000000000006</v>
      </c>
      <c r="K98">
        <v>66.900000000000006</v>
      </c>
      <c r="L98">
        <v>61.23</v>
      </c>
      <c r="M98">
        <v>97.1</v>
      </c>
      <c r="N98">
        <v>92.21</v>
      </c>
      <c r="O98">
        <v>89.73</v>
      </c>
      <c r="P98">
        <v>89.6</v>
      </c>
      <c r="Q98">
        <v>43.423000000000002</v>
      </c>
      <c r="R98">
        <v>95.65</v>
      </c>
      <c r="S98">
        <v>96</v>
      </c>
      <c r="T98">
        <v>91.6</v>
      </c>
      <c r="U98">
        <v>88.88</v>
      </c>
      <c r="V98">
        <v>89.15</v>
      </c>
      <c r="W98">
        <v>42.6</v>
      </c>
      <c r="X98">
        <v>94.98</v>
      </c>
      <c r="AA98" s="7">
        <f t="shared" si="25"/>
        <v>1227</v>
      </c>
    </row>
    <row r="99" spans="1:27">
      <c r="A99" s="1">
        <v>45707</v>
      </c>
      <c r="B99">
        <v>70</v>
      </c>
      <c r="C99">
        <v>65.459999999999994</v>
      </c>
      <c r="D99">
        <v>65.14</v>
      </c>
      <c r="E99">
        <v>69.39</v>
      </c>
      <c r="F99">
        <v>60.8</v>
      </c>
      <c r="G99">
        <v>63.7</v>
      </c>
      <c r="H99">
        <v>69.27</v>
      </c>
      <c r="I99">
        <v>64.680000000000007</v>
      </c>
      <c r="J99">
        <v>64.67</v>
      </c>
      <c r="K99">
        <v>66.38</v>
      </c>
      <c r="L99">
        <v>60.48</v>
      </c>
      <c r="M99">
        <v>97.05</v>
      </c>
      <c r="N99">
        <v>92.99</v>
      </c>
      <c r="O99">
        <v>89.85</v>
      </c>
      <c r="P99">
        <v>89.74</v>
      </c>
      <c r="Q99">
        <v>43.290999999999997</v>
      </c>
      <c r="R99">
        <v>95.6</v>
      </c>
      <c r="S99">
        <v>96.15</v>
      </c>
      <c r="T99">
        <v>92.15</v>
      </c>
      <c r="U99">
        <v>88.95</v>
      </c>
      <c r="V99">
        <v>89.05</v>
      </c>
      <c r="W99">
        <v>43.1</v>
      </c>
      <c r="X99">
        <v>94.8</v>
      </c>
      <c r="AA99" s="7">
        <f t="shared" si="25"/>
        <v>1228</v>
      </c>
    </row>
    <row r="100" spans="1:27">
      <c r="A100" s="1">
        <v>45708</v>
      </c>
      <c r="B100">
        <v>71.5</v>
      </c>
      <c r="C100">
        <v>65.55</v>
      </c>
      <c r="D100">
        <v>65.27</v>
      </c>
      <c r="E100">
        <v>69.56</v>
      </c>
      <c r="F100">
        <v>61.34</v>
      </c>
      <c r="G100">
        <v>63.85</v>
      </c>
      <c r="H100">
        <v>69.930000000000007</v>
      </c>
      <c r="I100">
        <v>64.75</v>
      </c>
      <c r="J100">
        <v>64.84</v>
      </c>
      <c r="K100">
        <v>67</v>
      </c>
      <c r="L100">
        <v>60.82</v>
      </c>
      <c r="M100">
        <v>98.5</v>
      </c>
      <c r="N100">
        <v>93.9</v>
      </c>
      <c r="O100">
        <v>90.06</v>
      </c>
      <c r="P100">
        <v>90.15</v>
      </c>
      <c r="Q100">
        <v>43.204999999999998</v>
      </c>
      <c r="R100">
        <v>96.2</v>
      </c>
      <c r="S100">
        <v>97.35</v>
      </c>
      <c r="T100">
        <v>93</v>
      </c>
      <c r="U100">
        <v>89.3</v>
      </c>
      <c r="V100">
        <v>89.39</v>
      </c>
      <c r="W100">
        <v>42.9</v>
      </c>
      <c r="X100">
        <v>95.32</v>
      </c>
      <c r="AA100" s="7">
        <f t="shared" si="25"/>
        <v>1229</v>
      </c>
    </row>
    <row r="101" spans="1:27">
      <c r="A101" s="1">
        <v>45709</v>
      </c>
      <c r="B101">
        <v>71.099999999999994</v>
      </c>
      <c r="C101">
        <v>65.25</v>
      </c>
      <c r="D101">
        <v>65.680000000000007</v>
      </c>
      <c r="E101">
        <v>69.209999999999994</v>
      </c>
      <c r="F101">
        <v>61.39</v>
      </c>
      <c r="G101">
        <v>63.85</v>
      </c>
      <c r="H101">
        <v>69.78</v>
      </c>
      <c r="I101">
        <v>64.599999999999994</v>
      </c>
      <c r="J101">
        <v>64.7</v>
      </c>
      <c r="K101">
        <v>67.08</v>
      </c>
      <c r="L101">
        <v>61.2</v>
      </c>
      <c r="M101">
        <v>98.13</v>
      </c>
      <c r="N101">
        <v>94.71</v>
      </c>
      <c r="O101">
        <v>91.05</v>
      </c>
      <c r="P101">
        <v>90.76</v>
      </c>
      <c r="Q101">
        <v>43.28</v>
      </c>
      <c r="R101">
        <v>95.79</v>
      </c>
      <c r="S101">
        <v>97.48</v>
      </c>
      <c r="T101">
        <v>93.9</v>
      </c>
      <c r="U101">
        <v>90.04</v>
      </c>
      <c r="V101">
        <v>90.2</v>
      </c>
      <c r="W101">
        <v>43.15</v>
      </c>
      <c r="X101">
        <v>95.2</v>
      </c>
      <c r="AA101" s="7">
        <f t="shared" si="25"/>
        <v>1230</v>
      </c>
    </row>
    <row r="102" spans="1:27">
      <c r="A102" s="1">
        <v>45712</v>
      </c>
      <c r="B102">
        <v>70.11</v>
      </c>
      <c r="C102">
        <v>65.37</v>
      </c>
      <c r="D102">
        <v>65.53</v>
      </c>
      <c r="E102">
        <v>69.37</v>
      </c>
      <c r="F102">
        <v>60.9</v>
      </c>
      <c r="G102">
        <v>63.55</v>
      </c>
      <c r="H102">
        <v>69.150000000000006</v>
      </c>
      <c r="I102">
        <v>64.62</v>
      </c>
      <c r="J102">
        <v>64.69</v>
      </c>
      <c r="K102">
        <v>67.180000000000007</v>
      </c>
      <c r="L102">
        <v>60.95</v>
      </c>
      <c r="M102">
        <v>98.2</v>
      </c>
      <c r="N102">
        <v>94.29</v>
      </c>
      <c r="O102">
        <v>91.16</v>
      </c>
      <c r="P102">
        <v>91.24</v>
      </c>
      <c r="Q102">
        <v>43.463999999999999</v>
      </c>
      <c r="R102">
        <v>95.55</v>
      </c>
      <c r="S102">
        <v>97.65</v>
      </c>
      <c r="T102">
        <v>93.55</v>
      </c>
      <c r="U102">
        <v>90.65</v>
      </c>
      <c r="V102">
        <v>90.6</v>
      </c>
      <c r="W102">
        <v>43.194000000000003</v>
      </c>
      <c r="X102">
        <v>95</v>
      </c>
      <c r="AA102" s="7">
        <f t="shared" si="25"/>
        <v>1231</v>
      </c>
    </row>
    <row r="103" spans="1:27">
      <c r="A103" s="1">
        <v>45713</v>
      </c>
      <c r="B103">
        <v>69.5</v>
      </c>
      <c r="C103">
        <v>65.260000000000005</v>
      </c>
      <c r="D103">
        <v>65.3</v>
      </c>
      <c r="E103">
        <v>69.08</v>
      </c>
      <c r="F103">
        <v>60.6</v>
      </c>
      <c r="G103">
        <v>63.41</v>
      </c>
      <c r="H103">
        <v>68.900000000000006</v>
      </c>
      <c r="I103">
        <v>64.400000000000006</v>
      </c>
      <c r="J103">
        <v>64.400000000000006</v>
      </c>
      <c r="K103">
        <v>66.7</v>
      </c>
      <c r="L103">
        <v>60.5</v>
      </c>
      <c r="M103">
        <v>97</v>
      </c>
      <c r="N103">
        <v>94.25</v>
      </c>
      <c r="O103">
        <v>91.3</v>
      </c>
      <c r="P103">
        <v>90.9</v>
      </c>
      <c r="Q103">
        <v>43.430999999999997</v>
      </c>
      <c r="R103">
        <v>95.85</v>
      </c>
      <c r="S103">
        <v>97.32</v>
      </c>
      <c r="T103">
        <v>93.6</v>
      </c>
      <c r="U103">
        <v>90.75</v>
      </c>
      <c r="V103">
        <v>90.5</v>
      </c>
      <c r="W103">
        <v>44.314999999999998</v>
      </c>
      <c r="X103">
        <v>95.1</v>
      </c>
      <c r="AA103" s="7">
        <f t="shared" si="25"/>
        <v>1232</v>
      </c>
    </row>
    <row r="104" spans="1:27">
      <c r="A104" s="1">
        <v>45714</v>
      </c>
      <c r="B104">
        <v>70.09</v>
      </c>
      <c r="C104">
        <v>65.099999999999994</v>
      </c>
      <c r="D104">
        <v>65.12</v>
      </c>
      <c r="E104">
        <v>68.709999999999994</v>
      </c>
      <c r="F104">
        <v>60.35</v>
      </c>
      <c r="G104">
        <v>63.1</v>
      </c>
      <c r="H104">
        <v>69.39</v>
      </c>
      <c r="I104">
        <v>64.38</v>
      </c>
      <c r="J104">
        <v>64.75</v>
      </c>
      <c r="K104">
        <v>66.7</v>
      </c>
      <c r="L104">
        <v>60.11</v>
      </c>
      <c r="M104">
        <v>97.5</v>
      </c>
      <c r="N104">
        <v>93.85</v>
      </c>
      <c r="O104">
        <v>90.6</v>
      </c>
      <c r="P104">
        <v>90.7</v>
      </c>
      <c r="Q104">
        <v>43.32</v>
      </c>
      <c r="R104">
        <v>95.52</v>
      </c>
      <c r="S104">
        <v>97.22</v>
      </c>
      <c r="T104">
        <v>93.55</v>
      </c>
      <c r="U104">
        <v>90.32</v>
      </c>
      <c r="V104">
        <v>90.19</v>
      </c>
      <c r="W104">
        <v>44.4</v>
      </c>
      <c r="X104">
        <v>95.1</v>
      </c>
      <c r="AA104" s="7">
        <f t="shared" si="25"/>
        <v>1233</v>
      </c>
    </row>
    <row r="105" spans="1:27">
      <c r="A105" s="1">
        <v>45715</v>
      </c>
      <c r="B105">
        <v>69.5</v>
      </c>
      <c r="C105">
        <v>64.7</v>
      </c>
      <c r="D105">
        <v>64.17</v>
      </c>
      <c r="E105">
        <v>68.05</v>
      </c>
      <c r="F105">
        <v>59.79</v>
      </c>
      <c r="G105">
        <v>62.5</v>
      </c>
      <c r="H105">
        <v>69</v>
      </c>
      <c r="I105">
        <v>64.099999999999994</v>
      </c>
      <c r="J105">
        <v>63.78</v>
      </c>
      <c r="K105">
        <v>65.900000000000006</v>
      </c>
      <c r="L105">
        <v>59.8</v>
      </c>
      <c r="M105">
        <v>97.49</v>
      </c>
      <c r="N105">
        <v>93.34</v>
      </c>
      <c r="O105">
        <v>90.4</v>
      </c>
      <c r="P105">
        <v>90.3</v>
      </c>
      <c r="Q105">
        <v>34.950000000000003</v>
      </c>
      <c r="R105">
        <v>94.5</v>
      </c>
      <c r="S105">
        <v>97.25</v>
      </c>
      <c r="T105">
        <v>93.1</v>
      </c>
      <c r="U105">
        <v>89.57</v>
      </c>
      <c r="V105">
        <v>89.86</v>
      </c>
      <c r="W105">
        <v>34.531999999999996</v>
      </c>
      <c r="X105">
        <v>94.44</v>
      </c>
      <c r="AA105" s="7">
        <f t="shared" si="25"/>
        <v>1234</v>
      </c>
    </row>
    <row r="106" spans="1:27">
      <c r="A106" s="1">
        <v>45716</v>
      </c>
      <c r="B106">
        <v>69.7</v>
      </c>
      <c r="C106">
        <v>64.47</v>
      </c>
      <c r="D106">
        <v>64.150000000000006</v>
      </c>
      <c r="E106">
        <v>67.91</v>
      </c>
      <c r="F106">
        <v>59.59</v>
      </c>
      <c r="G106">
        <v>64</v>
      </c>
      <c r="H106">
        <v>68.69</v>
      </c>
      <c r="I106">
        <v>63.82</v>
      </c>
      <c r="J106">
        <v>63.53</v>
      </c>
      <c r="K106">
        <v>65.739999999999995</v>
      </c>
      <c r="L106">
        <v>59.31</v>
      </c>
      <c r="M106">
        <v>96.89</v>
      </c>
      <c r="N106">
        <v>92.98</v>
      </c>
      <c r="O106">
        <v>89.53</v>
      </c>
      <c r="P106">
        <v>89.9</v>
      </c>
      <c r="Q106">
        <v>34.000999999999998</v>
      </c>
      <c r="R106">
        <v>94.25</v>
      </c>
      <c r="S106">
        <v>96.5</v>
      </c>
      <c r="T106">
        <v>92.5</v>
      </c>
      <c r="U106">
        <v>89.3</v>
      </c>
      <c r="V106">
        <v>89.5</v>
      </c>
      <c r="W106">
        <v>33.799999999999997</v>
      </c>
      <c r="X106">
        <v>94</v>
      </c>
      <c r="AA106" s="7">
        <f t="shared" si="25"/>
        <v>1235</v>
      </c>
    </row>
    <row r="107" spans="1:27">
      <c r="A107" s="1">
        <v>45721</v>
      </c>
      <c r="B107">
        <v>71.22</v>
      </c>
      <c r="C107">
        <v>66.19</v>
      </c>
      <c r="D107">
        <v>65.959999999999994</v>
      </c>
      <c r="E107">
        <v>69.55</v>
      </c>
      <c r="F107">
        <v>61.6</v>
      </c>
      <c r="G107">
        <v>63.35</v>
      </c>
      <c r="H107">
        <v>70</v>
      </c>
      <c r="I107">
        <v>65.650000000000006</v>
      </c>
      <c r="J107">
        <v>65.349999999999994</v>
      </c>
      <c r="K107">
        <v>67.7</v>
      </c>
      <c r="L107">
        <v>61.31</v>
      </c>
      <c r="M107">
        <v>97</v>
      </c>
      <c r="N107">
        <v>93</v>
      </c>
      <c r="O107">
        <v>90.25</v>
      </c>
      <c r="P107">
        <v>90.35</v>
      </c>
      <c r="Q107">
        <v>34.5</v>
      </c>
      <c r="R107">
        <v>94.5</v>
      </c>
      <c r="S107">
        <v>96.75</v>
      </c>
      <c r="T107">
        <v>93</v>
      </c>
      <c r="U107">
        <v>90.07</v>
      </c>
      <c r="V107">
        <v>90.25</v>
      </c>
      <c r="W107">
        <v>34.424999999999997</v>
      </c>
      <c r="X107">
        <v>94.5</v>
      </c>
      <c r="AA107" s="7">
        <f t="shared" si="25"/>
        <v>1236</v>
      </c>
    </row>
    <row r="108" spans="1:27">
      <c r="A108" s="1">
        <v>45722</v>
      </c>
      <c r="B108">
        <v>71.89</v>
      </c>
      <c r="C108">
        <v>66.42</v>
      </c>
      <c r="D108">
        <v>66.39</v>
      </c>
      <c r="E108">
        <v>70.150000000000006</v>
      </c>
      <c r="F108">
        <v>61.55</v>
      </c>
      <c r="G108">
        <v>63.5</v>
      </c>
      <c r="H108">
        <v>69.67</v>
      </c>
      <c r="I108">
        <v>65.62</v>
      </c>
      <c r="J108">
        <v>65.41</v>
      </c>
      <c r="K108">
        <v>67.94</v>
      </c>
      <c r="L108">
        <v>61.56</v>
      </c>
      <c r="M108">
        <v>96.95</v>
      </c>
      <c r="N108">
        <v>92.93</v>
      </c>
      <c r="O108">
        <v>90.15</v>
      </c>
      <c r="P108">
        <v>90.52</v>
      </c>
      <c r="Q108">
        <v>35.613999999999997</v>
      </c>
      <c r="R108">
        <v>94.8</v>
      </c>
      <c r="S108">
        <v>96.7</v>
      </c>
      <c r="T108">
        <v>92.9</v>
      </c>
      <c r="U108">
        <v>90.14</v>
      </c>
      <c r="V108">
        <v>90.35</v>
      </c>
      <c r="W108">
        <v>34.5</v>
      </c>
      <c r="X108">
        <v>94.65</v>
      </c>
      <c r="AA108" s="7">
        <f t="shared" si="25"/>
        <v>1237</v>
      </c>
    </row>
    <row r="109" spans="1:27">
      <c r="A109" s="1">
        <v>45723</v>
      </c>
      <c r="B109">
        <v>72.02</v>
      </c>
      <c r="C109">
        <v>66.319999999999993</v>
      </c>
      <c r="D109">
        <v>67.62</v>
      </c>
      <c r="E109">
        <v>71.209999999999994</v>
      </c>
      <c r="F109">
        <v>62.54</v>
      </c>
      <c r="G109">
        <v>65.849999999999994</v>
      </c>
      <c r="H109">
        <v>70.58</v>
      </c>
      <c r="I109">
        <v>65.650000000000006</v>
      </c>
      <c r="J109">
        <v>66.8</v>
      </c>
      <c r="K109">
        <v>69.25</v>
      </c>
      <c r="L109">
        <v>62.24</v>
      </c>
      <c r="M109">
        <v>96.96</v>
      </c>
      <c r="N109">
        <v>93</v>
      </c>
      <c r="O109">
        <v>90.27</v>
      </c>
      <c r="P109">
        <v>90.57</v>
      </c>
      <c r="Q109">
        <v>35.551000000000002</v>
      </c>
      <c r="R109">
        <v>95.2</v>
      </c>
      <c r="S109">
        <v>96.02</v>
      </c>
      <c r="T109">
        <v>93</v>
      </c>
      <c r="U109">
        <v>89.5</v>
      </c>
      <c r="V109">
        <v>90.5</v>
      </c>
      <c r="W109">
        <v>35.5</v>
      </c>
      <c r="X109">
        <v>95.04</v>
      </c>
      <c r="AA109" s="7">
        <f t="shared" si="25"/>
        <v>1238</v>
      </c>
    </row>
    <row r="110" spans="1:27">
      <c r="A110" s="1">
        <v>45726</v>
      </c>
      <c r="B110">
        <v>71.33</v>
      </c>
      <c r="C110">
        <v>65.89</v>
      </c>
      <c r="D110">
        <v>66.42</v>
      </c>
      <c r="E110">
        <v>69.900000000000006</v>
      </c>
      <c r="F110">
        <v>61.47</v>
      </c>
      <c r="G110">
        <v>63.76</v>
      </c>
      <c r="H110">
        <v>69.62</v>
      </c>
      <c r="I110">
        <v>65.2</v>
      </c>
      <c r="J110">
        <v>66.099999999999994</v>
      </c>
      <c r="K110">
        <v>67.97</v>
      </c>
      <c r="L110">
        <v>61.4</v>
      </c>
      <c r="M110">
        <v>97.35</v>
      </c>
      <c r="N110">
        <v>92.7</v>
      </c>
      <c r="O110">
        <v>89.49</v>
      </c>
      <c r="P110">
        <v>89.76</v>
      </c>
      <c r="Q110">
        <v>35.378</v>
      </c>
      <c r="R110">
        <v>94.94</v>
      </c>
      <c r="S110">
        <v>97.14</v>
      </c>
      <c r="T110">
        <v>92.6</v>
      </c>
      <c r="U110">
        <v>89.4</v>
      </c>
      <c r="V110">
        <v>89.5</v>
      </c>
      <c r="W110">
        <v>35.5</v>
      </c>
      <c r="X110">
        <v>94.85</v>
      </c>
      <c r="AA110" s="7">
        <f t="shared" si="25"/>
        <v>1239</v>
      </c>
    </row>
    <row r="111" spans="1:27">
      <c r="A111" s="1">
        <v>45727</v>
      </c>
      <c r="B111">
        <v>71.099999999999994</v>
      </c>
      <c r="C111">
        <v>65.739999999999995</v>
      </c>
      <c r="D111">
        <v>66.400000000000006</v>
      </c>
      <c r="E111">
        <v>69.7</v>
      </c>
      <c r="F111">
        <v>61.75</v>
      </c>
      <c r="G111">
        <v>63.55</v>
      </c>
      <c r="H111">
        <v>69.28</v>
      </c>
      <c r="I111">
        <v>65</v>
      </c>
      <c r="J111">
        <v>66.150000000000006</v>
      </c>
      <c r="K111">
        <v>67.81</v>
      </c>
      <c r="L111">
        <v>61.1</v>
      </c>
      <c r="M111">
        <v>97.4</v>
      </c>
      <c r="N111">
        <v>92.87</v>
      </c>
      <c r="O111">
        <v>89.6</v>
      </c>
      <c r="P111">
        <v>89.01</v>
      </c>
      <c r="Q111">
        <v>35.712000000000003</v>
      </c>
      <c r="R111">
        <v>95.05</v>
      </c>
      <c r="S111">
        <v>97.42</v>
      </c>
      <c r="T111">
        <v>92.7</v>
      </c>
      <c r="U111">
        <v>89.5</v>
      </c>
      <c r="V111">
        <v>89.25</v>
      </c>
      <c r="W111">
        <v>35.6</v>
      </c>
      <c r="X111">
        <v>95.05</v>
      </c>
      <c r="AA111" s="7">
        <f t="shared" si="25"/>
        <v>1240</v>
      </c>
    </row>
    <row r="112" spans="1:27">
      <c r="A112" s="1">
        <v>45728</v>
      </c>
      <c r="B112">
        <v>71.040000000000006</v>
      </c>
      <c r="C112">
        <v>65.55</v>
      </c>
      <c r="D112">
        <v>66.3</v>
      </c>
      <c r="E112">
        <v>69.95</v>
      </c>
      <c r="F112">
        <v>61.6</v>
      </c>
      <c r="G112">
        <v>63.9</v>
      </c>
      <c r="H112">
        <v>69.02</v>
      </c>
      <c r="I112">
        <v>64.75</v>
      </c>
      <c r="J112">
        <v>65.900000000000006</v>
      </c>
      <c r="K112">
        <v>67.680000000000007</v>
      </c>
      <c r="L112">
        <v>60.75</v>
      </c>
      <c r="M112">
        <v>97.5</v>
      </c>
      <c r="N112">
        <v>92.5</v>
      </c>
      <c r="O112">
        <v>89.18</v>
      </c>
      <c r="P112">
        <v>89</v>
      </c>
      <c r="Q112">
        <v>36.671999999999997</v>
      </c>
      <c r="R112">
        <v>94.74</v>
      </c>
      <c r="S112">
        <v>97.1</v>
      </c>
      <c r="T112">
        <v>92.41</v>
      </c>
      <c r="U112">
        <v>89.07</v>
      </c>
      <c r="V112">
        <v>88.64</v>
      </c>
      <c r="W112">
        <v>35.35</v>
      </c>
      <c r="X112">
        <v>94.5</v>
      </c>
      <c r="AA112" s="7">
        <f t="shared" si="25"/>
        <v>1241</v>
      </c>
    </row>
    <row r="113" spans="1:27">
      <c r="A113" s="1">
        <v>45729</v>
      </c>
      <c r="B113">
        <v>70.7</v>
      </c>
      <c r="C113">
        <v>65.25</v>
      </c>
      <c r="D113">
        <v>65.75</v>
      </c>
      <c r="E113">
        <v>69.37</v>
      </c>
      <c r="F113">
        <v>61.2</v>
      </c>
      <c r="G113">
        <v>64.64</v>
      </c>
      <c r="H113">
        <v>68.78</v>
      </c>
      <c r="I113">
        <v>64.44</v>
      </c>
      <c r="J113">
        <v>65.739999999999995</v>
      </c>
      <c r="K113">
        <v>67.31</v>
      </c>
      <c r="L113">
        <v>60.5</v>
      </c>
      <c r="M113">
        <v>97.45</v>
      </c>
      <c r="N113">
        <v>91.95</v>
      </c>
      <c r="O113">
        <v>88.57</v>
      </c>
      <c r="P113">
        <v>88.6</v>
      </c>
      <c r="Q113">
        <v>35.438000000000002</v>
      </c>
      <c r="R113">
        <v>94.7</v>
      </c>
      <c r="S113">
        <v>97.1</v>
      </c>
      <c r="T113">
        <v>91.7</v>
      </c>
      <c r="U113">
        <v>88.26</v>
      </c>
      <c r="V113">
        <v>88.42</v>
      </c>
      <c r="W113">
        <v>35.356000000000002</v>
      </c>
      <c r="X113">
        <v>94.43</v>
      </c>
      <c r="AA113" s="7">
        <f t="shared" si="25"/>
        <v>1242</v>
      </c>
    </row>
    <row r="114" spans="1:27">
      <c r="A114" s="1">
        <v>45730</v>
      </c>
      <c r="B114">
        <v>71.14</v>
      </c>
      <c r="C114">
        <v>65.17</v>
      </c>
      <c r="D114">
        <v>65.75</v>
      </c>
      <c r="E114">
        <v>69.19</v>
      </c>
      <c r="F114">
        <v>60.9</v>
      </c>
      <c r="G114">
        <v>63.3</v>
      </c>
      <c r="H114">
        <v>68.8</v>
      </c>
      <c r="I114">
        <v>64.319999999999993</v>
      </c>
      <c r="J114">
        <v>65.55</v>
      </c>
      <c r="K114">
        <v>67</v>
      </c>
      <c r="L114">
        <v>60.8</v>
      </c>
      <c r="M114">
        <v>97.94</v>
      </c>
      <c r="N114">
        <v>92.29</v>
      </c>
      <c r="O114">
        <v>88.39</v>
      </c>
      <c r="P114">
        <v>88.5</v>
      </c>
      <c r="Q114">
        <v>35.53</v>
      </c>
      <c r="R114">
        <v>94.85</v>
      </c>
      <c r="S114">
        <v>97.8</v>
      </c>
      <c r="T114">
        <v>92.07</v>
      </c>
      <c r="U114">
        <v>88.19</v>
      </c>
      <c r="V114">
        <v>88.48</v>
      </c>
      <c r="W114">
        <v>35.332000000000001</v>
      </c>
      <c r="X114">
        <v>94.6</v>
      </c>
      <c r="AA114" s="7">
        <f t="shared" si="25"/>
        <v>1243</v>
      </c>
    </row>
    <row r="115" spans="1:27">
      <c r="A115" s="1">
        <v>45733</v>
      </c>
      <c r="B115">
        <v>70.56</v>
      </c>
      <c r="C115">
        <v>64.89</v>
      </c>
      <c r="D115">
        <v>65.599999999999994</v>
      </c>
      <c r="E115">
        <v>69.319999999999993</v>
      </c>
      <c r="F115">
        <v>60.78</v>
      </c>
      <c r="G115">
        <v>63</v>
      </c>
      <c r="H115">
        <v>69.099999999999994</v>
      </c>
      <c r="I115">
        <v>64.08</v>
      </c>
      <c r="J115">
        <v>65.239999999999995</v>
      </c>
      <c r="K115">
        <v>67.02</v>
      </c>
      <c r="L115">
        <v>60.78</v>
      </c>
      <c r="M115">
        <v>97.7</v>
      </c>
      <c r="N115">
        <v>91.95</v>
      </c>
      <c r="O115">
        <v>88.03</v>
      </c>
      <c r="P115">
        <v>88.22</v>
      </c>
      <c r="Q115">
        <v>36.5</v>
      </c>
      <c r="R115">
        <v>94.5</v>
      </c>
      <c r="S115">
        <v>97.6</v>
      </c>
      <c r="T115">
        <v>91.8</v>
      </c>
      <c r="U115">
        <v>87.82</v>
      </c>
      <c r="V115">
        <v>88.21</v>
      </c>
      <c r="W115">
        <v>36.47</v>
      </c>
      <c r="X115">
        <v>94.1</v>
      </c>
      <c r="AA115" s="7">
        <f t="shared" si="25"/>
        <v>1244</v>
      </c>
    </row>
    <row r="116" spans="1:27">
      <c r="A116" s="1">
        <v>45734</v>
      </c>
      <c r="B116">
        <v>69.290000000000006</v>
      </c>
      <c r="C116">
        <v>63.99</v>
      </c>
      <c r="D116">
        <v>64.02</v>
      </c>
      <c r="E116">
        <v>67.989999999999995</v>
      </c>
      <c r="F116">
        <v>59.3</v>
      </c>
      <c r="G116">
        <v>62.6</v>
      </c>
      <c r="H116">
        <v>68.319999999999993</v>
      </c>
      <c r="I116">
        <v>63.12</v>
      </c>
      <c r="J116">
        <v>63.88</v>
      </c>
      <c r="K116">
        <v>66.06</v>
      </c>
      <c r="L116">
        <v>59.12</v>
      </c>
      <c r="M116">
        <v>97.89</v>
      </c>
      <c r="N116">
        <v>91.6</v>
      </c>
      <c r="O116">
        <v>87.23</v>
      </c>
      <c r="P116">
        <v>87.08</v>
      </c>
      <c r="Q116">
        <v>34.4</v>
      </c>
      <c r="R116">
        <v>94.57</v>
      </c>
      <c r="S116">
        <v>97.01</v>
      </c>
      <c r="T116">
        <v>91.25</v>
      </c>
      <c r="U116">
        <v>87.2</v>
      </c>
      <c r="V116">
        <v>87.06</v>
      </c>
      <c r="W116">
        <v>34.5</v>
      </c>
      <c r="X116">
        <v>94.49</v>
      </c>
      <c r="AA116" s="7">
        <f t="shared" si="25"/>
        <v>1245</v>
      </c>
    </row>
    <row r="117" spans="1:27">
      <c r="A117" s="1">
        <v>45735</v>
      </c>
      <c r="B117">
        <v>71.19</v>
      </c>
      <c r="C117">
        <v>65.209999999999994</v>
      </c>
      <c r="D117">
        <v>65.510000000000005</v>
      </c>
      <c r="E117">
        <v>68.75</v>
      </c>
      <c r="F117">
        <v>60.3</v>
      </c>
      <c r="G117">
        <v>62.87</v>
      </c>
      <c r="H117">
        <v>68.78</v>
      </c>
      <c r="I117">
        <v>64.3</v>
      </c>
      <c r="J117">
        <v>64.44</v>
      </c>
      <c r="K117">
        <v>66.7</v>
      </c>
      <c r="L117">
        <v>60.08</v>
      </c>
      <c r="M117">
        <v>99</v>
      </c>
      <c r="N117">
        <v>91.8</v>
      </c>
      <c r="O117">
        <v>87.5</v>
      </c>
      <c r="P117">
        <v>87.75</v>
      </c>
      <c r="Q117">
        <v>34.357999999999997</v>
      </c>
      <c r="R117">
        <v>94.3</v>
      </c>
      <c r="S117">
        <v>98.8</v>
      </c>
      <c r="T117">
        <v>91.6</v>
      </c>
      <c r="U117">
        <v>87.6</v>
      </c>
      <c r="V117">
        <v>87.6</v>
      </c>
      <c r="W117">
        <v>34.082999999999998</v>
      </c>
      <c r="X117">
        <v>94.17</v>
      </c>
      <c r="AA117" s="7">
        <f t="shared" si="25"/>
        <v>1246</v>
      </c>
    </row>
    <row r="118" spans="1:27">
      <c r="A118" s="1">
        <v>45736</v>
      </c>
      <c r="B118">
        <v>71.13</v>
      </c>
      <c r="C118">
        <v>65.09</v>
      </c>
      <c r="D118">
        <v>65.489999999999995</v>
      </c>
      <c r="E118">
        <v>68.95</v>
      </c>
      <c r="F118">
        <v>60.31</v>
      </c>
      <c r="G118">
        <v>63.02</v>
      </c>
      <c r="H118">
        <v>69.41</v>
      </c>
      <c r="I118">
        <v>64.180000000000007</v>
      </c>
      <c r="J118">
        <v>64.680000000000007</v>
      </c>
      <c r="K118">
        <v>66.8</v>
      </c>
      <c r="L118">
        <v>60.89</v>
      </c>
      <c r="M118">
        <v>97.89</v>
      </c>
      <c r="N118">
        <v>91.44</v>
      </c>
      <c r="O118">
        <v>87.74</v>
      </c>
      <c r="P118">
        <v>87.66</v>
      </c>
      <c r="Q118">
        <v>34.862000000000002</v>
      </c>
      <c r="R118">
        <v>94.5</v>
      </c>
      <c r="S118">
        <v>97.75</v>
      </c>
      <c r="T118">
        <v>91.2</v>
      </c>
      <c r="U118">
        <v>87.55</v>
      </c>
      <c r="V118">
        <v>87.83</v>
      </c>
      <c r="W118">
        <v>34.700000000000003</v>
      </c>
      <c r="X118">
        <v>94.35</v>
      </c>
      <c r="AA118" s="7">
        <f t="shared" si="25"/>
        <v>1247</v>
      </c>
    </row>
    <row r="119" spans="1:27">
      <c r="A119" s="1">
        <v>45737</v>
      </c>
      <c r="B119">
        <v>71.010000000000005</v>
      </c>
      <c r="C119">
        <v>65.150000000000006</v>
      </c>
      <c r="D119">
        <v>65.5</v>
      </c>
      <c r="E119">
        <v>68.77</v>
      </c>
      <c r="F119">
        <v>60.5</v>
      </c>
      <c r="G119">
        <v>62.48</v>
      </c>
      <c r="H119">
        <v>69.22</v>
      </c>
      <c r="I119">
        <v>64.22</v>
      </c>
      <c r="J119">
        <v>64.7</v>
      </c>
      <c r="K119">
        <v>66.8</v>
      </c>
      <c r="L119">
        <v>60.69</v>
      </c>
      <c r="M119">
        <v>98.91</v>
      </c>
      <c r="N119">
        <v>90.9</v>
      </c>
      <c r="O119">
        <v>89.82</v>
      </c>
      <c r="P119">
        <v>89.4</v>
      </c>
      <c r="Q119">
        <v>34.914000000000001</v>
      </c>
      <c r="R119">
        <v>95.5</v>
      </c>
      <c r="S119">
        <v>98.73</v>
      </c>
      <c r="T119">
        <v>91</v>
      </c>
      <c r="U119">
        <v>87.56</v>
      </c>
      <c r="V119">
        <v>89</v>
      </c>
      <c r="W119">
        <v>34.9</v>
      </c>
      <c r="X119">
        <v>95.2</v>
      </c>
      <c r="AA119" s="7">
        <f t="shared" si="25"/>
        <v>1248</v>
      </c>
    </row>
    <row r="120" spans="1:27">
      <c r="A120" s="1">
        <v>45741</v>
      </c>
      <c r="B120">
        <v>71.150000000000006</v>
      </c>
      <c r="C120">
        <v>65.790000000000006</v>
      </c>
      <c r="D120">
        <v>65.459999999999994</v>
      </c>
      <c r="E120">
        <v>68.7</v>
      </c>
      <c r="F120">
        <v>60.35</v>
      </c>
      <c r="G120">
        <v>62.3</v>
      </c>
      <c r="H120">
        <v>70.19</v>
      </c>
      <c r="I120">
        <v>64.89</v>
      </c>
      <c r="J120">
        <v>64.66</v>
      </c>
      <c r="K120">
        <v>66.69</v>
      </c>
      <c r="L120">
        <v>60.2</v>
      </c>
      <c r="M120">
        <v>98.5</v>
      </c>
      <c r="N120">
        <v>92.2</v>
      </c>
      <c r="O120">
        <v>89.22</v>
      </c>
      <c r="P120">
        <v>88.8</v>
      </c>
      <c r="Q120">
        <v>34.207000000000001</v>
      </c>
      <c r="R120">
        <v>96.3</v>
      </c>
      <c r="S120">
        <v>98.25</v>
      </c>
      <c r="T120">
        <v>92.1</v>
      </c>
      <c r="U120">
        <v>89.09</v>
      </c>
      <c r="V120">
        <v>88.9</v>
      </c>
      <c r="W120">
        <v>34.9</v>
      </c>
      <c r="X120">
        <v>96</v>
      </c>
      <c r="AA120" s="7">
        <f t="shared" si="25"/>
        <v>1249</v>
      </c>
    </row>
    <row r="121" spans="1:27">
      <c r="A121" s="1">
        <v>45742</v>
      </c>
      <c r="B121">
        <v>70.77</v>
      </c>
      <c r="C121">
        <v>65.13</v>
      </c>
      <c r="D121">
        <v>64.87</v>
      </c>
      <c r="E121">
        <v>68.290000000000006</v>
      </c>
      <c r="F121">
        <v>59.97</v>
      </c>
      <c r="G121">
        <v>61.85</v>
      </c>
      <c r="H121">
        <v>69.599999999999994</v>
      </c>
      <c r="I121">
        <v>64.28</v>
      </c>
      <c r="J121">
        <v>64.3</v>
      </c>
      <c r="K121">
        <v>66.459999999999994</v>
      </c>
      <c r="L121">
        <v>59.8</v>
      </c>
      <c r="M121">
        <v>98.22</v>
      </c>
      <c r="N121">
        <v>92.7</v>
      </c>
      <c r="O121">
        <v>89.1</v>
      </c>
      <c r="P121">
        <v>88.91</v>
      </c>
      <c r="Q121">
        <v>35.453000000000003</v>
      </c>
      <c r="R121">
        <v>96.9</v>
      </c>
      <c r="S121">
        <v>98</v>
      </c>
      <c r="T121">
        <v>92.5</v>
      </c>
      <c r="U121">
        <v>88.8</v>
      </c>
      <c r="V121">
        <v>88.51</v>
      </c>
      <c r="W121">
        <v>35.5</v>
      </c>
      <c r="X121">
        <v>96.65</v>
      </c>
      <c r="AA121" s="7">
        <f t="shared" si="25"/>
        <v>1250</v>
      </c>
    </row>
    <row r="122" spans="1:27">
      <c r="A122" s="1">
        <v>45743</v>
      </c>
      <c r="B122">
        <v>70.69</v>
      </c>
      <c r="C122">
        <v>65.55</v>
      </c>
      <c r="D122">
        <v>65.09</v>
      </c>
      <c r="E122">
        <v>68.56</v>
      </c>
      <c r="F122">
        <v>60.16</v>
      </c>
      <c r="G122">
        <v>62.8</v>
      </c>
      <c r="H122">
        <v>69.25</v>
      </c>
      <c r="I122">
        <v>64.56</v>
      </c>
      <c r="J122">
        <v>64.55</v>
      </c>
      <c r="K122">
        <v>66.25</v>
      </c>
      <c r="L122">
        <v>59.92</v>
      </c>
      <c r="M122">
        <v>98.5</v>
      </c>
      <c r="N122">
        <v>93.7</v>
      </c>
      <c r="O122">
        <v>90.7</v>
      </c>
      <c r="P122">
        <v>90.46</v>
      </c>
      <c r="Q122">
        <v>36.048000000000002</v>
      </c>
      <c r="R122">
        <v>97</v>
      </c>
      <c r="S122">
        <v>98.42</v>
      </c>
      <c r="T122">
        <v>93.6</v>
      </c>
      <c r="U122">
        <v>90.5</v>
      </c>
      <c r="V122">
        <v>90.25</v>
      </c>
      <c r="W122">
        <v>35.624000000000002</v>
      </c>
      <c r="X122">
        <v>96.8</v>
      </c>
      <c r="AA122" s="7">
        <f t="shared" si="25"/>
        <v>1251</v>
      </c>
    </row>
    <row r="123" spans="1:27">
      <c r="A123" s="1">
        <v>45744</v>
      </c>
      <c r="B123">
        <v>70</v>
      </c>
      <c r="C123">
        <v>64.5</v>
      </c>
      <c r="D123">
        <v>63.85</v>
      </c>
      <c r="E123">
        <v>67.540000000000006</v>
      </c>
      <c r="F123">
        <v>59.15</v>
      </c>
      <c r="G123">
        <v>61.95</v>
      </c>
      <c r="H123">
        <v>68.8</v>
      </c>
      <c r="I123">
        <v>63.71</v>
      </c>
      <c r="J123">
        <v>63.79</v>
      </c>
      <c r="K123">
        <v>65.64</v>
      </c>
      <c r="L123">
        <v>59.08</v>
      </c>
      <c r="M123">
        <v>98.5</v>
      </c>
      <c r="N123">
        <v>93.31</v>
      </c>
      <c r="O123">
        <v>90.42</v>
      </c>
      <c r="P123">
        <v>90.5</v>
      </c>
      <c r="Q123">
        <v>28.13</v>
      </c>
      <c r="R123">
        <v>96.39</v>
      </c>
      <c r="S123">
        <v>98.2</v>
      </c>
      <c r="T123">
        <v>93.35</v>
      </c>
      <c r="U123">
        <v>90.25</v>
      </c>
      <c r="V123">
        <v>90.3</v>
      </c>
      <c r="W123">
        <v>27.311</v>
      </c>
      <c r="X123">
        <v>96.27</v>
      </c>
      <c r="AA123" s="7">
        <f t="shared" si="25"/>
        <v>1252</v>
      </c>
    </row>
    <row r="124" spans="1:27">
      <c r="A124" s="1">
        <v>45747</v>
      </c>
      <c r="B124">
        <v>70.5</v>
      </c>
      <c r="C124">
        <v>64.22</v>
      </c>
      <c r="D124">
        <v>63.63</v>
      </c>
      <c r="E124">
        <v>67.17</v>
      </c>
      <c r="F124">
        <v>58.75</v>
      </c>
      <c r="G124">
        <v>60.61</v>
      </c>
      <c r="H124">
        <v>68.55</v>
      </c>
      <c r="I124">
        <v>63.75</v>
      </c>
      <c r="J124">
        <v>63.16</v>
      </c>
      <c r="K124">
        <v>65.010000000000005</v>
      </c>
      <c r="L124">
        <v>58.52</v>
      </c>
      <c r="M124">
        <v>98.36</v>
      </c>
      <c r="N124">
        <v>93.59</v>
      </c>
      <c r="O124">
        <v>90.44</v>
      </c>
      <c r="P124">
        <v>90.5</v>
      </c>
      <c r="Q124">
        <v>28.59</v>
      </c>
      <c r="R124">
        <v>96.81</v>
      </c>
      <c r="S124">
        <v>98.4</v>
      </c>
      <c r="T124">
        <v>93.45</v>
      </c>
      <c r="U124">
        <v>90.41</v>
      </c>
      <c r="V124">
        <v>90.47</v>
      </c>
      <c r="W124">
        <v>26.841000000000001</v>
      </c>
      <c r="X124">
        <v>96.72</v>
      </c>
      <c r="AA124" s="7">
        <f t="shared" si="25"/>
        <v>1253</v>
      </c>
    </row>
    <row r="125" spans="1:27">
      <c r="A125" s="1">
        <v>45748</v>
      </c>
      <c r="B125">
        <v>69.36</v>
      </c>
      <c r="C125">
        <v>64.73</v>
      </c>
      <c r="D125">
        <v>63.5</v>
      </c>
      <c r="E125">
        <v>67.069999999999993</v>
      </c>
      <c r="F125">
        <v>58.7</v>
      </c>
      <c r="G125">
        <v>61.6</v>
      </c>
      <c r="H125">
        <v>68.7</v>
      </c>
      <c r="I125">
        <v>63.6</v>
      </c>
      <c r="J125">
        <v>63.2</v>
      </c>
      <c r="K125">
        <v>65.31</v>
      </c>
      <c r="L125">
        <v>58.01</v>
      </c>
      <c r="M125">
        <v>98.59</v>
      </c>
      <c r="N125">
        <v>93.5</v>
      </c>
      <c r="O125">
        <v>90.75</v>
      </c>
      <c r="P125">
        <v>90.56</v>
      </c>
      <c r="Q125">
        <v>29</v>
      </c>
      <c r="R125">
        <v>96.95</v>
      </c>
      <c r="S125">
        <v>98.6</v>
      </c>
      <c r="T125">
        <v>93.36</v>
      </c>
      <c r="U125">
        <v>90.75</v>
      </c>
      <c r="V125">
        <v>90.5</v>
      </c>
      <c r="W125">
        <v>26.841000000000001</v>
      </c>
      <c r="X125">
        <v>97</v>
      </c>
      <c r="AA125" s="7">
        <f t="shared" si="25"/>
        <v>1254</v>
      </c>
    </row>
    <row r="126" spans="1:27">
      <c r="A126" s="1">
        <v>45750</v>
      </c>
      <c r="B126">
        <v>69.989999999999995</v>
      </c>
      <c r="C126">
        <v>63.83</v>
      </c>
      <c r="D126">
        <v>62.4</v>
      </c>
      <c r="E126">
        <v>65.989999999999995</v>
      </c>
      <c r="F126">
        <v>57.5</v>
      </c>
      <c r="G126">
        <v>60.66</v>
      </c>
      <c r="H126">
        <v>68.27</v>
      </c>
      <c r="I126">
        <v>63.05</v>
      </c>
      <c r="J126">
        <v>62.01</v>
      </c>
      <c r="K126">
        <v>64.33</v>
      </c>
      <c r="L126">
        <v>57.52</v>
      </c>
      <c r="M126">
        <v>98.03</v>
      </c>
      <c r="N126">
        <v>93.25</v>
      </c>
      <c r="O126">
        <v>90.5</v>
      </c>
      <c r="P126">
        <v>90.55</v>
      </c>
      <c r="Q126">
        <v>26.939</v>
      </c>
      <c r="R126">
        <v>96.75</v>
      </c>
      <c r="S126">
        <v>98</v>
      </c>
      <c r="T126">
        <v>93.1</v>
      </c>
      <c r="U126">
        <v>90.57</v>
      </c>
      <c r="V126">
        <v>90.55</v>
      </c>
      <c r="W126">
        <v>26.841000000000001</v>
      </c>
      <c r="X126">
        <v>96.65</v>
      </c>
      <c r="AA126" s="7">
        <f t="shared" si="25"/>
        <v>1255</v>
      </c>
    </row>
    <row r="127" spans="1:27">
      <c r="A127" s="1">
        <v>45751</v>
      </c>
      <c r="B127">
        <v>69.98</v>
      </c>
      <c r="C127">
        <v>63.11</v>
      </c>
      <c r="D127">
        <v>61.5</v>
      </c>
      <c r="E127">
        <v>65.5</v>
      </c>
      <c r="F127">
        <v>55.96</v>
      </c>
      <c r="G127">
        <v>59</v>
      </c>
      <c r="H127">
        <v>67</v>
      </c>
      <c r="I127">
        <v>61.92</v>
      </c>
      <c r="J127">
        <v>60.81</v>
      </c>
      <c r="K127">
        <v>62.95</v>
      </c>
      <c r="L127">
        <v>56.63</v>
      </c>
      <c r="M127">
        <v>98.19</v>
      </c>
      <c r="N127">
        <v>92.49</v>
      </c>
      <c r="O127">
        <v>90.14</v>
      </c>
      <c r="P127">
        <v>90.05</v>
      </c>
      <c r="Q127">
        <v>25.1</v>
      </c>
      <c r="R127">
        <v>95.53</v>
      </c>
      <c r="S127">
        <v>97.8</v>
      </c>
      <c r="T127">
        <v>92.9</v>
      </c>
      <c r="U127">
        <v>90.05</v>
      </c>
      <c r="V127">
        <v>90.35</v>
      </c>
      <c r="W127">
        <v>25.548999999999999</v>
      </c>
      <c r="X127">
        <v>95.96</v>
      </c>
      <c r="AA127" s="7">
        <f t="shared" si="25"/>
        <v>1256</v>
      </c>
    </row>
    <row r="128" spans="1:27">
      <c r="A128" s="1">
        <v>45754</v>
      </c>
      <c r="B128">
        <v>66.959999999999994</v>
      </c>
      <c r="C128">
        <v>61.77</v>
      </c>
      <c r="D128">
        <v>58.52</v>
      </c>
      <c r="E128">
        <v>61.5</v>
      </c>
      <c r="F128">
        <v>53.84</v>
      </c>
      <c r="G128">
        <v>56.9</v>
      </c>
      <c r="H128">
        <v>64.94</v>
      </c>
      <c r="I128">
        <v>60.51</v>
      </c>
      <c r="J128">
        <v>57.7</v>
      </c>
      <c r="K128">
        <v>59.3</v>
      </c>
      <c r="L128">
        <v>53.3</v>
      </c>
      <c r="M128">
        <v>98.15</v>
      </c>
      <c r="N128">
        <v>91.5</v>
      </c>
      <c r="O128">
        <v>89.03</v>
      </c>
      <c r="P128">
        <v>89.47</v>
      </c>
      <c r="Q128">
        <v>28.105</v>
      </c>
      <c r="R128">
        <v>95</v>
      </c>
      <c r="S128">
        <v>98.4</v>
      </c>
      <c r="T128">
        <v>91.75</v>
      </c>
      <c r="U128">
        <v>89.09</v>
      </c>
      <c r="V128">
        <v>89.5</v>
      </c>
      <c r="W128">
        <v>25.548999999999999</v>
      </c>
      <c r="X128">
        <v>95.25</v>
      </c>
      <c r="AA128" s="7">
        <f t="shared" si="25"/>
        <v>1257</v>
      </c>
    </row>
    <row r="129" spans="1:27">
      <c r="A129" s="1">
        <v>45755</v>
      </c>
      <c r="B129">
        <v>66.95</v>
      </c>
      <c r="C129">
        <v>61.51</v>
      </c>
      <c r="D129">
        <v>58</v>
      </c>
      <c r="E129">
        <v>61.23</v>
      </c>
      <c r="F129">
        <v>53.58</v>
      </c>
      <c r="G129">
        <v>56.4</v>
      </c>
      <c r="H129">
        <v>64.599999999999994</v>
      </c>
      <c r="I129">
        <v>59.49</v>
      </c>
      <c r="J129">
        <v>57.55</v>
      </c>
      <c r="K129">
        <v>59.1</v>
      </c>
      <c r="L129">
        <v>53.7</v>
      </c>
      <c r="M129">
        <v>97.8</v>
      </c>
      <c r="N129">
        <v>90.86</v>
      </c>
      <c r="O129">
        <v>89.17</v>
      </c>
      <c r="P129">
        <v>89</v>
      </c>
      <c r="Q129">
        <v>28</v>
      </c>
      <c r="R129">
        <v>95.26</v>
      </c>
      <c r="S129">
        <v>97.45</v>
      </c>
      <c r="T129">
        <v>91</v>
      </c>
      <c r="U129">
        <v>89.36</v>
      </c>
      <c r="V129">
        <v>89.5</v>
      </c>
      <c r="W129">
        <v>25.548999999999999</v>
      </c>
      <c r="X129">
        <v>95.5</v>
      </c>
      <c r="AA129" s="7">
        <f t="shared" si="25"/>
        <v>1258</v>
      </c>
    </row>
    <row r="130" spans="1:27">
      <c r="A130" s="1">
        <v>45756</v>
      </c>
      <c r="B130">
        <v>69.5</v>
      </c>
      <c r="C130">
        <v>63.6</v>
      </c>
      <c r="D130">
        <v>61.15</v>
      </c>
      <c r="E130">
        <v>64.16</v>
      </c>
      <c r="F130">
        <v>56.28</v>
      </c>
      <c r="G130">
        <v>58.34</v>
      </c>
      <c r="H130">
        <v>67.900000000000006</v>
      </c>
      <c r="I130">
        <v>61.56</v>
      </c>
      <c r="J130">
        <v>60.65</v>
      </c>
      <c r="K130">
        <v>62</v>
      </c>
      <c r="L130">
        <v>56.21</v>
      </c>
      <c r="M130">
        <v>97.35</v>
      </c>
      <c r="N130">
        <v>93.5</v>
      </c>
      <c r="O130">
        <v>89.77</v>
      </c>
      <c r="P130">
        <v>91.25</v>
      </c>
      <c r="Q130">
        <v>28</v>
      </c>
      <c r="R130">
        <v>96.9</v>
      </c>
      <c r="S130">
        <v>97.9</v>
      </c>
      <c r="T130">
        <v>93</v>
      </c>
      <c r="U130">
        <v>90.25</v>
      </c>
      <c r="V130">
        <v>90</v>
      </c>
      <c r="W130">
        <v>25.548999999999999</v>
      </c>
      <c r="X130">
        <v>96.9</v>
      </c>
      <c r="AA130" s="7">
        <f t="shared" si="25"/>
        <v>1259</v>
      </c>
    </row>
    <row r="131" spans="1:27">
      <c r="A131" s="1">
        <v>45757</v>
      </c>
      <c r="B131">
        <v>69</v>
      </c>
      <c r="C131">
        <v>63.75</v>
      </c>
      <c r="D131">
        <v>59.77</v>
      </c>
      <c r="E131">
        <v>63.08</v>
      </c>
      <c r="F131">
        <v>55.09</v>
      </c>
      <c r="G131">
        <v>58.75</v>
      </c>
      <c r="H131">
        <v>65.349999999999994</v>
      </c>
      <c r="I131">
        <v>61.07</v>
      </c>
      <c r="J131">
        <v>60</v>
      </c>
      <c r="K131">
        <v>61.53</v>
      </c>
      <c r="L131">
        <v>55.61</v>
      </c>
      <c r="M131">
        <v>97.55</v>
      </c>
      <c r="N131">
        <v>92.15</v>
      </c>
      <c r="O131">
        <v>89.75</v>
      </c>
      <c r="P131">
        <v>90</v>
      </c>
      <c r="Q131">
        <v>26.669</v>
      </c>
      <c r="R131">
        <v>97.15</v>
      </c>
      <c r="S131">
        <v>97.95</v>
      </c>
      <c r="T131">
        <v>92.25</v>
      </c>
      <c r="U131">
        <v>89.85</v>
      </c>
      <c r="V131">
        <v>89.75</v>
      </c>
      <c r="W131">
        <v>25.548999999999999</v>
      </c>
      <c r="X131">
        <v>97.54</v>
      </c>
      <c r="AA131" s="7">
        <f t="shared" si="25"/>
        <v>1260</v>
      </c>
    </row>
    <row r="132" spans="1:27">
      <c r="A132" s="1">
        <v>45758</v>
      </c>
      <c r="B132">
        <v>70.22</v>
      </c>
      <c r="C132">
        <v>64.27</v>
      </c>
      <c r="D132">
        <v>60.8</v>
      </c>
      <c r="E132">
        <v>64.03</v>
      </c>
      <c r="F132">
        <v>56.05</v>
      </c>
      <c r="G132">
        <v>59.3</v>
      </c>
      <c r="H132">
        <v>67.5</v>
      </c>
      <c r="I132">
        <v>62.9</v>
      </c>
      <c r="J132">
        <v>60.7</v>
      </c>
      <c r="K132">
        <v>62.5</v>
      </c>
      <c r="L132">
        <v>55.71</v>
      </c>
      <c r="M132">
        <v>97.54</v>
      </c>
      <c r="N132">
        <v>93.04</v>
      </c>
      <c r="O132">
        <v>90.9</v>
      </c>
      <c r="P132">
        <v>90.86</v>
      </c>
      <c r="Q132">
        <v>27.195</v>
      </c>
      <c r="R132">
        <v>97.12</v>
      </c>
      <c r="S132">
        <v>97.28</v>
      </c>
      <c r="T132">
        <v>92.5</v>
      </c>
      <c r="U132">
        <v>90.51</v>
      </c>
      <c r="V132">
        <v>90.85</v>
      </c>
      <c r="W132">
        <v>26.433</v>
      </c>
      <c r="X132">
        <v>97.27</v>
      </c>
      <c r="AA132" s="7">
        <f t="shared" si="25"/>
        <v>1261</v>
      </c>
    </row>
    <row r="133" spans="1:27">
      <c r="A133" s="1">
        <v>45761</v>
      </c>
      <c r="B133">
        <v>71.53</v>
      </c>
      <c r="C133">
        <v>67.599999999999994</v>
      </c>
      <c r="D133">
        <v>66.489999999999995</v>
      </c>
      <c r="E133">
        <v>69.7</v>
      </c>
      <c r="F133">
        <v>61.4</v>
      </c>
      <c r="G133">
        <v>63.91</v>
      </c>
      <c r="H133">
        <v>70.42</v>
      </c>
      <c r="I133">
        <v>66.14</v>
      </c>
      <c r="J133">
        <v>66.5</v>
      </c>
      <c r="K133">
        <v>67.89</v>
      </c>
      <c r="L133">
        <v>61.27</v>
      </c>
      <c r="M133">
        <v>98</v>
      </c>
      <c r="N133">
        <v>94.35</v>
      </c>
      <c r="O133">
        <v>90.96</v>
      </c>
      <c r="P133">
        <v>90.89</v>
      </c>
      <c r="Q133">
        <v>25.018000000000001</v>
      </c>
      <c r="R133">
        <v>97.2</v>
      </c>
      <c r="S133">
        <v>98.25</v>
      </c>
      <c r="T133">
        <v>94.5</v>
      </c>
      <c r="U133">
        <v>90.95</v>
      </c>
      <c r="V133">
        <v>91.18</v>
      </c>
      <c r="W133">
        <v>25.663</v>
      </c>
      <c r="X133">
        <v>96.9</v>
      </c>
      <c r="AA133" s="7">
        <f t="shared" ref="AA133:AA196" si="26">+AA132+1</f>
        <v>1262</v>
      </c>
    </row>
    <row r="134" spans="1:27">
      <c r="A134" s="1">
        <v>45762</v>
      </c>
      <c r="B134">
        <v>71.349999999999994</v>
      </c>
      <c r="C134">
        <v>67.33</v>
      </c>
      <c r="D134">
        <v>66.75</v>
      </c>
      <c r="E134">
        <v>70.150000000000006</v>
      </c>
      <c r="F134">
        <v>61.7</v>
      </c>
      <c r="G134">
        <v>63.16</v>
      </c>
      <c r="H134">
        <v>70</v>
      </c>
      <c r="I134">
        <v>65.7</v>
      </c>
      <c r="J134">
        <v>66.05</v>
      </c>
      <c r="K134">
        <v>68.180000000000007</v>
      </c>
      <c r="L134">
        <v>62.09</v>
      </c>
      <c r="M134">
        <v>99.17</v>
      </c>
      <c r="N134">
        <v>95</v>
      </c>
      <c r="O134">
        <v>91.5</v>
      </c>
      <c r="P134">
        <v>91.5</v>
      </c>
      <c r="Q134">
        <v>26.34</v>
      </c>
      <c r="R134">
        <v>96</v>
      </c>
      <c r="S134">
        <v>98.8</v>
      </c>
      <c r="T134">
        <v>94.6</v>
      </c>
      <c r="U134">
        <v>91</v>
      </c>
      <c r="V134">
        <v>91</v>
      </c>
      <c r="W134">
        <v>25.663</v>
      </c>
      <c r="X134">
        <v>96.01</v>
      </c>
      <c r="AA134" s="7">
        <f t="shared" si="26"/>
        <v>1263</v>
      </c>
    </row>
    <row r="135" spans="1:27">
      <c r="A135" s="1">
        <v>45763</v>
      </c>
      <c r="B135">
        <v>73.89</v>
      </c>
      <c r="C135">
        <v>66.8</v>
      </c>
      <c r="D135">
        <v>67.290000000000006</v>
      </c>
      <c r="E135">
        <v>70.39</v>
      </c>
      <c r="F135">
        <v>62.14</v>
      </c>
      <c r="G135">
        <v>64.400000000000006</v>
      </c>
      <c r="H135">
        <v>70</v>
      </c>
      <c r="I135">
        <v>65.75</v>
      </c>
      <c r="J135">
        <v>66.900000000000006</v>
      </c>
      <c r="K135">
        <v>68.489999999999995</v>
      </c>
      <c r="L135">
        <v>62.29</v>
      </c>
      <c r="M135">
        <v>99</v>
      </c>
      <c r="N135">
        <v>95.91</v>
      </c>
      <c r="O135">
        <v>92</v>
      </c>
      <c r="P135">
        <v>91.75</v>
      </c>
      <c r="Q135">
        <v>26.417999999999999</v>
      </c>
      <c r="R135">
        <v>96.2</v>
      </c>
      <c r="S135">
        <v>98.45</v>
      </c>
      <c r="T135">
        <v>95.5</v>
      </c>
      <c r="U135">
        <v>90.65</v>
      </c>
      <c r="V135">
        <v>91</v>
      </c>
      <c r="W135">
        <v>26.9</v>
      </c>
      <c r="X135">
        <v>95.99</v>
      </c>
      <c r="AA135" s="7">
        <f t="shared" si="26"/>
        <v>1264</v>
      </c>
    </row>
    <row r="136" spans="1:27">
      <c r="A136" s="1">
        <v>45768</v>
      </c>
      <c r="B136">
        <v>72.900000000000006</v>
      </c>
      <c r="C136">
        <v>67.58</v>
      </c>
      <c r="D136">
        <v>66.569999999999993</v>
      </c>
      <c r="E136">
        <v>70.25</v>
      </c>
      <c r="F136">
        <v>61.78</v>
      </c>
      <c r="G136">
        <v>65</v>
      </c>
      <c r="H136">
        <v>69.319999999999993</v>
      </c>
      <c r="I136">
        <v>66.180000000000007</v>
      </c>
      <c r="J136">
        <v>66.150000000000006</v>
      </c>
      <c r="K136">
        <v>68.23</v>
      </c>
      <c r="L136">
        <v>61.45</v>
      </c>
      <c r="M136">
        <v>99.75</v>
      </c>
      <c r="N136">
        <v>96.1</v>
      </c>
      <c r="O136">
        <v>92.22</v>
      </c>
      <c r="P136">
        <v>91.8</v>
      </c>
      <c r="Q136">
        <v>25.376000000000001</v>
      </c>
      <c r="R136">
        <v>96.88</v>
      </c>
      <c r="S136">
        <v>98.8</v>
      </c>
      <c r="T136">
        <v>95.9</v>
      </c>
      <c r="U136">
        <v>91.3</v>
      </c>
      <c r="V136">
        <v>90.95</v>
      </c>
      <c r="W136">
        <v>25.555</v>
      </c>
      <c r="X136">
        <v>95.7</v>
      </c>
      <c r="AA136" s="7">
        <f t="shared" si="26"/>
        <v>1265</v>
      </c>
    </row>
    <row r="137" spans="1:27">
      <c r="A137" s="1">
        <v>45769</v>
      </c>
      <c r="B137">
        <v>73.81</v>
      </c>
      <c r="C137">
        <v>69.099999999999994</v>
      </c>
      <c r="D137">
        <v>68.540000000000006</v>
      </c>
      <c r="E137">
        <v>72.099999999999994</v>
      </c>
      <c r="F137">
        <v>63.6</v>
      </c>
      <c r="G137">
        <v>65.81</v>
      </c>
      <c r="H137">
        <v>71.319999999999993</v>
      </c>
      <c r="I137">
        <v>67.77</v>
      </c>
      <c r="J137">
        <v>67.94</v>
      </c>
      <c r="K137">
        <v>69.790000000000006</v>
      </c>
      <c r="L137">
        <v>63.2</v>
      </c>
      <c r="M137">
        <v>100</v>
      </c>
      <c r="N137">
        <v>97</v>
      </c>
      <c r="O137">
        <v>92.89</v>
      </c>
      <c r="P137">
        <v>92.93</v>
      </c>
      <c r="Q137">
        <v>25.001000000000001</v>
      </c>
      <c r="R137">
        <v>97.35</v>
      </c>
      <c r="S137">
        <v>98.44</v>
      </c>
      <c r="T137">
        <v>95.25</v>
      </c>
      <c r="U137">
        <v>91.35</v>
      </c>
      <c r="V137">
        <v>91.5</v>
      </c>
      <c r="W137">
        <v>25.727</v>
      </c>
      <c r="X137">
        <v>95.95</v>
      </c>
      <c r="AA137" s="7">
        <f t="shared" si="26"/>
        <v>1266</v>
      </c>
    </row>
    <row r="138" spans="1:27">
      <c r="A138" s="1">
        <v>45770</v>
      </c>
      <c r="B138">
        <v>72.77</v>
      </c>
      <c r="C138">
        <v>68.510000000000005</v>
      </c>
      <c r="D138">
        <v>68.66</v>
      </c>
      <c r="E138">
        <v>72.400000000000006</v>
      </c>
      <c r="F138">
        <v>63.9</v>
      </c>
      <c r="G138">
        <v>66.5</v>
      </c>
      <c r="H138">
        <v>71.92</v>
      </c>
      <c r="I138">
        <v>67.5</v>
      </c>
      <c r="J138">
        <v>68.17</v>
      </c>
      <c r="K138">
        <v>70.489999999999995</v>
      </c>
      <c r="L138">
        <v>63.98</v>
      </c>
      <c r="M138">
        <v>100</v>
      </c>
      <c r="N138">
        <v>97.2</v>
      </c>
      <c r="O138">
        <v>93.7</v>
      </c>
      <c r="P138">
        <v>93.31</v>
      </c>
      <c r="Q138">
        <v>25.4</v>
      </c>
      <c r="R138">
        <v>97.8</v>
      </c>
      <c r="S138">
        <v>98.25</v>
      </c>
      <c r="T138">
        <v>95.5</v>
      </c>
      <c r="U138">
        <v>92.01</v>
      </c>
      <c r="V138">
        <v>91.7</v>
      </c>
      <c r="W138">
        <v>25.587</v>
      </c>
      <c r="X138">
        <v>96.5</v>
      </c>
      <c r="AA138" s="7">
        <f t="shared" si="26"/>
        <v>1267</v>
      </c>
    </row>
    <row r="139" spans="1:27">
      <c r="A139" s="1">
        <v>45771</v>
      </c>
      <c r="B139">
        <v>74.3</v>
      </c>
      <c r="C139">
        <v>68.95</v>
      </c>
      <c r="D139">
        <v>69.34</v>
      </c>
      <c r="E139">
        <v>73.3</v>
      </c>
      <c r="F139">
        <v>64.540000000000006</v>
      </c>
      <c r="G139">
        <v>66.3</v>
      </c>
      <c r="H139">
        <v>71.900000000000006</v>
      </c>
      <c r="I139">
        <v>67.92</v>
      </c>
      <c r="J139">
        <v>68.819999999999993</v>
      </c>
      <c r="K139">
        <v>71.19</v>
      </c>
      <c r="L139">
        <v>64.19</v>
      </c>
      <c r="M139">
        <v>99.92</v>
      </c>
      <c r="N139">
        <v>97.2</v>
      </c>
      <c r="O139">
        <v>93.3</v>
      </c>
      <c r="P139">
        <v>93.44</v>
      </c>
      <c r="Q139">
        <v>27.524000000000001</v>
      </c>
      <c r="R139">
        <v>97.5</v>
      </c>
      <c r="S139">
        <v>98.85</v>
      </c>
      <c r="T139">
        <v>95.9</v>
      </c>
      <c r="U139">
        <v>92.03</v>
      </c>
      <c r="V139">
        <v>92.19</v>
      </c>
      <c r="W139">
        <v>26.547000000000001</v>
      </c>
      <c r="X139">
        <v>96.4</v>
      </c>
      <c r="AA139" s="7">
        <f t="shared" si="26"/>
        <v>1268</v>
      </c>
    </row>
    <row r="140" spans="1:27">
      <c r="A140" s="1">
        <v>45772</v>
      </c>
      <c r="B140">
        <v>74.599999999999994</v>
      </c>
      <c r="C140">
        <v>69.2</v>
      </c>
      <c r="D140">
        <v>69.84</v>
      </c>
      <c r="E140">
        <v>73.73</v>
      </c>
      <c r="F140">
        <v>64.349999999999994</v>
      </c>
      <c r="G140">
        <v>66.64</v>
      </c>
      <c r="H140">
        <v>71.989999999999995</v>
      </c>
      <c r="I140">
        <v>67.599999999999994</v>
      </c>
      <c r="J140">
        <v>68.900000000000006</v>
      </c>
      <c r="K140">
        <v>71.12</v>
      </c>
      <c r="L140">
        <v>64.400000000000006</v>
      </c>
      <c r="M140">
        <v>99.96</v>
      </c>
      <c r="N140">
        <v>97.58</v>
      </c>
      <c r="O140">
        <v>93.9</v>
      </c>
      <c r="P140">
        <v>93.76</v>
      </c>
      <c r="Q140">
        <v>26.577999999999999</v>
      </c>
      <c r="R140">
        <v>97.5</v>
      </c>
      <c r="S140">
        <v>98.65</v>
      </c>
      <c r="T140">
        <v>96.4</v>
      </c>
      <c r="U140">
        <v>92.7</v>
      </c>
      <c r="V140">
        <v>92.7</v>
      </c>
      <c r="W140">
        <v>25.960999999999999</v>
      </c>
      <c r="X140">
        <v>96.32</v>
      </c>
      <c r="AA140" s="7">
        <f t="shared" si="26"/>
        <v>1269</v>
      </c>
    </row>
    <row r="141" spans="1:27">
      <c r="A141" s="1">
        <v>45775</v>
      </c>
      <c r="B141">
        <v>75</v>
      </c>
      <c r="C141">
        <v>69.099999999999994</v>
      </c>
      <c r="D141">
        <v>68.91</v>
      </c>
      <c r="E141">
        <v>73.2</v>
      </c>
      <c r="F141">
        <v>64.02</v>
      </c>
      <c r="G141">
        <v>67.23</v>
      </c>
      <c r="H141">
        <v>71.84</v>
      </c>
      <c r="I141">
        <v>67.760000000000005</v>
      </c>
      <c r="J141">
        <v>68.650000000000006</v>
      </c>
      <c r="K141">
        <v>70.62</v>
      </c>
      <c r="L141">
        <v>64.5</v>
      </c>
      <c r="M141">
        <v>100.75</v>
      </c>
      <c r="N141">
        <v>97.67</v>
      </c>
      <c r="O141">
        <v>94.3</v>
      </c>
      <c r="P141">
        <v>94.5</v>
      </c>
      <c r="Q141">
        <v>25.727</v>
      </c>
      <c r="R141">
        <v>97.65</v>
      </c>
      <c r="S141">
        <v>99</v>
      </c>
      <c r="T141">
        <v>96.1</v>
      </c>
      <c r="U141">
        <v>92.9</v>
      </c>
      <c r="V141">
        <v>93.2</v>
      </c>
      <c r="W141">
        <v>25.282</v>
      </c>
      <c r="X141">
        <v>96.2</v>
      </c>
      <c r="AA141" s="7">
        <f t="shared" si="26"/>
        <v>1270</v>
      </c>
    </row>
    <row r="142" spans="1:27">
      <c r="A142" s="1">
        <v>45776</v>
      </c>
      <c r="B142">
        <v>74.400000000000006</v>
      </c>
      <c r="C142">
        <v>68.98</v>
      </c>
      <c r="D142">
        <v>68.86</v>
      </c>
      <c r="E142">
        <v>73.16</v>
      </c>
      <c r="F142">
        <v>64.16</v>
      </c>
      <c r="G142">
        <v>66.62</v>
      </c>
      <c r="H142">
        <v>71.77</v>
      </c>
      <c r="I142">
        <v>67.5</v>
      </c>
      <c r="J142">
        <v>68.25</v>
      </c>
      <c r="K142">
        <v>70.53</v>
      </c>
      <c r="L142">
        <v>64.05</v>
      </c>
      <c r="M142">
        <v>99.8</v>
      </c>
      <c r="N142">
        <v>95.49</v>
      </c>
      <c r="O142">
        <v>91.88</v>
      </c>
      <c r="P142">
        <v>91.8</v>
      </c>
      <c r="Q142">
        <v>17.201000000000001</v>
      </c>
      <c r="R142">
        <v>97.5</v>
      </c>
      <c r="S142">
        <v>97.5</v>
      </c>
      <c r="T142">
        <v>94.25</v>
      </c>
      <c r="U142">
        <v>90.6</v>
      </c>
      <c r="V142">
        <v>90.7</v>
      </c>
      <c r="W142">
        <v>17.074000000000002</v>
      </c>
      <c r="X142">
        <v>96.2</v>
      </c>
      <c r="AA142" s="7">
        <f t="shared" si="26"/>
        <v>1271</v>
      </c>
    </row>
    <row r="143" spans="1:27">
      <c r="A143" s="1">
        <v>45777</v>
      </c>
      <c r="B143">
        <v>75.45</v>
      </c>
      <c r="C143">
        <v>68.7</v>
      </c>
      <c r="D143">
        <v>68.8</v>
      </c>
      <c r="E143">
        <v>73.5</v>
      </c>
      <c r="F143">
        <v>64.650000000000006</v>
      </c>
      <c r="G143">
        <v>65.989999999999995</v>
      </c>
      <c r="H143">
        <v>71.5</v>
      </c>
      <c r="I143">
        <v>67.349999999999994</v>
      </c>
      <c r="J143">
        <v>67.900000000000006</v>
      </c>
      <c r="K143">
        <v>70.45</v>
      </c>
      <c r="L143">
        <v>63.78</v>
      </c>
      <c r="M143">
        <v>99.25</v>
      </c>
      <c r="N143">
        <v>95.59</v>
      </c>
      <c r="O143">
        <v>91.8</v>
      </c>
      <c r="P143">
        <v>91.59</v>
      </c>
      <c r="Q143">
        <v>17.13</v>
      </c>
      <c r="R143">
        <v>97.65</v>
      </c>
      <c r="S143">
        <v>98</v>
      </c>
      <c r="T143">
        <v>94.49</v>
      </c>
      <c r="U143">
        <v>90.5</v>
      </c>
      <c r="V143">
        <v>90.5</v>
      </c>
      <c r="W143">
        <v>16.946999999999999</v>
      </c>
      <c r="X143">
        <v>96.25</v>
      </c>
      <c r="AA143" s="7">
        <f t="shared" si="26"/>
        <v>1272</v>
      </c>
    </row>
    <row r="144" spans="1:27">
      <c r="A144" s="1">
        <v>45782</v>
      </c>
      <c r="B144">
        <v>73.540000000000006</v>
      </c>
      <c r="C144">
        <v>68.31</v>
      </c>
      <c r="D144">
        <v>68.17</v>
      </c>
      <c r="E144">
        <v>71.88</v>
      </c>
      <c r="F144">
        <v>63.1</v>
      </c>
      <c r="G144">
        <v>64.989999999999995</v>
      </c>
      <c r="H144">
        <v>71.17</v>
      </c>
      <c r="I144">
        <v>67.040000000000006</v>
      </c>
      <c r="J144">
        <v>67.25</v>
      </c>
      <c r="K144">
        <v>69.55</v>
      </c>
      <c r="L144">
        <v>63.25</v>
      </c>
      <c r="M144">
        <v>98.88</v>
      </c>
      <c r="N144">
        <v>95.41</v>
      </c>
      <c r="O144">
        <v>91.5</v>
      </c>
      <c r="P144">
        <v>91.65</v>
      </c>
      <c r="Q144">
        <v>17.3</v>
      </c>
      <c r="R144">
        <v>97.4</v>
      </c>
      <c r="S144">
        <v>97.47</v>
      </c>
      <c r="T144">
        <v>94.25</v>
      </c>
      <c r="U144">
        <v>90.4</v>
      </c>
      <c r="V144">
        <v>90.4</v>
      </c>
      <c r="W144">
        <v>17.248999999999999</v>
      </c>
      <c r="X144">
        <v>96.3</v>
      </c>
      <c r="AA144" s="7">
        <f t="shared" si="26"/>
        <v>1273</v>
      </c>
    </row>
    <row r="145" spans="1:27">
      <c r="A145" s="1">
        <v>45783</v>
      </c>
      <c r="B145">
        <v>73.86</v>
      </c>
      <c r="C145">
        <v>69</v>
      </c>
      <c r="D145">
        <v>69.069999999999993</v>
      </c>
      <c r="E145">
        <v>73</v>
      </c>
      <c r="F145">
        <v>63.75</v>
      </c>
      <c r="G145">
        <v>65.790000000000006</v>
      </c>
      <c r="H145">
        <v>72.099999999999994</v>
      </c>
      <c r="I145">
        <v>67.430000000000007</v>
      </c>
      <c r="J145">
        <v>67.989999999999995</v>
      </c>
      <c r="K145">
        <v>70.5</v>
      </c>
      <c r="L145">
        <v>63.64</v>
      </c>
      <c r="M145">
        <v>99.75</v>
      </c>
      <c r="N145">
        <v>95.5</v>
      </c>
      <c r="O145">
        <v>91.57</v>
      </c>
      <c r="P145">
        <v>91.7</v>
      </c>
      <c r="Q145">
        <v>17.492999999999999</v>
      </c>
      <c r="R145">
        <v>97.4</v>
      </c>
      <c r="S145">
        <v>98.25</v>
      </c>
      <c r="T145">
        <v>94.4</v>
      </c>
      <c r="U145">
        <v>90.6</v>
      </c>
      <c r="V145">
        <v>90.73</v>
      </c>
      <c r="W145">
        <v>17.399999999999999</v>
      </c>
      <c r="X145">
        <v>96.5</v>
      </c>
      <c r="AA145" s="7">
        <f t="shared" si="26"/>
        <v>1274</v>
      </c>
    </row>
    <row r="146" spans="1:27">
      <c r="A146" s="1">
        <v>45784</v>
      </c>
      <c r="B146">
        <v>74.61</v>
      </c>
      <c r="C146">
        <v>69.290000000000006</v>
      </c>
      <c r="D146">
        <v>68.87</v>
      </c>
      <c r="E146">
        <v>73.7</v>
      </c>
      <c r="F146">
        <v>64.39</v>
      </c>
      <c r="G146">
        <v>66.540000000000006</v>
      </c>
      <c r="H146">
        <v>72.5</v>
      </c>
      <c r="I146">
        <v>67.47</v>
      </c>
      <c r="J146">
        <v>68.400000000000006</v>
      </c>
      <c r="K146">
        <v>70.61</v>
      </c>
      <c r="L146">
        <v>63.9</v>
      </c>
      <c r="M146">
        <v>99.96</v>
      </c>
      <c r="N146">
        <v>95.7</v>
      </c>
      <c r="O146">
        <v>91.25</v>
      </c>
      <c r="P146">
        <v>91</v>
      </c>
      <c r="Q146">
        <v>18.2</v>
      </c>
      <c r="R146">
        <v>97.6</v>
      </c>
      <c r="S146">
        <v>99.08</v>
      </c>
      <c r="T146">
        <v>95</v>
      </c>
      <c r="U146">
        <v>89.84</v>
      </c>
      <c r="V146">
        <v>90.22</v>
      </c>
      <c r="W146">
        <v>18.032</v>
      </c>
      <c r="X146">
        <v>96.45</v>
      </c>
      <c r="AA146" s="7">
        <f t="shared" si="26"/>
        <v>1275</v>
      </c>
    </row>
    <row r="147" spans="1:27">
      <c r="A147" s="1">
        <v>45785</v>
      </c>
      <c r="B147">
        <v>74.849999999999994</v>
      </c>
      <c r="C147">
        <v>69.069999999999993</v>
      </c>
      <c r="D147">
        <v>69.349999999999994</v>
      </c>
      <c r="E147">
        <v>73.63</v>
      </c>
      <c r="F147">
        <v>64.75</v>
      </c>
      <c r="G147">
        <v>67.8</v>
      </c>
      <c r="H147">
        <v>72.2</v>
      </c>
      <c r="I147">
        <v>67.33</v>
      </c>
      <c r="J147">
        <v>68.5</v>
      </c>
      <c r="K147">
        <v>71</v>
      </c>
      <c r="L147">
        <v>64.5</v>
      </c>
      <c r="M147">
        <v>100.5</v>
      </c>
      <c r="N147">
        <v>96</v>
      </c>
      <c r="O147">
        <v>91.75</v>
      </c>
      <c r="P147">
        <v>91.89</v>
      </c>
      <c r="Q147">
        <v>18.228000000000002</v>
      </c>
      <c r="R147">
        <v>97.76</v>
      </c>
      <c r="S147">
        <v>99</v>
      </c>
      <c r="T147">
        <v>94.65</v>
      </c>
      <c r="U147">
        <v>90.7</v>
      </c>
      <c r="V147">
        <v>91</v>
      </c>
      <c r="W147">
        <v>18.096</v>
      </c>
      <c r="X147">
        <v>96.8</v>
      </c>
      <c r="AA147" s="7">
        <f t="shared" si="26"/>
        <v>1276</v>
      </c>
    </row>
    <row r="148" spans="1:27">
      <c r="A148" s="1">
        <v>45786</v>
      </c>
      <c r="B148">
        <v>74.5</v>
      </c>
      <c r="C148">
        <v>69.2</v>
      </c>
      <c r="D148">
        <v>69.239999999999995</v>
      </c>
      <c r="E148">
        <v>73.75</v>
      </c>
      <c r="F148">
        <v>64.25</v>
      </c>
      <c r="G148">
        <v>66.78</v>
      </c>
      <c r="H148">
        <v>72.33</v>
      </c>
      <c r="I148">
        <v>67.53</v>
      </c>
      <c r="J148">
        <v>68.58</v>
      </c>
      <c r="K148">
        <v>70.81</v>
      </c>
      <c r="L148">
        <v>64.5</v>
      </c>
      <c r="M148">
        <v>100.8</v>
      </c>
      <c r="N148">
        <v>96.7</v>
      </c>
      <c r="O148">
        <v>92.8</v>
      </c>
      <c r="P148">
        <v>92.73</v>
      </c>
      <c r="Q148">
        <v>18.681999999999999</v>
      </c>
      <c r="R148">
        <v>98.8</v>
      </c>
      <c r="S148">
        <v>99.4</v>
      </c>
      <c r="T148">
        <v>95.5</v>
      </c>
      <c r="U148">
        <v>91.6</v>
      </c>
      <c r="V148">
        <v>91.55</v>
      </c>
      <c r="W148">
        <v>18.366</v>
      </c>
      <c r="X148">
        <v>97.61</v>
      </c>
      <c r="AA148" s="7">
        <f t="shared" si="26"/>
        <v>1277</v>
      </c>
    </row>
    <row r="149" spans="1:27">
      <c r="A149" s="1">
        <v>45789</v>
      </c>
      <c r="B149">
        <v>75.680000000000007</v>
      </c>
      <c r="C149">
        <v>70.08</v>
      </c>
      <c r="D149">
        <v>70.010000000000005</v>
      </c>
      <c r="E149">
        <v>74.25</v>
      </c>
      <c r="F149">
        <v>65.2</v>
      </c>
      <c r="G149">
        <v>68.05</v>
      </c>
      <c r="H149">
        <v>73.45</v>
      </c>
      <c r="I149">
        <v>68.2</v>
      </c>
      <c r="J149">
        <v>69.2</v>
      </c>
      <c r="K149">
        <v>71.3</v>
      </c>
      <c r="L149">
        <v>65.25</v>
      </c>
      <c r="M149">
        <v>102</v>
      </c>
      <c r="N149">
        <v>96.7</v>
      </c>
      <c r="O149">
        <v>93.47</v>
      </c>
      <c r="P149">
        <v>93.53</v>
      </c>
      <c r="Q149">
        <v>19.36</v>
      </c>
      <c r="R149">
        <v>98.1</v>
      </c>
      <c r="S149">
        <v>99.42</v>
      </c>
      <c r="T149">
        <v>95.5</v>
      </c>
      <c r="U149">
        <v>92.35</v>
      </c>
      <c r="V149">
        <v>92.55</v>
      </c>
      <c r="W149">
        <v>18.366</v>
      </c>
      <c r="X149">
        <v>97.65</v>
      </c>
      <c r="AA149" s="7">
        <f t="shared" si="26"/>
        <v>1278</v>
      </c>
    </row>
    <row r="150" spans="1:27">
      <c r="A150" s="1">
        <v>45790</v>
      </c>
      <c r="B150">
        <v>75.099999999999994</v>
      </c>
      <c r="C150">
        <v>69.53</v>
      </c>
      <c r="D150">
        <v>70.05</v>
      </c>
      <c r="E150">
        <v>74.3</v>
      </c>
      <c r="F150">
        <v>65.099999999999994</v>
      </c>
      <c r="G150">
        <v>68.39</v>
      </c>
      <c r="H150">
        <v>72.8</v>
      </c>
      <c r="I150">
        <v>67.91</v>
      </c>
      <c r="J150">
        <v>69.099999999999994</v>
      </c>
      <c r="K150">
        <v>71.7</v>
      </c>
      <c r="L150">
        <v>65.099999999999994</v>
      </c>
      <c r="M150">
        <v>100.3</v>
      </c>
      <c r="N150">
        <v>96.7</v>
      </c>
      <c r="O150">
        <v>94.2</v>
      </c>
      <c r="P150">
        <v>94.2</v>
      </c>
      <c r="Q150">
        <v>19.428999999999998</v>
      </c>
      <c r="R150">
        <v>98.9</v>
      </c>
      <c r="S150">
        <v>99.05</v>
      </c>
      <c r="T150">
        <v>95.6</v>
      </c>
      <c r="U150">
        <v>93</v>
      </c>
      <c r="V150">
        <v>92.92</v>
      </c>
      <c r="W150">
        <v>19</v>
      </c>
      <c r="X150">
        <v>97.55</v>
      </c>
      <c r="AA150" s="7">
        <f t="shared" si="26"/>
        <v>1279</v>
      </c>
    </row>
    <row r="151" spans="1:27">
      <c r="A151" s="1">
        <v>45791</v>
      </c>
      <c r="B151">
        <v>75.17</v>
      </c>
      <c r="C151">
        <v>69.98</v>
      </c>
      <c r="D151">
        <v>70.28</v>
      </c>
      <c r="E151">
        <v>74.64</v>
      </c>
      <c r="F151">
        <v>65.2</v>
      </c>
      <c r="G151">
        <v>67.849999999999994</v>
      </c>
      <c r="H151">
        <v>73.28</v>
      </c>
      <c r="I151">
        <v>68.069999999999993</v>
      </c>
      <c r="J151">
        <v>69.22</v>
      </c>
      <c r="K151">
        <v>71.510000000000005</v>
      </c>
      <c r="L151">
        <v>64.900000000000006</v>
      </c>
      <c r="M151">
        <v>100.35</v>
      </c>
      <c r="N151">
        <v>97.35</v>
      </c>
      <c r="O151">
        <v>94.84</v>
      </c>
      <c r="P151">
        <v>95</v>
      </c>
      <c r="Q151">
        <v>18.863</v>
      </c>
      <c r="R151">
        <v>99.15</v>
      </c>
      <c r="S151">
        <v>98.8</v>
      </c>
      <c r="T151">
        <v>95.67</v>
      </c>
      <c r="U151">
        <v>93.34</v>
      </c>
      <c r="V151">
        <v>93.3</v>
      </c>
      <c r="W151">
        <v>18.8</v>
      </c>
      <c r="X151">
        <v>97.75</v>
      </c>
      <c r="AA151" s="7">
        <f t="shared" si="26"/>
        <v>1280</v>
      </c>
    </row>
    <row r="152" spans="1:27">
      <c r="A152" s="1">
        <v>45792</v>
      </c>
      <c r="B152">
        <v>74.89</v>
      </c>
      <c r="C152">
        <v>68.56</v>
      </c>
      <c r="D152">
        <v>69.7</v>
      </c>
      <c r="E152">
        <v>74.17</v>
      </c>
      <c r="F152">
        <v>64.45</v>
      </c>
      <c r="G152">
        <v>66.989999999999995</v>
      </c>
      <c r="H152">
        <v>72.73</v>
      </c>
      <c r="I152">
        <v>67.3</v>
      </c>
      <c r="J152">
        <v>68.72</v>
      </c>
      <c r="K152">
        <v>71.25</v>
      </c>
      <c r="L152">
        <v>64.430000000000007</v>
      </c>
      <c r="M152">
        <v>100.25</v>
      </c>
      <c r="N152">
        <v>97.2</v>
      </c>
      <c r="O152">
        <v>94.6</v>
      </c>
      <c r="P152">
        <v>94.8</v>
      </c>
      <c r="Q152">
        <v>19.100000000000001</v>
      </c>
      <c r="R152">
        <v>99.3</v>
      </c>
      <c r="S152">
        <v>98.5</v>
      </c>
      <c r="T152">
        <v>95.5</v>
      </c>
      <c r="U152">
        <v>93.05</v>
      </c>
      <c r="V152">
        <v>93.46</v>
      </c>
      <c r="W152">
        <v>19.177</v>
      </c>
      <c r="X152">
        <v>97.9</v>
      </c>
      <c r="AA152" s="7">
        <f t="shared" si="26"/>
        <v>1281</v>
      </c>
    </row>
    <row r="153" spans="1:27">
      <c r="A153" s="1">
        <v>45793</v>
      </c>
      <c r="B153">
        <v>75.3</v>
      </c>
      <c r="C153">
        <v>68.73</v>
      </c>
      <c r="D153">
        <v>68.72</v>
      </c>
      <c r="E153">
        <v>73</v>
      </c>
      <c r="F153">
        <v>63.45</v>
      </c>
      <c r="G153">
        <v>66.430000000000007</v>
      </c>
      <c r="H153">
        <v>72.61</v>
      </c>
      <c r="I153">
        <v>66.52</v>
      </c>
      <c r="J153">
        <v>67.900000000000006</v>
      </c>
      <c r="K153">
        <v>70.400000000000006</v>
      </c>
      <c r="L153">
        <v>63.73</v>
      </c>
      <c r="M153">
        <v>99.9</v>
      </c>
      <c r="N153">
        <v>97.05</v>
      </c>
      <c r="O153">
        <v>94.5</v>
      </c>
      <c r="P153">
        <v>94.61</v>
      </c>
      <c r="Q153">
        <v>18.838000000000001</v>
      </c>
      <c r="R153">
        <v>99.1</v>
      </c>
      <c r="S153">
        <v>98.5</v>
      </c>
      <c r="T153">
        <v>95.5</v>
      </c>
      <c r="U153">
        <v>93.05</v>
      </c>
      <c r="V153">
        <v>93.32</v>
      </c>
      <c r="W153">
        <v>19.724</v>
      </c>
      <c r="X153">
        <v>97.55</v>
      </c>
      <c r="AA153" s="7">
        <f t="shared" si="26"/>
        <v>1282</v>
      </c>
    </row>
    <row r="154" spans="1:27">
      <c r="A154" s="1">
        <v>45796</v>
      </c>
      <c r="B154">
        <v>75.34</v>
      </c>
      <c r="C154">
        <v>69.5</v>
      </c>
      <c r="D154">
        <v>69.45</v>
      </c>
      <c r="E154">
        <v>73.989999999999995</v>
      </c>
      <c r="F154">
        <v>64.400000000000006</v>
      </c>
      <c r="G154">
        <v>66.66</v>
      </c>
      <c r="H154">
        <v>73.45</v>
      </c>
      <c r="I154">
        <v>67.89</v>
      </c>
      <c r="J154">
        <v>69</v>
      </c>
      <c r="K154">
        <v>71.459999999999994</v>
      </c>
      <c r="L154">
        <v>64.05</v>
      </c>
      <c r="M154">
        <v>100.5</v>
      </c>
      <c r="N154">
        <v>97.5</v>
      </c>
      <c r="O154">
        <v>95.25</v>
      </c>
      <c r="P154">
        <v>95.61</v>
      </c>
      <c r="Q154">
        <v>18.131</v>
      </c>
      <c r="R154">
        <v>99.1</v>
      </c>
      <c r="S154">
        <v>98.75</v>
      </c>
      <c r="T154">
        <v>96.09</v>
      </c>
      <c r="U154">
        <v>93.83</v>
      </c>
      <c r="V154">
        <v>94.2</v>
      </c>
      <c r="W154">
        <v>19.724</v>
      </c>
      <c r="X154">
        <v>97.6</v>
      </c>
      <c r="AA154" s="7">
        <f t="shared" si="26"/>
        <v>1283</v>
      </c>
    </row>
    <row r="155" spans="1:27">
      <c r="A155" s="1">
        <v>45797</v>
      </c>
      <c r="B155">
        <v>75.44</v>
      </c>
      <c r="C155">
        <v>69.959999999999994</v>
      </c>
      <c r="D155">
        <v>69.989999999999995</v>
      </c>
      <c r="E155">
        <v>74.2</v>
      </c>
      <c r="F155">
        <v>64.53</v>
      </c>
      <c r="G155">
        <v>66.97</v>
      </c>
      <c r="H155">
        <v>72.900000000000006</v>
      </c>
      <c r="I155">
        <v>67.959999999999994</v>
      </c>
      <c r="J155">
        <v>69.209999999999994</v>
      </c>
      <c r="K155">
        <v>71.7</v>
      </c>
      <c r="L155">
        <v>63.41</v>
      </c>
      <c r="M155">
        <v>100.1</v>
      </c>
      <c r="N155">
        <v>97.4</v>
      </c>
      <c r="O155">
        <v>95.46</v>
      </c>
      <c r="P155">
        <v>95.67</v>
      </c>
      <c r="Q155">
        <v>18.073</v>
      </c>
      <c r="R155">
        <v>98.91</v>
      </c>
      <c r="S155">
        <v>98.81</v>
      </c>
      <c r="T155">
        <v>95.99</v>
      </c>
      <c r="U155">
        <v>94</v>
      </c>
      <c r="V155">
        <v>94.5</v>
      </c>
      <c r="W155">
        <v>18.093</v>
      </c>
      <c r="X155">
        <v>97.66</v>
      </c>
      <c r="AA155" s="7">
        <f t="shared" si="26"/>
        <v>1284</v>
      </c>
    </row>
    <row r="156" spans="1:27">
      <c r="A156" s="1">
        <v>45798</v>
      </c>
      <c r="B156">
        <v>75.55</v>
      </c>
      <c r="C156">
        <v>69.03</v>
      </c>
      <c r="D156">
        <v>69.349999999999994</v>
      </c>
      <c r="E156">
        <v>73.53</v>
      </c>
      <c r="F156">
        <v>64.2</v>
      </c>
      <c r="G156">
        <v>67</v>
      </c>
      <c r="H156">
        <v>72.72</v>
      </c>
      <c r="I156">
        <v>67.540000000000006</v>
      </c>
      <c r="J156">
        <v>69.08</v>
      </c>
      <c r="K156">
        <v>71</v>
      </c>
      <c r="L156">
        <v>63.41</v>
      </c>
      <c r="M156">
        <v>100.25</v>
      </c>
      <c r="N156">
        <v>97.39</v>
      </c>
      <c r="O156">
        <v>95.1</v>
      </c>
      <c r="P156">
        <v>95</v>
      </c>
      <c r="Q156">
        <v>19.193000000000001</v>
      </c>
      <c r="R156">
        <v>98.97</v>
      </c>
      <c r="S156">
        <v>99.1</v>
      </c>
      <c r="T156">
        <v>96</v>
      </c>
      <c r="U156">
        <v>93.93</v>
      </c>
      <c r="V156">
        <v>93.8</v>
      </c>
      <c r="W156">
        <v>18.25</v>
      </c>
      <c r="X156">
        <v>97.5</v>
      </c>
      <c r="AA156" s="7">
        <f t="shared" si="26"/>
        <v>1285</v>
      </c>
    </row>
    <row r="157" spans="1:27">
      <c r="A157" s="1">
        <v>45799</v>
      </c>
      <c r="B157">
        <v>75.44</v>
      </c>
      <c r="C157">
        <v>70.13</v>
      </c>
      <c r="D157">
        <v>69.599999999999994</v>
      </c>
      <c r="E157">
        <v>74</v>
      </c>
      <c r="F157">
        <v>64.430000000000007</v>
      </c>
      <c r="G157">
        <v>67</v>
      </c>
      <c r="H157">
        <v>73.3</v>
      </c>
      <c r="I157">
        <v>68.06</v>
      </c>
      <c r="J157">
        <v>69.06</v>
      </c>
      <c r="K157">
        <v>71.55</v>
      </c>
      <c r="L157">
        <v>63.25</v>
      </c>
      <c r="M157">
        <v>100.5</v>
      </c>
      <c r="N157">
        <v>97.15</v>
      </c>
      <c r="O157">
        <v>95.4</v>
      </c>
      <c r="P157">
        <v>95.2</v>
      </c>
      <c r="Q157">
        <v>18.93</v>
      </c>
      <c r="R157">
        <v>98.55</v>
      </c>
      <c r="S157">
        <v>99.2</v>
      </c>
      <c r="T157">
        <v>95.9</v>
      </c>
      <c r="U157">
        <v>94.15</v>
      </c>
      <c r="V157">
        <v>94.05</v>
      </c>
      <c r="W157">
        <v>18.25</v>
      </c>
      <c r="X157">
        <v>97.3</v>
      </c>
      <c r="AA157" s="7">
        <f t="shared" si="26"/>
        <v>1286</v>
      </c>
    </row>
    <row r="158" spans="1:27">
      <c r="A158" s="1">
        <v>45800</v>
      </c>
      <c r="B158">
        <v>75.099999999999994</v>
      </c>
      <c r="C158">
        <v>70.489999999999995</v>
      </c>
      <c r="D158">
        <v>69.8</v>
      </c>
      <c r="E158">
        <v>74.5</v>
      </c>
      <c r="F158">
        <v>64.59</v>
      </c>
      <c r="G158">
        <v>67</v>
      </c>
      <c r="H158">
        <v>73.06</v>
      </c>
      <c r="I158">
        <v>68.31</v>
      </c>
      <c r="J158">
        <v>69.180000000000007</v>
      </c>
      <c r="K158">
        <v>71.930000000000007</v>
      </c>
      <c r="L158">
        <v>62.8</v>
      </c>
      <c r="M158">
        <v>102</v>
      </c>
      <c r="N158">
        <v>97.66</v>
      </c>
      <c r="O158">
        <v>95.65</v>
      </c>
      <c r="P158">
        <v>95.59</v>
      </c>
      <c r="Q158">
        <v>18.88</v>
      </c>
      <c r="R158">
        <v>98.9</v>
      </c>
      <c r="S158">
        <v>99.35</v>
      </c>
      <c r="T158">
        <v>96.18</v>
      </c>
      <c r="U158">
        <v>94.3</v>
      </c>
      <c r="V158">
        <v>94</v>
      </c>
      <c r="W158">
        <v>18.25</v>
      </c>
      <c r="X158">
        <v>97.6</v>
      </c>
      <c r="AA158" s="7">
        <f t="shared" si="26"/>
        <v>1287</v>
      </c>
    </row>
    <row r="159" spans="1:27">
      <c r="A159" s="1">
        <v>45803</v>
      </c>
      <c r="B159">
        <v>74.69</v>
      </c>
      <c r="C159">
        <v>69.97</v>
      </c>
      <c r="D159">
        <v>69.98</v>
      </c>
      <c r="E159">
        <v>74.41</v>
      </c>
      <c r="F159">
        <v>64.47</v>
      </c>
      <c r="G159">
        <v>66.77</v>
      </c>
      <c r="H159">
        <v>73.05</v>
      </c>
      <c r="I159">
        <v>67.98</v>
      </c>
      <c r="J159">
        <v>69.33</v>
      </c>
      <c r="K159">
        <v>71.98</v>
      </c>
      <c r="L159">
        <v>63.15</v>
      </c>
      <c r="M159">
        <v>100.25</v>
      </c>
      <c r="N159">
        <v>97.14</v>
      </c>
      <c r="O159">
        <v>95.1</v>
      </c>
      <c r="P159">
        <v>95.1</v>
      </c>
      <c r="Q159">
        <v>18.657</v>
      </c>
      <c r="R159">
        <v>99.34</v>
      </c>
      <c r="S159">
        <v>98.5</v>
      </c>
      <c r="T159">
        <v>96</v>
      </c>
      <c r="U159">
        <v>93.97</v>
      </c>
      <c r="V159">
        <v>93.67</v>
      </c>
      <c r="W159">
        <v>18.899999999999999</v>
      </c>
      <c r="X159">
        <v>97.99</v>
      </c>
      <c r="AA159" s="7">
        <f t="shared" si="26"/>
        <v>1288</v>
      </c>
    </row>
    <row r="160" spans="1:27">
      <c r="A160" s="1">
        <v>45804</v>
      </c>
      <c r="B160">
        <v>75.25</v>
      </c>
      <c r="C160">
        <v>70.11</v>
      </c>
      <c r="D160">
        <v>69.67</v>
      </c>
      <c r="E160">
        <v>74</v>
      </c>
      <c r="F160">
        <v>64.38</v>
      </c>
      <c r="G160">
        <v>66.790000000000006</v>
      </c>
      <c r="H160">
        <v>72.790000000000006</v>
      </c>
      <c r="I160">
        <v>68.040000000000006</v>
      </c>
      <c r="J160">
        <v>69.010000000000005</v>
      </c>
      <c r="K160">
        <v>72.09</v>
      </c>
      <c r="L160">
        <v>63.35</v>
      </c>
      <c r="M160">
        <v>100.25</v>
      </c>
      <c r="N160">
        <v>97.17</v>
      </c>
      <c r="O160">
        <v>95.01</v>
      </c>
      <c r="P160">
        <v>95.5</v>
      </c>
      <c r="Q160">
        <v>18.315000000000001</v>
      </c>
      <c r="R160">
        <v>99.19</v>
      </c>
      <c r="S160">
        <v>99.25</v>
      </c>
      <c r="T160">
        <v>95.9</v>
      </c>
      <c r="U160">
        <v>93.9</v>
      </c>
      <c r="V160">
        <v>94.25</v>
      </c>
      <c r="W160">
        <v>18.899999999999999</v>
      </c>
      <c r="X160">
        <v>98</v>
      </c>
      <c r="AA160" s="7">
        <f t="shared" si="26"/>
        <v>1289</v>
      </c>
    </row>
    <row r="161" spans="1:27">
      <c r="A161" s="1">
        <v>45805</v>
      </c>
      <c r="B161">
        <v>76.09</v>
      </c>
      <c r="C161">
        <v>70.36</v>
      </c>
      <c r="D161">
        <v>70.349999999999994</v>
      </c>
      <c r="E161">
        <v>74.77</v>
      </c>
      <c r="F161">
        <v>64.95</v>
      </c>
      <c r="G161">
        <v>67.569999999999993</v>
      </c>
      <c r="H161">
        <v>73.400000000000006</v>
      </c>
      <c r="I161">
        <v>68.709999999999994</v>
      </c>
      <c r="J161">
        <v>69.900000000000006</v>
      </c>
      <c r="K161">
        <v>72.849999999999994</v>
      </c>
      <c r="L161">
        <v>63.8</v>
      </c>
      <c r="M161">
        <v>99.95</v>
      </c>
      <c r="N161">
        <v>97.2</v>
      </c>
      <c r="O161">
        <v>95.1</v>
      </c>
      <c r="P161">
        <v>95.24</v>
      </c>
      <c r="Q161">
        <v>19.359000000000002</v>
      </c>
      <c r="R161">
        <v>99.6</v>
      </c>
      <c r="S161">
        <v>98.98</v>
      </c>
      <c r="T161">
        <v>96</v>
      </c>
      <c r="U161">
        <v>94.2</v>
      </c>
      <c r="V161">
        <v>93.75</v>
      </c>
      <c r="W161">
        <v>19.09</v>
      </c>
      <c r="X161">
        <v>98.6</v>
      </c>
      <c r="AA161" s="7">
        <f t="shared" si="26"/>
        <v>1290</v>
      </c>
    </row>
    <row r="162" spans="1:27">
      <c r="A162" s="1">
        <v>45806</v>
      </c>
      <c r="B162">
        <v>75.28</v>
      </c>
      <c r="C162">
        <v>70.400000000000006</v>
      </c>
      <c r="D162">
        <v>70</v>
      </c>
      <c r="E162">
        <v>74.38</v>
      </c>
      <c r="F162">
        <v>64.81</v>
      </c>
      <c r="G162">
        <v>66.900000000000006</v>
      </c>
      <c r="H162">
        <v>73.099999999999994</v>
      </c>
      <c r="I162">
        <v>68.540000000000006</v>
      </c>
      <c r="J162">
        <v>69.72</v>
      </c>
      <c r="K162">
        <v>72.78</v>
      </c>
      <c r="L162">
        <v>63.86</v>
      </c>
      <c r="M162">
        <v>99.65</v>
      </c>
      <c r="N162">
        <v>96.6</v>
      </c>
      <c r="O162">
        <v>94.9</v>
      </c>
      <c r="P162">
        <v>94.96</v>
      </c>
      <c r="Q162">
        <v>19.004999999999999</v>
      </c>
      <c r="R162">
        <v>99.7</v>
      </c>
      <c r="S162">
        <v>98.5</v>
      </c>
      <c r="T162">
        <v>96.1</v>
      </c>
      <c r="U162">
        <v>93.97</v>
      </c>
      <c r="V162">
        <v>94.05</v>
      </c>
      <c r="W162">
        <v>19</v>
      </c>
      <c r="X162">
        <v>98.6</v>
      </c>
      <c r="AA162" s="7">
        <f t="shared" si="26"/>
        <v>1291</v>
      </c>
    </row>
    <row r="163" spans="1:27">
      <c r="A163" s="1">
        <v>45807</v>
      </c>
      <c r="B163">
        <v>75</v>
      </c>
      <c r="C163">
        <v>70.05</v>
      </c>
      <c r="D163">
        <v>69.650000000000006</v>
      </c>
      <c r="E163">
        <v>73.900000000000006</v>
      </c>
      <c r="F163">
        <v>64.319999999999993</v>
      </c>
      <c r="G163">
        <v>66.040000000000006</v>
      </c>
      <c r="H163">
        <v>73.3</v>
      </c>
      <c r="I163">
        <v>68.31</v>
      </c>
      <c r="J163">
        <v>68.97</v>
      </c>
      <c r="K163">
        <v>72.099999999999994</v>
      </c>
      <c r="L163">
        <v>63.3</v>
      </c>
      <c r="M163">
        <v>99.95</v>
      </c>
      <c r="N163">
        <v>96.85</v>
      </c>
      <c r="O163">
        <v>95.24</v>
      </c>
      <c r="P163">
        <v>95.36</v>
      </c>
      <c r="Q163">
        <v>10.675000000000001</v>
      </c>
      <c r="R163">
        <v>99.6</v>
      </c>
      <c r="S163">
        <v>99</v>
      </c>
      <c r="T163">
        <v>96.15</v>
      </c>
      <c r="U163">
        <v>94.13</v>
      </c>
      <c r="V163">
        <v>94.32</v>
      </c>
      <c r="W163">
        <v>10.750999999999999</v>
      </c>
      <c r="X163">
        <v>98.65</v>
      </c>
      <c r="AA163" s="7">
        <f t="shared" si="26"/>
        <v>1292</v>
      </c>
    </row>
    <row r="164" spans="1:27">
      <c r="A164" s="1">
        <v>45810</v>
      </c>
      <c r="B164">
        <v>75.48</v>
      </c>
      <c r="C164">
        <v>69.95</v>
      </c>
      <c r="D164">
        <v>69.45</v>
      </c>
      <c r="E164">
        <v>73.959999999999994</v>
      </c>
      <c r="F164">
        <v>64.33</v>
      </c>
      <c r="G164">
        <v>66.23</v>
      </c>
      <c r="H164">
        <v>73.599999999999994</v>
      </c>
      <c r="I164">
        <v>68.28</v>
      </c>
      <c r="J164">
        <v>68.72</v>
      </c>
      <c r="K164">
        <v>71.88</v>
      </c>
      <c r="L164">
        <v>63.53</v>
      </c>
      <c r="M164">
        <v>100.2</v>
      </c>
      <c r="N164">
        <v>97.24</v>
      </c>
      <c r="O164">
        <v>95.1</v>
      </c>
      <c r="P164">
        <v>95.25</v>
      </c>
      <c r="Q164">
        <v>9.81</v>
      </c>
      <c r="R164">
        <v>99.74</v>
      </c>
      <c r="S164">
        <v>99.3</v>
      </c>
      <c r="T164">
        <v>96.15</v>
      </c>
      <c r="U164">
        <v>94.35</v>
      </c>
      <c r="V164">
        <v>94.38</v>
      </c>
      <c r="W164">
        <v>9.7789999999999999</v>
      </c>
      <c r="X164">
        <v>98.9</v>
      </c>
      <c r="AA164" s="7">
        <f t="shared" si="26"/>
        <v>1293</v>
      </c>
    </row>
    <row r="165" spans="1:27">
      <c r="A165" s="1">
        <v>45811</v>
      </c>
      <c r="B165">
        <v>75.67</v>
      </c>
      <c r="C165">
        <v>69.8</v>
      </c>
      <c r="D165">
        <v>69.5</v>
      </c>
      <c r="E165">
        <v>73.8</v>
      </c>
      <c r="F165">
        <v>64.33</v>
      </c>
      <c r="G165">
        <v>66.5</v>
      </c>
      <c r="H165">
        <v>74.03</v>
      </c>
      <c r="I165">
        <v>68.17</v>
      </c>
      <c r="J165">
        <v>68.849999999999994</v>
      </c>
      <c r="K165">
        <v>71.78</v>
      </c>
      <c r="L165">
        <v>63.42</v>
      </c>
      <c r="M165">
        <v>99.58</v>
      </c>
      <c r="N165">
        <v>97.1</v>
      </c>
      <c r="O165">
        <v>95.33</v>
      </c>
      <c r="P165">
        <v>95.3</v>
      </c>
      <c r="Q165">
        <v>9.8989999999999991</v>
      </c>
      <c r="R165">
        <v>99.3</v>
      </c>
      <c r="S165">
        <v>99</v>
      </c>
      <c r="T165">
        <v>96.5</v>
      </c>
      <c r="U165">
        <v>94.7</v>
      </c>
      <c r="V165">
        <v>94.7</v>
      </c>
      <c r="W165">
        <v>9.7789999999999999</v>
      </c>
      <c r="X165">
        <v>98.7</v>
      </c>
      <c r="AA165" s="7">
        <f t="shared" si="26"/>
        <v>1294</v>
      </c>
    </row>
    <row r="166" spans="1:27">
      <c r="A166" s="1">
        <v>45812</v>
      </c>
      <c r="B166">
        <v>74.709999999999994</v>
      </c>
      <c r="C166">
        <v>69.709999999999994</v>
      </c>
      <c r="D166">
        <v>69.12</v>
      </c>
      <c r="E166">
        <v>73.2</v>
      </c>
      <c r="F166">
        <v>63.63</v>
      </c>
      <c r="G166">
        <v>66.42</v>
      </c>
      <c r="H166">
        <v>73.78</v>
      </c>
      <c r="I166">
        <v>67.8</v>
      </c>
      <c r="J166">
        <v>68.3</v>
      </c>
      <c r="K166">
        <v>71.31</v>
      </c>
      <c r="L166">
        <v>63</v>
      </c>
      <c r="M166">
        <v>99.4</v>
      </c>
      <c r="N166">
        <v>97.5</v>
      </c>
      <c r="O166">
        <v>95.35</v>
      </c>
      <c r="P166">
        <v>95.5</v>
      </c>
      <c r="Q166">
        <v>10</v>
      </c>
      <c r="R166">
        <v>99.01</v>
      </c>
      <c r="S166">
        <v>98.75</v>
      </c>
      <c r="T166">
        <v>96.6</v>
      </c>
      <c r="U166">
        <v>94.7</v>
      </c>
      <c r="V166">
        <v>94.9</v>
      </c>
      <c r="W166">
        <v>9.7789999999999999</v>
      </c>
      <c r="X166">
        <v>98.6</v>
      </c>
      <c r="AA166" s="7">
        <f t="shared" si="26"/>
        <v>1295</v>
      </c>
    </row>
    <row r="167" spans="1:27">
      <c r="A167" s="1">
        <v>45813</v>
      </c>
      <c r="B167">
        <v>74.510000000000005</v>
      </c>
      <c r="C167">
        <v>68.8</v>
      </c>
      <c r="D167">
        <v>68.3</v>
      </c>
      <c r="E167">
        <v>72.77</v>
      </c>
      <c r="F167">
        <v>63.3</v>
      </c>
      <c r="G167">
        <v>65.290000000000006</v>
      </c>
      <c r="H167">
        <v>73.040000000000006</v>
      </c>
      <c r="I167">
        <v>67.209999999999994</v>
      </c>
      <c r="J167">
        <v>67.87</v>
      </c>
      <c r="K167">
        <v>70.7</v>
      </c>
      <c r="L167">
        <v>62.66</v>
      </c>
      <c r="M167">
        <v>99.45</v>
      </c>
      <c r="N167">
        <v>97.18</v>
      </c>
      <c r="O167">
        <v>95.5</v>
      </c>
      <c r="P167">
        <v>95.41</v>
      </c>
      <c r="Q167">
        <v>9.4009999999999998</v>
      </c>
      <c r="R167">
        <v>98.95</v>
      </c>
      <c r="S167">
        <v>99</v>
      </c>
      <c r="T167">
        <v>96.75</v>
      </c>
      <c r="U167">
        <v>94.95</v>
      </c>
      <c r="V167">
        <v>95</v>
      </c>
      <c r="W167">
        <v>9.7789999999999999</v>
      </c>
      <c r="X167">
        <v>98.6</v>
      </c>
      <c r="AA167" s="7">
        <f t="shared" si="26"/>
        <v>1296</v>
      </c>
    </row>
    <row r="168" spans="1:27">
      <c r="A168" s="1">
        <v>45814</v>
      </c>
      <c r="B168">
        <v>74.680000000000007</v>
      </c>
      <c r="C168">
        <v>69.400000000000006</v>
      </c>
      <c r="D168">
        <v>68.56</v>
      </c>
      <c r="E168">
        <v>72.7</v>
      </c>
      <c r="F168">
        <v>63.3</v>
      </c>
      <c r="G168">
        <v>65.25</v>
      </c>
      <c r="H168">
        <v>73.61</v>
      </c>
      <c r="I168">
        <v>67.62</v>
      </c>
      <c r="J168">
        <v>67.86</v>
      </c>
      <c r="K168">
        <v>71</v>
      </c>
      <c r="L168">
        <v>62.49</v>
      </c>
      <c r="M168">
        <v>100.2</v>
      </c>
      <c r="N168">
        <v>97.18</v>
      </c>
      <c r="O168">
        <v>95.7</v>
      </c>
      <c r="P168">
        <v>95.74</v>
      </c>
      <c r="Q168">
        <v>9.31</v>
      </c>
      <c r="R168">
        <v>99.13</v>
      </c>
      <c r="S168">
        <v>99.5</v>
      </c>
      <c r="T168">
        <v>96.91</v>
      </c>
      <c r="U168">
        <v>95.2</v>
      </c>
      <c r="V168">
        <v>95.51</v>
      </c>
      <c r="W168">
        <v>9.7789999999999999</v>
      </c>
      <c r="X168">
        <v>98.6</v>
      </c>
      <c r="AA168" s="7">
        <f t="shared" si="26"/>
        <v>1297</v>
      </c>
    </row>
    <row r="169" spans="1:27">
      <c r="A169" s="1">
        <v>45817</v>
      </c>
      <c r="B169">
        <v>75.28</v>
      </c>
      <c r="C169">
        <v>69.7</v>
      </c>
      <c r="D169">
        <v>68.72</v>
      </c>
      <c r="E169">
        <v>72.72</v>
      </c>
      <c r="F169">
        <v>63.4</v>
      </c>
      <c r="G169">
        <v>65.5</v>
      </c>
      <c r="H169">
        <v>73.8</v>
      </c>
      <c r="I169">
        <v>67.97</v>
      </c>
      <c r="J169">
        <v>68.17</v>
      </c>
      <c r="K169">
        <v>71.09</v>
      </c>
      <c r="L169">
        <v>62.35</v>
      </c>
      <c r="M169">
        <v>99.76</v>
      </c>
      <c r="N169">
        <v>97.4</v>
      </c>
      <c r="O169">
        <v>95.69</v>
      </c>
      <c r="P169">
        <v>95.75</v>
      </c>
      <c r="Q169">
        <v>9.0909999999999993</v>
      </c>
      <c r="R169">
        <v>99.1</v>
      </c>
      <c r="S169">
        <v>99.25</v>
      </c>
      <c r="T169">
        <v>97.05</v>
      </c>
      <c r="U169">
        <v>95.29</v>
      </c>
      <c r="V169">
        <v>95.07</v>
      </c>
      <c r="W169">
        <v>9.7789999999999999</v>
      </c>
      <c r="X169">
        <v>98.55</v>
      </c>
      <c r="AA169" s="7">
        <f t="shared" si="26"/>
        <v>1298</v>
      </c>
    </row>
    <row r="170" spans="1:27">
      <c r="A170" s="1">
        <v>45818</v>
      </c>
      <c r="B170">
        <v>75.78</v>
      </c>
      <c r="C170">
        <v>70.599999999999994</v>
      </c>
      <c r="D170">
        <v>69.319999999999993</v>
      </c>
      <c r="E170">
        <v>74</v>
      </c>
      <c r="F170">
        <v>64.39</v>
      </c>
      <c r="G170">
        <v>66.2</v>
      </c>
      <c r="H170">
        <v>74.45</v>
      </c>
      <c r="I170">
        <v>68.73</v>
      </c>
      <c r="J170">
        <v>68.8</v>
      </c>
      <c r="K170">
        <v>72</v>
      </c>
      <c r="L170">
        <v>63.46</v>
      </c>
      <c r="M170">
        <v>99.9</v>
      </c>
      <c r="N170">
        <v>97.5</v>
      </c>
      <c r="O170">
        <v>95.77</v>
      </c>
      <c r="P170">
        <v>95.65</v>
      </c>
      <c r="Q170">
        <v>9.35</v>
      </c>
      <c r="R170">
        <v>98.9</v>
      </c>
      <c r="S170">
        <v>99.51</v>
      </c>
      <c r="T170">
        <v>97</v>
      </c>
      <c r="U170">
        <v>95.5</v>
      </c>
      <c r="V170">
        <v>95.55</v>
      </c>
      <c r="W170">
        <v>9.1999999999999993</v>
      </c>
      <c r="X170">
        <v>98.6</v>
      </c>
      <c r="AA170" s="7">
        <f t="shared" si="26"/>
        <v>1299</v>
      </c>
    </row>
    <row r="171" spans="1:27">
      <c r="A171" s="1">
        <v>45819</v>
      </c>
      <c r="B171">
        <v>76</v>
      </c>
      <c r="C171">
        <v>70.349999999999994</v>
      </c>
      <c r="D171">
        <v>69.650000000000006</v>
      </c>
      <c r="E171">
        <v>73.73</v>
      </c>
      <c r="F171">
        <v>64.13</v>
      </c>
      <c r="G171">
        <v>66.25</v>
      </c>
      <c r="H171">
        <v>74.02</v>
      </c>
      <c r="I171">
        <v>68.459999999999994</v>
      </c>
      <c r="J171">
        <v>68.900000000000006</v>
      </c>
      <c r="K171">
        <v>72.13</v>
      </c>
      <c r="L171">
        <v>63.33</v>
      </c>
      <c r="M171">
        <v>100</v>
      </c>
      <c r="N171">
        <v>97.8</v>
      </c>
      <c r="O171">
        <v>95.32</v>
      </c>
      <c r="P171">
        <v>95.5</v>
      </c>
      <c r="Q171">
        <v>8.8000000000000007</v>
      </c>
      <c r="R171">
        <v>98.95</v>
      </c>
      <c r="S171">
        <v>99.85</v>
      </c>
      <c r="T171">
        <v>97.65</v>
      </c>
      <c r="U171">
        <v>95</v>
      </c>
      <c r="V171">
        <v>95.17</v>
      </c>
      <c r="W171">
        <v>9.4</v>
      </c>
      <c r="X171">
        <v>98.7</v>
      </c>
      <c r="AA171" s="7">
        <f t="shared" si="26"/>
        <v>1300</v>
      </c>
    </row>
    <row r="172" spans="1:27">
      <c r="A172" s="1">
        <v>45820</v>
      </c>
      <c r="B172">
        <v>75.09</v>
      </c>
      <c r="C172">
        <v>70.37</v>
      </c>
      <c r="D172">
        <v>69.41</v>
      </c>
      <c r="E172">
        <v>73.849999999999994</v>
      </c>
      <c r="F172">
        <v>64.3</v>
      </c>
      <c r="G172">
        <v>65.97</v>
      </c>
      <c r="H172">
        <v>73.97</v>
      </c>
      <c r="I172">
        <v>68.44</v>
      </c>
      <c r="J172">
        <v>69.05</v>
      </c>
      <c r="K172">
        <v>71.959999999999994</v>
      </c>
      <c r="L172">
        <v>63.24</v>
      </c>
      <c r="M172">
        <v>100.5</v>
      </c>
      <c r="N172">
        <v>97.9</v>
      </c>
      <c r="O172">
        <v>95.21</v>
      </c>
      <c r="P172">
        <v>95.4</v>
      </c>
      <c r="Q172">
        <v>9.11</v>
      </c>
      <c r="R172">
        <v>98.81</v>
      </c>
      <c r="S172">
        <v>100.05</v>
      </c>
      <c r="T172">
        <v>97.41</v>
      </c>
      <c r="U172">
        <v>94.9</v>
      </c>
      <c r="V172">
        <v>95.02</v>
      </c>
      <c r="W172">
        <v>9.2829999999999995</v>
      </c>
      <c r="X172">
        <v>98.56</v>
      </c>
      <c r="AA172" s="7">
        <f t="shared" si="26"/>
        <v>1301</v>
      </c>
    </row>
    <row r="173" spans="1:27">
      <c r="A173" s="1">
        <v>45821</v>
      </c>
      <c r="B173">
        <v>74.930000000000007</v>
      </c>
      <c r="C173">
        <v>69.400000000000006</v>
      </c>
      <c r="D173">
        <v>68.400000000000006</v>
      </c>
      <c r="E173">
        <v>73.099999999999994</v>
      </c>
      <c r="F173">
        <v>63.4</v>
      </c>
      <c r="G173">
        <v>65.78</v>
      </c>
      <c r="H173">
        <v>73.28</v>
      </c>
      <c r="I173">
        <v>67.56</v>
      </c>
      <c r="J173">
        <v>68</v>
      </c>
      <c r="K173">
        <v>71.010000000000005</v>
      </c>
      <c r="L173">
        <v>62.41</v>
      </c>
      <c r="M173">
        <v>100.35</v>
      </c>
      <c r="N173">
        <v>97.98</v>
      </c>
      <c r="O173">
        <v>95.35</v>
      </c>
      <c r="P173">
        <v>95.4</v>
      </c>
      <c r="Q173">
        <v>9.3699999999999992</v>
      </c>
      <c r="R173">
        <v>98.85</v>
      </c>
      <c r="S173">
        <v>100</v>
      </c>
      <c r="T173">
        <v>97.5</v>
      </c>
      <c r="U173">
        <v>95.11</v>
      </c>
      <c r="V173">
        <v>95.03</v>
      </c>
      <c r="W173">
        <v>9.35</v>
      </c>
      <c r="X173">
        <v>98.66</v>
      </c>
      <c r="AA173" s="7">
        <f t="shared" si="26"/>
        <v>1302</v>
      </c>
    </row>
    <row r="174" spans="1:27">
      <c r="A174" s="1">
        <v>45825</v>
      </c>
      <c r="B174">
        <v>74.72</v>
      </c>
      <c r="C174">
        <v>69.13</v>
      </c>
      <c r="D174">
        <v>67.91</v>
      </c>
      <c r="E174">
        <v>72.63</v>
      </c>
      <c r="F174">
        <v>62.46</v>
      </c>
      <c r="G174">
        <v>65</v>
      </c>
      <c r="H174">
        <v>73</v>
      </c>
      <c r="I174">
        <v>67.3</v>
      </c>
      <c r="J174">
        <v>67.599999999999994</v>
      </c>
      <c r="K174">
        <v>70.7</v>
      </c>
      <c r="L174">
        <v>62.25</v>
      </c>
      <c r="M174">
        <v>101.1</v>
      </c>
      <c r="N174">
        <v>98.06</v>
      </c>
      <c r="O174">
        <v>95.26</v>
      </c>
      <c r="P174">
        <v>95.4</v>
      </c>
      <c r="Q174">
        <v>9.4</v>
      </c>
      <c r="R174">
        <v>98.88</v>
      </c>
      <c r="S174">
        <v>100.5</v>
      </c>
      <c r="T174">
        <v>97.5</v>
      </c>
      <c r="U174">
        <v>94.85</v>
      </c>
      <c r="V174">
        <v>94.75</v>
      </c>
      <c r="W174">
        <v>9.359</v>
      </c>
      <c r="X174">
        <v>98.65</v>
      </c>
      <c r="AA174" s="7">
        <f t="shared" si="26"/>
        <v>1303</v>
      </c>
    </row>
    <row r="175" spans="1:27">
      <c r="A175" s="1">
        <v>45826</v>
      </c>
      <c r="B175">
        <v>75.06</v>
      </c>
      <c r="C175">
        <v>69.25</v>
      </c>
      <c r="D175">
        <v>67.73</v>
      </c>
      <c r="E175">
        <v>72</v>
      </c>
      <c r="F175">
        <v>62.62</v>
      </c>
      <c r="G175">
        <v>65.739999999999995</v>
      </c>
      <c r="H175">
        <v>73.48</v>
      </c>
      <c r="I175">
        <v>67.41</v>
      </c>
      <c r="J175">
        <v>67.569999999999993</v>
      </c>
      <c r="K175">
        <v>70.260000000000005</v>
      </c>
      <c r="L175">
        <v>61.85</v>
      </c>
      <c r="M175">
        <v>102</v>
      </c>
      <c r="N175">
        <v>97.53</v>
      </c>
      <c r="O175">
        <v>94.85</v>
      </c>
      <c r="P175">
        <v>95.4</v>
      </c>
      <c r="Q175">
        <v>9.4</v>
      </c>
      <c r="R175">
        <v>98.98</v>
      </c>
      <c r="S175">
        <v>101.2</v>
      </c>
      <c r="T175">
        <v>97.1</v>
      </c>
      <c r="U175">
        <v>94.51</v>
      </c>
      <c r="V175">
        <v>94.5</v>
      </c>
      <c r="W175">
        <v>9.359</v>
      </c>
      <c r="X175">
        <v>98.6</v>
      </c>
      <c r="AA175" s="7">
        <f t="shared" si="26"/>
        <v>1304</v>
      </c>
    </row>
    <row r="176" spans="1:27">
      <c r="A176" s="1">
        <v>45827</v>
      </c>
      <c r="B176">
        <v>75.290000000000006</v>
      </c>
      <c r="C176">
        <v>69.12</v>
      </c>
      <c r="D176">
        <v>67.84</v>
      </c>
      <c r="E176">
        <v>72.03</v>
      </c>
      <c r="F176">
        <v>62.55</v>
      </c>
      <c r="G176">
        <v>65.489999999999995</v>
      </c>
      <c r="H176">
        <v>73.900000000000006</v>
      </c>
      <c r="I176">
        <v>67.23</v>
      </c>
      <c r="J176">
        <v>67.489999999999995</v>
      </c>
      <c r="K176">
        <v>70.45</v>
      </c>
      <c r="L176">
        <v>61.88</v>
      </c>
      <c r="M176">
        <v>100.8</v>
      </c>
      <c r="N176">
        <v>97.22</v>
      </c>
      <c r="O176">
        <v>94.97</v>
      </c>
      <c r="P176">
        <v>95.4</v>
      </c>
      <c r="Q176" t="e">
        <v>#N/A</v>
      </c>
      <c r="R176">
        <v>98.69</v>
      </c>
      <c r="S176">
        <v>100.2</v>
      </c>
      <c r="T176">
        <v>96.76</v>
      </c>
      <c r="U176">
        <v>94.63</v>
      </c>
      <c r="V176">
        <v>94.7</v>
      </c>
      <c r="W176">
        <v>0</v>
      </c>
      <c r="X176">
        <v>98.69</v>
      </c>
      <c r="AA176" s="7">
        <f t="shared" si="26"/>
        <v>1305</v>
      </c>
    </row>
    <row r="177" spans="1:27">
      <c r="A177" s="1">
        <v>45831</v>
      </c>
      <c r="B177">
        <v>75.040000000000006</v>
      </c>
      <c r="C177">
        <v>69.7</v>
      </c>
      <c r="D177">
        <v>68.36</v>
      </c>
      <c r="E177">
        <v>72.430000000000007</v>
      </c>
      <c r="F177">
        <v>62.75</v>
      </c>
      <c r="G177">
        <v>64.7</v>
      </c>
      <c r="H177">
        <v>73.7</v>
      </c>
      <c r="I177">
        <v>68.05</v>
      </c>
      <c r="J177">
        <v>68.13</v>
      </c>
      <c r="K177">
        <v>70.5</v>
      </c>
      <c r="L177">
        <v>61.8</v>
      </c>
      <c r="M177">
        <v>100.7</v>
      </c>
      <c r="N177">
        <v>97.91</v>
      </c>
      <c r="O177">
        <v>94.5</v>
      </c>
      <c r="P177">
        <v>95.4</v>
      </c>
      <c r="Q177" t="e">
        <v>#N/A</v>
      </c>
      <c r="R177">
        <v>99.05</v>
      </c>
      <c r="S177">
        <v>99.4</v>
      </c>
      <c r="T177">
        <v>97.5</v>
      </c>
      <c r="U177">
        <v>94.2</v>
      </c>
      <c r="V177">
        <v>94.2</v>
      </c>
      <c r="W177">
        <v>0</v>
      </c>
      <c r="X177">
        <v>98.69</v>
      </c>
      <c r="AA177" s="7">
        <f t="shared" si="26"/>
        <v>1306</v>
      </c>
    </row>
    <row r="178" spans="1:27">
      <c r="A178" s="1">
        <v>45832</v>
      </c>
      <c r="B178">
        <v>75.61</v>
      </c>
      <c r="C178">
        <v>70.989999999999995</v>
      </c>
      <c r="D178">
        <v>70.06</v>
      </c>
      <c r="E178">
        <v>73.98</v>
      </c>
      <c r="F178">
        <v>64.5</v>
      </c>
      <c r="G178">
        <v>66.16</v>
      </c>
      <c r="H178">
        <v>74.400000000000006</v>
      </c>
      <c r="I178">
        <v>69.03</v>
      </c>
      <c r="J178">
        <v>69.599999999999994</v>
      </c>
      <c r="K178">
        <v>72.400000000000006</v>
      </c>
      <c r="L178">
        <v>63.5</v>
      </c>
      <c r="M178" t="e">
        <v>#N/A</v>
      </c>
      <c r="N178">
        <v>97.55</v>
      </c>
      <c r="O178">
        <v>95.24</v>
      </c>
      <c r="P178">
        <v>94.8</v>
      </c>
      <c r="Q178" t="e">
        <v>#N/A</v>
      </c>
      <c r="R178">
        <v>99.14</v>
      </c>
      <c r="S178" t="e">
        <v>#N/A</v>
      </c>
      <c r="T178">
        <v>97.56</v>
      </c>
      <c r="U178">
        <v>95.02</v>
      </c>
      <c r="V178">
        <v>94.65</v>
      </c>
      <c r="W178">
        <v>0</v>
      </c>
      <c r="X178">
        <v>98.69</v>
      </c>
      <c r="AA178" s="7">
        <f t="shared" si="26"/>
        <v>1307</v>
      </c>
    </row>
    <row r="179" spans="1:27">
      <c r="A179" s="1">
        <v>45833</v>
      </c>
      <c r="B179">
        <v>76.599999999999994</v>
      </c>
      <c r="C179">
        <v>70.650000000000006</v>
      </c>
      <c r="D179">
        <v>69.599999999999994</v>
      </c>
      <c r="E179">
        <v>73.760000000000005</v>
      </c>
      <c r="F179">
        <v>64.08</v>
      </c>
      <c r="G179">
        <v>66.2</v>
      </c>
      <c r="H179">
        <v>74.69</v>
      </c>
      <c r="I179">
        <v>68.77</v>
      </c>
      <c r="J179">
        <v>69.099999999999994</v>
      </c>
      <c r="K179">
        <v>71.95</v>
      </c>
      <c r="L179">
        <v>62.99</v>
      </c>
      <c r="M179" t="e">
        <v>#N/A</v>
      </c>
      <c r="N179">
        <v>98.11</v>
      </c>
      <c r="O179">
        <v>95</v>
      </c>
      <c r="P179">
        <v>95</v>
      </c>
      <c r="Q179" t="e">
        <v>#N/A</v>
      </c>
      <c r="R179">
        <v>99.29</v>
      </c>
      <c r="S179" t="e">
        <v>#N/A</v>
      </c>
      <c r="T179">
        <v>97.84</v>
      </c>
      <c r="U179">
        <v>94.7</v>
      </c>
      <c r="V179">
        <v>94.75</v>
      </c>
      <c r="W179">
        <v>0</v>
      </c>
      <c r="X179">
        <v>98.69</v>
      </c>
      <c r="AA179" s="7">
        <f t="shared" si="26"/>
        <v>1308</v>
      </c>
    </row>
    <row r="180" spans="1:27">
      <c r="A180" s="1">
        <v>45834</v>
      </c>
      <c r="B180">
        <v>76.400000000000006</v>
      </c>
      <c r="C180">
        <v>71.09</v>
      </c>
      <c r="D180">
        <v>69.849999999999994</v>
      </c>
      <c r="E180">
        <v>74.400000000000006</v>
      </c>
      <c r="F180">
        <v>64.39</v>
      </c>
      <c r="G180">
        <v>66.489999999999995</v>
      </c>
      <c r="H180">
        <v>74.489999999999995</v>
      </c>
      <c r="I180">
        <v>69.239999999999995</v>
      </c>
      <c r="J180">
        <v>69.34</v>
      </c>
      <c r="K180">
        <v>72.47</v>
      </c>
      <c r="L180">
        <v>63.38</v>
      </c>
      <c r="M180" t="e">
        <v>#N/A</v>
      </c>
      <c r="N180">
        <v>98.35</v>
      </c>
      <c r="O180">
        <v>95.6</v>
      </c>
      <c r="P180">
        <v>95.15</v>
      </c>
      <c r="Q180" t="e">
        <v>#N/A</v>
      </c>
      <c r="R180">
        <v>99.65</v>
      </c>
      <c r="S180" t="e">
        <v>#N/A</v>
      </c>
      <c r="T180">
        <v>98</v>
      </c>
      <c r="U180">
        <v>95</v>
      </c>
      <c r="V180">
        <v>95</v>
      </c>
      <c r="W180">
        <v>0</v>
      </c>
      <c r="X180">
        <v>98.69</v>
      </c>
      <c r="AA180" s="7">
        <f t="shared" si="26"/>
        <v>1309</v>
      </c>
    </row>
    <row r="181" spans="1:27">
      <c r="A181" s="1">
        <v>45835</v>
      </c>
      <c r="B181">
        <v>76.989999999999995</v>
      </c>
      <c r="C181">
        <v>70.72</v>
      </c>
      <c r="D181">
        <v>70</v>
      </c>
      <c r="E181">
        <v>74.31</v>
      </c>
      <c r="F181">
        <v>64.900000000000006</v>
      </c>
      <c r="G181">
        <v>66.819999999999993</v>
      </c>
      <c r="H181">
        <v>74.62</v>
      </c>
      <c r="I181">
        <v>69.099999999999994</v>
      </c>
      <c r="J181">
        <v>69.48</v>
      </c>
      <c r="K181">
        <v>72.290000000000006</v>
      </c>
      <c r="L181">
        <v>64</v>
      </c>
      <c r="M181" t="e">
        <v>#N/A</v>
      </c>
      <c r="N181">
        <v>98.4</v>
      </c>
      <c r="O181">
        <v>95.53</v>
      </c>
      <c r="P181">
        <v>95.55</v>
      </c>
      <c r="Q181" t="e">
        <v>#N/A</v>
      </c>
      <c r="R181">
        <v>99.65</v>
      </c>
      <c r="S181" t="e">
        <v>#N/A</v>
      </c>
      <c r="T181">
        <v>98.1</v>
      </c>
      <c r="U181">
        <v>95.14</v>
      </c>
      <c r="V181">
        <v>95.1</v>
      </c>
      <c r="W181">
        <v>0</v>
      </c>
      <c r="X181">
        <v>99.3</v>
      </c>
      <c r="Y181">
        <v>0</v>
      </c>
      <c r="Z181">
        <v>0</v>
      </c>
      <c r="AA181" s="7">
        <f t="shared" si="26"/>
        <v>1310</v>
      </c>
    </row>
    <row r="182" spans="1:27">
      <c r="A182" s="1">
        <v>45838</v>
      </c>
      <c r="B182">
        <v>76</v>
      </c>
      <c r="C182">
        <v>70.23</v>
      </c>
      <c r="D182">
        <v>69.5</v>
      </c>
      <c r="E182">
        <v>73.97</v>
      </c>
      <c r="F182">
        <v>64.11</v>
      </c>
      <c r="G182">
        <v>65.91</v>
      </c>
      <c r="H182">
        <v>74.14</v>
      </c>
      <c r="I182">
        <v>68.45</v>
      </c>
      <c r="J182">
        <v>68.5</v>
      </c>
      <c r="K182">
        <v>71.430000000000007</v>
      </c>
      <c r="L182">
        <v>63.21</v>
      </c>
      <c r="M182" t="e">
        <v>#N/A</v>
      </c>
      <c r="N182">
        <v>98.99</v>
      </c>
      <c r="O182">
        <v>96.4</v>
      </c>
      <c r="P182">
        <v>95.8</v>
      </c>
      <c r="Q182" t="e">
        <v>#N/A</v>
      </c>
      <c r="R182">
        <v>99.98</v>
      </c>
      <c r="S182" t="e">
        <v>#N/A</v>
      </c>
      <c r="T182">
        <v>98.19</v>
      </c>
      <c r="U182">
        <v>96</v>
      </c>
      <c r="V182">
        <v>95.74</v>
      </c>
      <c r="W182">
        <v>0</v>
      </c>
      <c r="X182">
        <v>99.72</v>
      </c>
      <c r="Y182">
        <v>80</v>
      </c>
      <c r="Z182">
        <v>84</v>
      </c>
      <c r="AA182" s="7">
        <f t="shared" si="26"/>
        <v>1311</v>
      </c>
    </row>
    <row r="183" spans="1:27">
      <c r="A183" s="1">
        <v>45839</v>
      </c>
      <c r="B183">
        <v>75.790000000000006</v>
      </c>
      <c r="C183">
        <v>70.150000000000006</v>
      </c>
      <c r="D183">
        <v>69.349999999999994</v>
      </c>
      <c r="E183">
        <v>73.5</v>
      </c>
      <c r="F183">
        <v>64.11</v>
      </c>
      <c r="G183">
        <v>66.2</v>
      </c>
      <c r="H183">
        <v>73.75</v>
      </c>
      <c r="I183">
        <v>68.42</v>
      </c>
      <c r="J183">
        <v>68.540000000000006</v>
      </c>
      <c r="K183">
        <v>71.400000000000006</v>
      </c>
      <c r="L183">
        <v>62.96</v>
      </c>
      <c r="M183" t="e">
        <v>#N/A</v>
      </c>
      <c r="N183">
        <v>98.42</v>
      </c>
      <c r="O183">
        <v>96.13</v>
      </c>
      <c r="P183">
        <v>96.05</v>
      </c>
      <c r="Q183" t="e">
        <v>#N/A</v>
      </c>
      <c r="R183">
        <v>99.6</v>
      </c>
      <c r="S183" t="e">
        <v>#N/A</v>
      </c>
      <c r="T183">
        <v>98.11</v>
      </c>
      <c r="U183">
        <v>96.05</v>
      </c>
      <c r="V183">
        <v>95.8</v>
      </c>
      <c r="W183">
        <v>0</v>
      </c>
      <c r="X183">
        <v>99.38</v>
      </c>
      <c r="Z183">
        <v>80.5</v>
      </c>
      <c r="AA183" s="7">
        <f t="shared" si="26"/>
        <v>1312</v>
      </c>
    </row>
    <row r="184" spans="1:27">
      <c r="A184" s="1">
        <v>45840</v>
      </c>
      <c r="B184">
        <v>75.62</v>
      </c>
      <c r="C184">
        <v>70.34</v>
      </c>
      <c r="D184">
        <v>69.5</v>
      </c>
      <c r="E184">
        <v>73.55</v>
      </c>
      <c r="F184">
        <v>64.150000000000006</v>
      </c>
      <c r="G184">
        <v>66.03</v>
      </c>
      <c r="H184">
        <v>73.959999999999994</v>
      </c>
      <c r="I184">
        <v>68.86</v>
      </c>
      <c r="J184">
        <v>68.86</v>
      </c>
      <c r="K184">
        <v>71.7</v>
      </c>
      <c r="L184">
        <v>62.85</v>
      </c>
      <c r="M184" t="e">
        <v>#N/A</v>
      </c>
      <c r="N184">
        <v>98.85</v>
      </c>
      <c r="O184">
        <v>97.5</v>
      </c>
      <c r="P184">
        <v>96.63</v>
      </c>
      <c r="Q184" t="e">
        <v>#N/A</v>
      </c>
      <c r="R184">
        <v>99.6</v>
      </c>
      <c r="S184" t="e">
        <v>#N/A</v>
      </c>
      <c r="T184">
        <v>98.55</v>
      </c>
      <c r="U184">
        <v>97.32</v>
      </c>
      <c r="V184">
        <v>96.35</v>
      </c>
      <c r="W184">
        <v>0</v>
      </c>
      <c r="X184">
        <v>99.5</v>
      </c>
      <c r="Y184">
        <v>82</v>
      </c>
      <c r="Z184">
        <v>82</v>
      </c>
      <c r="AA184" s="7">
        <f t="shared" si="26"/>
        <v>1313</v>
      </c>
    </row>
    <row r="185" spans="1:27">
      <c r="A185" s="1">
        <v>45841</v>
      </c>
      <c r="B185">
        <v>76.239999999999995</v>
      </c>
      <c r="C185">
        <v>70.53</v>
      </c>
      <c r="D185">
        <v>69.459999999999994</v>
      </c>
      <c r="E185">
        <v>73.760000000000005</v>
      </c>
      <c r="F185">
        <v>64.41</v>
      </c>
      <c r="G185">
        <v>66.77</v>
      </c>
      <c r="H185">
        <v>74</v>
      </c>
      <c r="I185">
        <v>68.819999999999993</v>
      </c>
      <c r="J185">
        <v>68.650000000000006</v>
      </c>
      <c r="K185">
        <v>71.73</v>
      </c>
      <c r="L185">
        <v>63.48</v>
      </c>
      <c r="M185" t="e">
        <v>#N/A</v>
      </c>
      <c r="N185">
        <v>98.8</v>
      </c>
      <c r="O185">
        <v>97.7</v>
      </c>
      <c r="P185">
        <v>97.1</v>
      </c>
      <c r="Q185" t="e">
        <v>#N/A</v>
      </c>
      <c r="R185">
        <v>99.75</v>
      </c>
      <c r="S185" t="e">
        <v>#N/A</v>
      </c>
      <c r="T185">
        <v>98.85</v>
      </c>
      <c r="U185">
        <v>97.6</v>
      </c>
      <c r="V185">
        <v>97</v>
      </c>
      <c r="W185">
        <v>0</v>
      </c>
      <c r="X185">
        <v>99.8</v>
      </c>
      <c r="Y185">
        <v>82.75</v>
      </c>
      <c r="Z185">
        <v>82.4</v>
      </c>
      <c r="AA185" s="7">
        <f t="shared" si="26"/>
        <v>1314</v>
      </c>
    </row>
    <row r="186" spans="1:27">
      <c r="A186" s="1">
        <v>45842</v>
      </c>
      <c r="B186">
        <v>75.95</v>
      </c>
      <c r="C186">
        <v>70.599999999999994</v>
      </c>
      <c r="D186">
        <v>69.56</v>
      </c>
      <c r="E186">
        <v>74.239999999999995</v>
      </c>
      <c r="F186">
        <v>64.3</v>
      </c>
      <c r="G186">
        <v>66.209999999999994</v>
      </c>
      <c r="H186">
        <v>74.349999999999994</v>
      </c>
      <c r="I186">
        <v>68.95</v>
      </c>
      <c r="J186">
        <v>68.8</v>
      </c>
      <c r="K186">
        <v>72.03</v>
      </c>
      <c r="L186">
        <v>63.87</v>
      </c>
      <c r="M186" t="e">
        <v>#N/A</v>
      </c>
      <c r="N186">
        <v>99</v>
      </c>
      <c r="O186">
        <v>97.42</v>
      </c>
      <c r="P186">
        <v>97.41</v>
      </c>
      <c r="Q186" t="e">
        <v>#N/A</v>
      </c>
      <c r="R186">
        <v>100</v>
      </c>
      <c r="S186" t="e">
        <v>#N/A</v>
      </c>
      <c r="T186">
        <v>98.99</v>
      </c>
      <c r="U186">
        <v>97.42</v>
      </c>
      <c r="V186">
        <v>97.23</v>
      </c>
      <c r="W186">
        <v>0</v>
      </c>
      <c r="X186">
        <v>100.2</v>
      </c>
      <c r="Y186">
        <v>83.75</v>
      </c>
      <c r="Z186">
        <v>83.5</v>
      </c>
      <c r="AA186" s="7">
        <f t="shared" si="26"/>
        <v>1315</v>
      </c>
    </row>
    <row r="187" spans="1:27">
      <c r="A187" s="1">
        <v>45845</v>
      </c>
      <c r="B187">
        <v>74.44</v>
      </c>
      <c r="C187">
        <v>69.67</v>
      </c>
      <c r="D187">
        <v>68.599999999999994</v>
      </c>
      <c r="E187">
        <v>73.489999999999995</v>
      </c>
      <c r="F187">
        <v>63.25</v>
      </c>
      <c r="G187">
        <v>65.3</v>
      </c>
      <c r="H187">
        <v>73.45</v>
      </c>
      <c r="I187">
        <v>67.989999999999995</v>
      </c>
      <c r="J187">
        <v>67.709999999999994</v>
      </c>
      <c r="K187">
        <v>70.92</v>
      </c>
      <c r="L187">
        <v>62.38</v>
      </c>
      <c r="M187" t="e">
        <v>#N/A</v>
      </c>
      <c r="N187">
        <v>99.15</v>
      </c>
      <c r="O187">
        <v>96.89</v>
      </c>
      <c r="P187">
        <v>96.35</v>
      </c>
      <c r="Q187" t="e">
        <v>#N/A</v>
      </c>
      <c r="R187">
        <v>100.7</v>
      </c>
      <c r="S187" t="e">
        <v>#N/A</v>
      </c>
      <c r="T187">
        <v>98.97</v>
      </c>
      <c r="U187">
        <v>96.82</v>
      </c>
      <c r="V187">
        <v>96.25</v>
      </c>
      <c r="W187">
        <v>0</v>
      </c>
      <c r="X187">
        <v>100.5</v>
      </c>
      <c r="Y187">
        <v>82.1</v>
      </c>
      <c r="Z187">
        <v>81.900000000000006</v>
      </c>
      <c r="AA187" s="7">
        <f t="shared" si="26"/>
        <v>1316</v>
      </c>
    </row>
    <row r="188" spans="1:27">
      <c r="A188" s="1">
        <v>45846</v>
      </c>
      <c r="B188">
        <v>65.599999999999994</v>
      </c>
      <c r="C188">
        <v>61.6</v>
      </c>
      <c r="D188">
        <v>66.599999999999994</v>
      </c>
      <c r="E188">
        <v>70.540000000000006</v>
      </c>
      <c r="F188">
        <v>61.88</v>
      </c>
      <c r="G188">
        <v>61.36</v>
      </c>
      <c r="H188">
        <v>63.7</v>
      </c>
      <c r="I188">
        <v>59.95</v>
      </c>
      <c r="J188">
        <v>65.72</v>
      </c>
      <c r="K188">
        <v>68.25</v>
      </c>
      <c r="L188">
        <v>60.55</v>
      </c>
      <c r="M188" t="e">
        <v>#N/A</v>
      </c>
      <c r="N188">
        <v>99.37</v>
      </c>
      <c r="O188">
        <v>97.29</v>
      </c>
      <c r="P188">
        <v>96.85</v>
      </c>
      <c r="Q188" t="e">
        <v>#N/A</v>
      </c>
      <c r="R188">
        <v>101.5</v>
      </c>
      <c r="S188" t="e">
        <v>#N/A</v>
      </c>
      <c r="T188">
        <v>99.25</v>
      </c>
      <c r="U188">
        <v>97</v>
      </c>
      <c r="V188">
        <v>96.7</v>
      </c>
      <c r="W188">
        <v>0</v>
      </c>
      <c r="X188">
        <v>101.3</v>
      </c>
      <c r="Y188">
        <v>82.98</v>
      </c>
      <c r="Z188">
        <v>82</v>
      </c>
      <c r="AA188" s="7">
        <f t="shared" si="26"/>
        <v>1317</v>
      </c>
    </row>
    <row r="189" spans="1:27">
      <c r="A189" s="1">
        <v>45848</v>
      </c>
      <c r="B189">
        <v>65.5</v>
      </c>
      <c r="C189">
        <v>61.85</v>
      </c>
      <c r="D189">
        <v>66.989999999999995</v>
      </c>
      <c r="E189">
        <v>71.2</v>
      </c>
      <c r="F189">
        <v>62.44</v>
      </c>
      <c r="G189">
        <v>61.95</v>
      </c>
      <c r="H189">
        <v>63.78</v>
      </c>
      <c r="I189">
        <v>60.44</v>
      </c>
      <c r="J189">
        <v>66.010000000000005</v>
      </c>
      <c r="K189">
        <v>68.86</v>
      </c>
      <c r="L189">
        <v>61.17</v>
      </c>
      <c r="M189" t="e">
        <v>#N/A</v>
      </c>
      <c r="N189">
        <v>99.17</v>
      </c>
      <c r="O189">
        <v>96.99</v>
      </c>
      <c r="P189">
        <v>96.88</v>
      </c>
      <c r="Q189" t="e">
        <v>#N/A</v>
      </c>
      <c r="R189">
        <v>101.1</v>
      </c>
      <c r="S189" t="e">
        <v>#N/A</v>
      </c>
      <c r="T189">
        <v>99.15</v>
      </c>
      <c r="U189">
        <v>96.65</v>
      </c>
      <c r="V189">
        <v>96.5</v>
      </c>
      <c r="W189">
        <v>0</v>
      </c>
      <c r="X189">
        <v>101.1</v>
      </c>
      <c r="Y189">
        <v>82.1</v>
      </c>
      <c r="Z189">
        <v>81.8</v>
      </c>
      <c r="AA189" s="7">
        <f t="shared" si="26"/>
        <v>1318</v>
      </c>
    </row>
    <row r="190" spans="1:27">
      <c r="A190" s="1">
        <v>45849</v>
      </c>
      <c r="B190">
        <v>65.17</v>
      </c>
      <c r="C190">
        <v>61.24</v>
      </c>
      <c r="D190">
        <v>66.400000000000006</v>
      </c>
      <c r="E190">
        <v>70.45</v>
      </c>
      <c r="F190">
        <v>61.4</v>
      </c>
      <c r="G190">
        <v>61.96</v>
      </c>
      <c r="H190">
        <v>63.61</v>
      </c>
      <c r="I190">
        <v>59.86</v>
      </c>
      <c r="J190">
        <v>65.459999999999994</v>
      </c>
      <c r="K190">
        <v>68.14</v>
      </c>
      <c r="L190">
        <v>60.57</v>
      </c>
      <c r="M190" t="e">
        <v>#N/A</v>
      </c>
      <c r="N190">
        <v>99.5</v>
      </c>
      <c r="O190">
        <v>97.04</v>
      </c>
      <c r="P190">
        <v>97</v>
      </c>
      <c r="Q190" t="e">
        <v>#N/A</v>
      </c>
      <c r="R190">
        <v>100.95</v>
      </c>
      <c r="S190" t="e">
        <v>#N/A</v>
      </c>
      <c r="T190">
        <v>99.25</v>
      </c>
      <c r="U190">
        <v>96.8</v>
      </c>
      <c r="V190">
        <v>96.75</v>
      </c>
      <c r="W190">
        <v>0</v>
      </c>
      <c r="X190">
        <v>100.8</v>
      </c>
      <c r="Y190">
        <v>82.05</v>
      </c>
      <c r="Z190">
        <v>81.900000000000006</v>
      </c>
      <c r="AA190" s="7">
        <f t="shared" si="26"/>
        <v>1319</v>
      </c>
    </row>
    <row r="191" spans="1:27">
      <c r="A191" s="1">
        <v>45852</v>
      </c>
      <c r="B191">
        <v>64.05</v>
      </c>
      <c r="C191">
        <v>60.72</v>
      </c>
      <c r="D191">
        <v>65.239999999999995</v>
      </c>
      <c r="E191">
        <v>69.39</v>
      </c>
      <c r="F191">
        <v>60.43</v>
      </c>
      <c r="G191">
        <v>60.9</v>
      </c>
      <c r="H191">
        <v>63.06</v>
      </c>
      <c r="I191">
        <v>59.61</v>
      </c>
      <c r="J191">
        <v>64.34</v>
      </c>
      <c r="K191">
        <v>67.05</v>
      </c>
      <c r="L191">
        <v>59.71</v>
      </c>
      <c r="M191" t="e">
        <v>#N/A</v>
      </c>
      <c r="N191">
        <v>99.47</v>
      </c>
      <c r="O191">
        <v>96.99</v>
      </c>
      <c r="P191">
        <v>97.11</v>
      </c>
      <c r="Q191" t="e">
        <v>#N/A</v>
      </c>
      <c r="R191">
        <v>100.7</v>
      </c>
      <c r="S191" t="e">
        <v>#N/A</v>
      </c>
      <c r="T191">
        <v>99.2</v>
      </c>
      <c r="U191">
        <v>96.61</v>
      </c>
      <c r="V191">
        <v>96.7</v>
      </c>
      <c r="W191">
        <v>0</v>
      </c>
      <c r="X191">
        <v>100.45</v>
      </c>
      <c r="Y191">
        <v>81.900000000000006</v>
      </c>
      <c r="Z191">
        <v>81.5</v>
      </c>
      <c r="AA191" s="7">
        <f t="shared" si="26"/>
        <v>1320</v>
      </c>
    </row>
    <row r="192" spans="1:27">
      <c r="A192" s="1">
        <v>45853</v>
      </c>
      <c r="B192">
        <v>64</v>
      </c>
      <c r="C192">
        <v>60.8</v>
      </c>
      <c r="D192">
        <v>65.290000000000006</v>
      </c>
      <c r="E192">
        <v>69.75</v>
      </c>
      <c r="F192">
        <v>60.52</v>
      </c>
      <c r="G192">
        <v>62</v>
      </c>
      <c r="H192">
        <v>63.98</v>
      </c>
      <c r="I192">
        <v>59.55</v>
      </c>
      <c r="J192">
        <v>64.58</v>
      </c>
      <c r="K192">
        <v>67.349999999999994</v>
      </c>
      <c r="L192">
        <v>59.51</v>
      </c>
      <c r="M192" t="e">
        <v>#N/A</v>
      </c>
      <c r="N192">
        <v>99.5</v>
      </c>
      <c r="O192">
        <v>97.3</v>
      </c>
      <c r="P192">
        <v>97.3</v>
      </c>
      <c r="Q192" t="e">
        <v>#N/A</v>
      </c>
      <c r="R192">
        <v>101.05</v>
      </c>
      <c r="S192" t="e">
        <v>#N/A</v>
      </c>
      <c r="T192">
        <v>99.11</v>
      </c>
      <c r="U192">
        <v>97.02</v>
      </c>
      <c r="V192">
        <v>97</v>
      </c>
      <c r="W192">
        <v>0</v>
      </c>
      <c r="X192">
        <v>101</v>
      </c>
      <c r="Y192">
        <v>81.8</v>
      </c>
      <c r="Z192">
        <v>81.400000000000006</v>
      </c>
      <c r="AA192" s="7">
        <f t="shared" si="26"/>
        <v>1321</v>
      </c>
    </row>
    <row r="193" spans="1:27">
      <c r="A193" s="1">
        <v>45854</v>
      </c>
      <c r="B193">
        <v>64.2</v>
      </c>
      <c r="C193">
        <v>60.91</v>
      </c>
      <c r="D193">
        <v>65.099999999999994</v>
      </c>
      <c r="E193">
        <v>69.25</v>
      </c>
      <c r="F193">
        <v>60.15</v>
      </c>
      <c r="G193">
        <v>61.93</v>
      </c>
      <c r="H193">
        <v>63.5</v>
      </c>
      <c r="I193">
        <v>59.52</v>
      </c>
      <c r="J193">
        <v>63.9</v>
      </c>
      <c r="K193">
        <v>66.900000000000006</v>
      </c>
      <c r="L193">
        <v>59.1</v>
      </c>
      <c r="M193" t="e">
        <v>#N/A</v>
      </c>
      <c r="N193">
        <v>99.6</v>
      </c>
      <c r="O193">
        <v>97.55</v>
      </c>
      <c r="P193">
        <v>97.25</v>
      </c>
      <c r="Q193" t="e">
        <v>#N/A</v>
      </c>
      <c r="R193">
        <v>101.3</v>
      </c>
      <c r="S193" t="e">
        <v>#N/A</v>
      </c>
      <c r="T193">
        <v>99.45</v>
      </c>
      <c r="U193">
        <v>97.21</v>
      </c>
      <c r="V193">
        <v>97.03</v>
      </c>
      <c r="W193">
        <v>0</v>
      </c>
      <c r="X193">
        <v>101</v>
      </c>
      <c r="Y193">
        <v>81.45</v>
      </c>
      <c r="Z193">
        <v>81.3</v>
      </c>
      <c r="AA193" s="7">
        <f t="shared" si="26"/>
        <v>1322</v>
      </c>
    </row>
    <row r="194" spans="1:27">
      <c r="A194" s="1">
        <v>45855</v>
      </c>
      <c r="B194">
        <v>63.5</v>
      </c>
      <c r="C194">
        <v>60.47</v>
      </c>
      <c r="D194">
        <v>64.489999999999995</v>
      </c>
      <c r="E194">
        <v>68.5</v>
      </c>
      <c r="F194">
        <v>59.69</v>
      </c>
      <c r="G194">
        <v>61.14</v>
      </c>
      <c r="H194">
        <v>62.52</v>
      </c>
      <c r="I194">
        <v>59.02</v>
      </c>
      <c r="J194">
        <v>63.7</v>
      </c>
      <c r="K194">
        <v>66.36</v>
      </c>
      <c r="L194">
        <v>58.62</v>
      </c>
      <c r="M194" t="e">
        <v>#N/A</v>
      </c>
      <c r="N194">
        <v>99.47</v>
      </c>
      <c r="O194">
        <v>97.45</v>
      </c>
      <c r="P194">
        <v>97.34</v>
      </c>
      <c r="Q194" t="e">
        <v>#N/A</v>
      </c>
      <c r="R194">
        <v>101.35</v>
      </c>
      <c r="S194" t="e">
        <v>#N/A</v>
      </c>
      <c r="T194">
        <v>99.15</v>
      </c>
      <c r="U194">
        <v>97.15</v>
      </c>
      <c r="V194">
        <v>96.95</v>
      </c>
      <c r="W194">
        <v>0</v>
      </c>
      <c r="X194">
        <v>101</v>
      </c>
      <c r="Y194">
        <v>81.7</v>
      </c>
      <c r="Z194">
        <v>81.099999999999994</v>
      </c>
      <c r="AA194" s="7">
        <f t="shared" si="26"/>
        <v>1323</v>
      </c>
    </row>
    <row r="195" spans="1:27">
      <c r="A195" s="1">
        <v>45856</v>
      </c>
      <c r="B195">
        <v>63.36</v>
      </c>
      <c r="C195">
        <v>60.6</v>
      </c>
      <c r="D195">
        <v>64.94</v>
      </c>
      <c r="E195">
        <v>69.150000000000006</v>
      </c>
      <c r="F195">
        <v>59.99</v>
      </c>
      <c r="G195">
        <v>60.79</v>
      </c>
      <c r="H195">
        <v>62.24</v>
      </c>
      <c r="I195">
        <v>58.97</v>
      </c>
      <c r="J195">
        <v>63.8</v>
      </c>
      <c r="K195">
        <v>66.7</v>
      </c>
      <c r="L195">
        <v>58.85</v>
      </c>
      <c r="M195" t="e">
        <v>#N/A</v>
      </c>
      <c r="N195">
        <v>99.52</v>
      </c>
      <c r="O195">
        <v>97.36</v>
      </c>
      <c r="P195">
        <v>97.1</v>
      </c>
      <c r="Q195" t="e">
        <v>#N/A</v>
      </c>
      <c r="R195">
        <v>101.2</v>
      </c>
      <c r="S195" t="e">
        <v>#N/A</v>
      </c>
      <c r="T195">
        <v>99.14</v>
      </c>
      <c r="U195">
        <v>97.2</v>
      </c>
      <c r="V195">
        <v>96.8</v>
      </c>
      <c r="W195">
        <v>0</v>
      </c>
      <c r="X195">
        <v>100.95</v>
      </c>
      <c r="Y195">
        <v>81.400000000000006</v>
      </c>
      <c r="Z195">
        <v>81.05</v>
      </c>
      <c r="AA195" s="7">
        <f t="shared" si="26"/>
        <v>1324</v>
      </c>
    </row>
    <row r="196" spans="1:27">
      <c r="A196" s="1">
        <v>45859</v>
      </c>
      <c r="B196">
        <v>63.9</v>
      </c>
      <c r="C196">
        <v>60.79</v>
      </c>
      <c r="D196">
        <v>65.05</v>
      </c>
      <c r="E196">
        <v>69.209999999999994</v>
      </c>
      <c r="F196">
        <v>60.01</v>
      </c>
      <c r="G196">
        <v>60.47</v>
      </c>
      <c r="H196">
        <v>62.05</v>
      </c>
      <c r="I196">
        <v>59.08</v>
      </c>
      <c r="J196">
        <v>63.77</v>
      </c>
      <c r="K196">
        <v>66.69</v>
      </c>
      <c r="L196">
        <v>58.52</v>
      </c>
      <c r="M196" t="e">
        <v>#N/A</v>
      </c>
      <c r="N196">
        <v>99.32</v>
      </c>
      <c r="O196">
        <v>97.25</v>
      </c>
      <c r="P196">
        <v>97.05</v>
      </c>
      <c r="Q196" t="e">
        <v>#N/A</v>
      </c>
      <c r="R196">
        <v>101.2</v>
      </c>
      <c r="S196" t="e">
        <v>#N/A</v>
      </c>
      <c r="T196">
        <v>99.2</v>
      </c>
      <c r="U196">
        <v>97</v>
      </c>
      <c r="V196">
        <v>96.8</v>
      </c>
      <c r="W196">
        <v>0</v>
      </c>
      <c r="X196">
        <v>100.9</v>
      </c>
      <c r="Y196">
        <v>81.36</v>
      </c>
      <c r="Z196">
        <v>81.150000000000006</v>
      </c>
      <c r="AA196" s="7">
        <f t="shared" si="26"/>
        <v>1325</v>
      </c>
    </row>
    <row r="197" spans="1:27">
      <c r="A197" s="1">
        <v>45860</v>
      </c>
      <c r="B197">
        <v>63.69</v>
      </c>
      <c r="C197">
        <v>60.44</v>
      </c>
      <c r="D197">
        <v>64.58</v>
      </c>
      <c r="E197">
        <v>69.069999999999993</v>
      </c>
      <c r="F197">
        <v>59.76</v>
      </c>
      <c r="G197">
        <v>60.89</v>
      </c>
      <c r="H197">
        <v>62.13</v>
      </c>
      <c r="I197">
        <v>58.87</v>
      </c>
      <c r="J197">
        <v>63.33</v>
      </c>
      <c r="K197">
        <v>66.459999999999994</v>
      </c>
      <c r="L197">
        <v>58.29</v>
      </c>
      <c r="M197" t="e">
        <v>#N/A</v>
      </c>
      <c r="N197">
        <v>99.3</v>
      </c>
      <c r="O197">
        <v>97.07</v>
      </c>
      <c r="P197">
        <v>97.06</v>
      </c>
      <c r="Q197" t="e">
        <v>#N/A</v>
      </c>
      <c r="R197">
        <v>101.05</v>
      </c>
      <c r="S197" t="e">
        <v>#N/A</v>
      </c>
      <c r="T197">
        <v>99.1</v>
      </c>
      <c r="U197">
        <v>97.01</v>
      </c>
      <c r="V197">
        <v>97.05</v>
      </c>
      <c r="W197">
        <v>0</v>
      </c>
      <c r="X197">
        <v>100.9</v>
      </c>
      <c r="Y197">
        <v>81.069999999999993</v>
      </c>
      <c r="Z197">
        <v>80.94</v>
      </c>
      <c r="AA197" s="7">
        <f t="shared" ref="AA197:AA251" si="27">+AA196+1</f>
        <v>1326</v>
      </c>
    </row>
    <row r="198" spans="1:27">
      <c r="A198" s="1">
        <v>45861</v>
      </c>
      <c r="B198">
        <v>63.83</v>
      </c>
      <c r="C198">
        <v>60.47</v>
      </c>
      <c r="D198">
        <v>64.459999999999994</v>
      </c>
      <c r="E198">
        <v>68.760000000000005</v>
      </c>
      <c r="F198">
        <v>59.75</v>
      </c>
      <c r="G198">
        <v>60.72</v>
      </c>
      <c r="H198">
        <v>62.1</v>
      </c>
      <c r="I198">
        <v>58.85</v>
      </c>
      <c r="J198">
        <v>63.27</v>
      </c>
      <c r="K198">
        <v>66.31</v>
      </c>
      <c r="L198">
        <v>58.21</v>
      </c>
      <c r="M198" t="e">
        <v>#N/A</v>
      </c>
      <c r="N198">
        <v>99.35</v>
      </c>
      <c r="O198">
        <v>97.34</v>
      </c>
      <c r="P198">
        <v>97</v>
      </c>
      <c r="Q198" t="e">
        <v>#N/A</v>
      </c>
      <c r="R198">
        <v>101.1</v>
      </c>
      <c r="S198" t="e">
        <v>#N/A</v>
      </c>
      <c r="T198">
        <v>99.21</v>
      </c>
      <c r="U198">
        <v>97.19</v>
      </c>
      <c r="V198">
        <v>96.8</v>
      </c>
      <c r="W198">
        <v>0</v>
      </c>
      <c r="X198">
        <v>100.95</v>
      </c>
      <c r="Y198">
        <v>80.709999999999994</v>
      </c>
      <c r="Z198">
        <v>80.47</v>
      </c>
      <c r="AA198" s="7">
        <f t="shared" si="27"/>
        <v>1327</v>
      </c>
    </row>
    <row r="199" spans="1:27">
      <c r="A199" s="1">
        <v>45862</v>
      </c>
      <c r="B199">
        <v>64.45</v>
      </c>
      <c r="C199">
        <v>61.45</v>
      </c>
      <c r="D199">
        <v>65.400000000000006</v>
      </c>
      <c r="E199">
        <v>69.23</v>
      </c>
      <c r="F199">
        <v>60.6</v>
      </c>
      <c r="G199">
        <v>60.95</v>
      </c>
      <c r="H199">
        <v>63.28</v>
      </c>
      <c r="I199">
        <v>59.69</v>
      </c>
      <c r="J199">
        <v>64.17</v>
      </c>
      <c r="K199">
        <v>67.05</v>
      </c>
      <c r="L199">
        <v>58.99</v>
      </c>
      <c r="M199" t="e">
        <v>#N/A</v>
      </c>
      <c r="N199">
        <v>99.25</v>
      </c>
      <c r="O199">
        <v>97.45</v>
      </c>
      <c r="P199">
        <v>97.35</v>
      </c>
      <c r="Q199" t="e">
        <v>#N/A</v>
      </c>
      <c r="R199">
        <v>100.4</v>
      </c>
      <c r="S199" t="e">
        <v>#N/A</v>
      </c>
      <c r="T199">
        <v>99.15</v>
      </c>
      <c r="U199">
        <v>97.2</v>
      </c>
      <c r="V199">
        <v>96.99</v>
      </c>
      <c r="W199">
        <v>0</v>
      </c>
      <c r="X199">
        <v>100.65</v>
      </c>
      <c r="Y199">
        <v>80.5</v>
      </c>
      <c r="Z199">
        <v>80.400000000000006</v>
      </c>
      <c r="AA199" s="7">
        <f t="shared" si="27"/>
        <v>1328</v>
      </c>
    </row>
    <row r="200" spans="1:27">
      <c r="A200" s="1">
        <v>45863</v>
      </c>
      <c r="B200">
        <v>64.680000000000007</v>
      </c>
      <c r="C200">
        <v>61.72</v>
      </c>
      <c r="D200">
        <v>65.849999999999994</v>
      </c>
      <c r="E200">
        <v>69.959999999999994</v>
      </c>
      <c r="F200">
        <v>60.97</v>
      </c>
      <c r="G200">
        <v>61.43</v>
      </c>
      <c r="H200">
        <v>63.55</v>
      </c>
      <c r="I200">
        <v>59.84</v>
      </c>
      <c r="J200">
        <v>64.989999999999995</v>
      </c>
      <c r="K200">
        <v>67.650000000000006</v>
      </c>
      <c r="L200">
        <v>59.2</v>
      </c>
      <c r="M200" t="e">
        <v>#N/A</v>
      </c>
      <c r="N200">
        <v>99.6</v>
      </c>
      <c r="O200">
        <v>97.29</v>
      </c>
      <c r="P200">
        <v>97.02</v>
      </c>
      <c r="Q200" t="e">
        <v>#N/A</v>
      </c>
      <c r="R200">
        <v>100.7</v>
      </c>
      <c r="S200" t="e">
        <v>#N/A</v>
      </c>
      <c r="T200">
        <v>99.35</v>
      </c>
      <c r="U200">
        <v>97.27</v>
      </c>
      <c r="V200">
        <v>96.95</v>
      </c>
      <c r="W200">
        <v>0</v>
      </c>
      <c r="X200">
        <v>100.7</v>
      </c>
      <c r="Y200">
        <v>80.5</v>
      </c>
      <c r="Z200">
        <v>80.28</v>
      </c>
      <c r="AA200" s="7">
        <f t="shared" si="27"/>
        <v>1329</v>
      </c>
    </row>
    <row r="201" spans="1:27">
      <c r="A201" s="1">
        <v>45866</v>
      </c>
      <c r="B201">
        <v>65.09</v>
      </c>
      <c r="C201">
        <v>61.84</v>
      </c>
      <c r="D201">
        <v>66.34</v>
      </c>
      <c r="E201">
        <v>70.7</v>
      </c>
      <c r="F201">
        <v>61.27</v>
      </c>
      <c r="G201">
        <v>61.35</v>
      </c>
      <c r="H201">
        <v>64.02</v>
      </c>
      <c r="I201">
        <v>60.08</v>
      </c>
      <c r="J201">
        <v>65.47</v>
      </c>
      <c r="K201">
        <v>68.209999999999994</v>
      </c>
      <c r="L201">
        <v>59.78</v>
      </c>
      <c r="M201" t="e">
        <v>#N/A</v>
      </c>
      <c r="N201">
        <v>99.44</v>
      </c>
      <c r="O201">
        <v>97.31</v>
      </c>
      <c r="P201">
        <v>96.99</v>
      </c>
      <c r="Q201" t="e">
        <v>#N/A</v>
      </c>
      <c r="R201">
        <v>100.75</v>
      </c>
      <c r="S201" t="e">
        <v>#N/A</v>
      </c>
      <c r="T201">
        <v>99.25</v>
      </c>
      <c r="U201">
        <v>97</v>
      </c>
      <c r="V201">
        <v>96.64</v>
      </c>
      <c r="W201">
        <v>0</v>
      </c>
      <c r="X201">
        <v>100.5</v>
      </c>
      <c r="Y201">
        <v>80.680000000000007</v>
      </c>
      <c r="Z201">
        <v>80.400000000000006</v>
      </c>
      <c r="AA201" s="7">
        <f t="shared" si="27"/>
        <v>1330</v>
      </c>
    </row>
    <row r="202" spans="1:27">
      <c r="A202" s="1">
        <v>45867</v>
      </c>
      <c r="B202">
        <v>65.75</v>
      </c>
      <c r="C202">
        <v>61.92</v>
      </c>
      <c r="D202">
        <v>66.28</v>
      </c>
      <c r="E202">
        <v>70.87</v>
      </c>
      <c r="F202">
        <v>61.41</v>
      </c>
      <c r="G202">
        <v>63</v>
      </c>
      <c r="H202">
        <v>64.099999999999994</v>
      </c>
      <c r="I202">
        <v>60.16</v>
      </c>
      <c r="J202">
        <v>65.37</v>
      </c>
      <c r="K202">
        <v>68.349999999999994</v>
      </c>
      <c r="L202">
        <v>59.99</v>
      </c>
      <c r="M202" t="e">
        <v>#N/A</v>
      </c>
      <c r="N202">
        <v>99.15</v>
      </c>
      <c r="O202">
        <v>97.06</v>
      </c>
      <c r="P202">
        <v>96.35</v>
      </c>
      <c r="Q202" t="e">
        <v>#N/A</v>
      </c>
      <c r="R202">
        <v>100.45</v>
      </c>
      <c r="S202" t="e">
        <v>#N/A</v>
      </c>
      <c r="T202">
        <v>98.9</v>
      </c>
      <c r="U202">
        <v>96.93</v>
      </c>
      <c r="V202">
        <v>96.26</v>
      </c>
      <c r="W202">
        <v>0</v>
      </c>
      <c r="X202">
        <v>100.25</v>
      </c>
      <c r="Y202">
        <v>80.55</v>
      </c>
      <c r="Z202">
        <v>80.45</v>
      </c>
      <c r="AA202" s="7">
        <f t="shared" si="27"/>
        <v>1331</v>
      </c>
    </row>
    <row r="203" spans="1:27">
      <c r="A203" s="1">
        <v>45868</v>
      </c>
      <c r="B203">
        <v>65.540000000000006</v>
      </c>
      <c r="C203">
        <v>62.21</v>
      </c>
      <c r="D203">
        <v>66.5</v>
      </c>
      <c r="E203">
        <v>70.900000000000006</v>
      </c>
      <c r="F203">
        <v>61.6</v>
      </c>
      <c r="G203">
        <v>61.96</v>
      </c>
      <c r="H203">
        <v>63.59</v>
      </c>
      <c r="I203">
        <v>60.39</v>
      </c>
      <c r="J203">
        <v>65.430000000000007</v>
      </c>
      <c r="K203">
        <v>68.45</v>
      </c>
      <c r="L203">
        <v>60.22</v>
      </c>
      <c r="M203" t="e">
        <v>#N/A</v>
      </c>
      <c r="N203">
        <v>99.05</v>
      </c>
      <c r="O203">
        <v>95.91</v>
      </c>
      <c r="P203">
        <v>95.45</v>
      </c>
      <c r="Q203" t="e">
        <v>#N/A</v>
      </c>
      <c r="R203">
        <v>100.1</v>
      </c>
      <c r="S203" t="e">
        <v>#N/A</v>
      </c>
      <c r="T203">
        <v>98.9</v>
      </c>
      <c r="U203">
        <v>95.71</v>
      </c>
      <c r="V203">
        <v>95.29</v>
      </c>
      <c r="W203">
        <v>0</v>
      </c>
      <c r="X203">
        <v>99.93</v>
      </c>
      <c r="Y203">
        <v>80.67</v>
      </c>
      <c r="Z203">
        <v>80.400000000000006</v>
      </c>
      <c r="AA203" s="7">
        <f t="shared" si="27"/>
        <v>1332</v>
      </c>
    </row>
    <row r="204" spans="1:27">
      <c r="A204" s="1">
        <v>45869</v>
      </c>
      <c r="B204">
        <v>64.459999999999994</v>
      </c>
      <c r="C204">
        <v>61.79</v>
      </c>
      <c r="D204">
        <v>66.099999999999994</v>
      </c>
      <c r="E204">
        <v>70.19</v>
      </c>
      <c r="F204">
        <v>61.06</v>
      </c>
      <c r="G204">
        <v>61.3</v>
      </c>
      <c r="H204">
        <v>62.95</v>
      </c>
      <c r="I204">
        <v>59.92</v>
      </c>
      <c r="J204">
        <v>65.209999999999994</v>
      </c>
      <c r="K204">
        <v>67.510000000000005</v>
      </c>
      <c r="L204">
        <v>59.57</v>
      </c>
      <c r="M204" t="e">
        <v>#N/A</v>
      </c>
      <c r="N204">
        <v>98.85</v>
      </c>
      <c r="O204">
        <v>96.13</v>
      </c>
      <c r="P204">
        <v>96.08</v>
      </c>
      <c r="Q204" t="e">
        <v>#N/A</v>
      </c>
      <c r="R204">
        <v>99.5</v>
      </c>
      <c r="S204" t="e">
        <v>#N/A</v>
      </c>
      <c r="T204">
        <v>98.84</v>
      </c>
      <c r="U204">
        <v>96.12</v>
      </c>
      <c r="V204">
        <v>95.9</v>
      </c>
      <c r="W204">
        <v>0</v>
      </c>
      <c r="X204">
        <v>99.25</v>
      </c>
      <c r="Y204">
        <v>80.23</v>
      </c>
      <c r="Z204">
        <v>80.209999999999994</v>
      </c>
      <c r="AA204" s="7">
        <f t="shared" si="27"/>
        <v>1333</v>
      </c>
    </row>
    <row r="205" spans="1:27">
      <c r="A205" s="1">
        <v>45870</v>
      </c>
      <c r="B205">
        <v>64.260000000000005</v>
      </c>
      <c r="C205">
        <v>61.28</v>
      </c>
      <c r="D205">
        <v>65.430000000000007</v>
      </c>
      <c r="E205">
        <v>69.84</v>
      </c>
      <c r="F205">
        <v>60.29</v>
      </c>
      <c r="G205">
        <v>61.1</v>
      </c>
      <c r="H205">
        <v>62.18</v>
      </c>
      <c r="I205">
        <v>59.27</v>
      </c>
      <c r="J205">
        <v>64.41</v>
      </c>
      <c r="K205">
        <v>66.98</v>
      </c>
      <c r="L205">
        <v>59.19</v>
      </c>
      <c r="M205" t="e">
        <v>#N/A</v>
      </c>
      <c r="N205">
        <v>98.6</v>
      </c>
      <c r="O205">
        <v>95.99</v>
      </c>
      <c r="P205">
        <v>95.79</v>
      </c>
      <c r="Q205" t="e">
        <v>#N/A</v>
      </c>
      <c r="R205">
        <v>99.04</v>
      </c>
      <c r="S205" t="e">
        <v>#N/A</v>
      </c>
      <c r="T205">
        <v>98.45</v>
      </c>
      <c r="U205">
        <v>95.8</v>
      </c>
      <c r="V205">
        <v>95.64</v>
      </c>
      <c r="W205">
        <v>0</v>
      </c>
      <c r="X205">
        <v>98.95</v>
      </c>
      <c r="Y205">
        <v>80.3</v>
      </c>
      <c r="Z205">
        <v>80.09</v>
      </c>
      <c r="AA205" s="7">
        <f t="shared" si="27"/>
        <v>1334</v>
      </c>
    </row>
    <row r="206" spans="1:27">
      <c r="A206" s="1">
        <v>45873</v>
      </c>
      <c r="B206">
        <v>64.59</v>
      </c>
      <c r="C206">
        <v>61.77</v>
      </c>
      <c r="D206">
        <v>65.81</v>
      </c>
      <c r="E206">
        <v>70.180000000000007</v>
      </c>
      <c r="F206">
        <v>60.62</v>
      </c>
      <c r="G206">
        <v>60.99</v>
      </c>
      <c r="H206">
        <v>62.65</v>
      </c>
      <c r="I206">
        <v>59.86</v>
      </c>
      <c r="J206">
        <v>64.67</v>
      </c>
      <c r="K206">
        <v>67.33</v>
      </c>
      <c r="L206">
        <v>59.3</v>
      </c>
      <c r="M206" t="e">
        <v>#N/A</v>
      </c>
      <c r="N206">
        <v>98.61</v>
      </c>
      <c r="O206">
        <v>95.53</v>
      </c>
      <c r="P206">
        <v>95.21</v>
      </c>
      <c r="Q206" t="e">
        <v>#N/A</v>
      </c>
      <c r="R206">
        <v>99.35</v>
      </c>
      <c r="S206" t="e">
        <v>#N/A</v>
      </c>
      <c r="T206">
        <v>98.43</v>
      </c>
      <c r="U206">
        <v>95.2</v>
      </c>
      <c r="V206">
        <v>95.03</v>
      </c>
      <c r="W206">
        <v>0</v>
      </c>
      <c r="X206">
        <v>99.18</v>
      </c>
      <c r="Y206">
        <v>80.12</v>
      </c>
      <c r="Z206">
        <v>80.099999999999994</v>
      </c>
      <c r="AA206" s="7">
        <f t="shared" si="27"/>
        <v>1335</v>
      </c>
    </row>
    <row r="207" spans="1:27">
      <c r="A207" s="1">
        <v>45874</v>
      </c>
      <c r="B207">
        <v>65.16</v>
      </c>
      <c r="C207">
        <v>62.05</v>
      </c>
      <c r="D207">
        <v>66.260000000000005</v>
      </c>
      <c r="E207">
        <v>70.66</v>
      </c>
      <c r="F207">
        <v>61.22</v>
      </c>
      <c r="G207">
        <v>61.5</v>
      </c>
      <c r="H207">
        <v>63</v>
      </c>
      <c r="I207">
        <v>60.15</v>
      </c>
      <c r="J207">
        <v>65.27</v>
      </c>
      <c r="K207">
        <v>68.010000000000005</v>
      </c>
      <c r="L207">
        <v>59.96</v>
      </c>
      <c r="M207" t="e">
        <v>#N/A</v>
      </c>
      <c r="N207">
        <v>98.77</v>
      </c>
      <c r="O207">
        <v>95.7</v>
      </c>
      <c r="P207">
        <v>95.64</v>
      </c>
      <c r="Q207" t="e">
        <v>#N/A</v>
      </c>
      <c r="R207">
        <v>99.22</v>
      </c>
      <c r="S207" t="e">
        <v>#N/A</v>
      </c>
      <c r="T207">
        <v>98.64</v>
      </c>
      <c r="U207">
        <v>95.6</v>
      </c>
      <c r="V207">
        <v>95.5</v>
      </c>
      <c r="W207">
        <v>0</v>
      </c>
      <c r="X207">
        <v>99.2</v>
      </c>
      <c r="Y207">
        <v>80.27</v>
      </c>
      <c r="Z207">
        <v>80.2</v>
      </c>
      <c r="AA207" s="7">
        <f t="shared" si="27"/>
        <v>1336</v>
      </c>
    </row>
    <row r="208" spans="1:27">
      <c r="A208" s="1">
        <v>45875</v>
      </c>
      <c r="B208">
        <v>65.349999999999994</v>
      </c>
      <c r="C208">
        <v>62.3</v>
      </c>
      <c r="D208">
        <v>66.599999999999994</v>
      </c>
      <c r="E208">
        <v>70.89</v>
      </c>
      <c r="F208">
        <v>61.41</v>
      </c>
      <c r="G208">
        <v>61.38</v>
      </c>
      <c r="H208">
        <v>62.7</v>
      </c>
      <c r="I208">
        <v>60.28</v>
      </c>
      <c r="J208">
        <v>65.47</v>
      </c>
      <c r="K208">
        <v>68.2</v>
      </c>
      <c r="L208">
        <v>60.07</v>
      </c>
      <c r="M208" t="e">
        <v>#N/A</v>
      </c>
      <c r="N208">
        <v>98.85</v>
      </c>
      <c r="O208">
        <v>95.62</v>
      </c>
      <c r="P208">
        <v>95.45</v>
      </c>
      <c r="Q208" t="e">
        <v>#N/A</v>
      </c>
      <c r="R208">
        <v>99.66</v>
      </c>
      <c r="S208" t="e">
        <v>#N/A</v>
      </c>
      <c r="T208">
        <v>98.66</v>
      </c>
      <c r="U208">
        <v>95.5</v>
      </c>
      <c r="V208">
        <v>95.15</v>
      </c>
      <c r="W208">
        <v>0</v>
      </c>
      <c r="X208">
        <v>99.8</v>
      </c>
      <c r="Y208">
        <v>80.150000000000006</v>
      </c>
      <c r="Z208">
        <v>80.05</v>
      </c>
      <c r="AA208" s="7">
        <f t="shared" si="27"/>
        <v>1337</v>
      </c>
    </row>
    <row r="209" spans="1:27">
      <c r="A209" s="1">
        <v>45876</v>
      </c>
      <c r="B209">
        <v>65.86</v>
      </c>
      <c r="C209">
        <v>62.21</v>
      </c>
      <c r="D209">
        <v>66.75</v>
      </c>
      <c r="E209">
        <v>71.319999999999993</v>
      </c>
      <c r="F209">
        <v>61.7</v>
      </c>
      <c r="G209">
        <v>61.63</v>
      </c>
      <c r="H209">
        <v>63.05</v>
      </c>
      <c r="I209">
        <v>60.25</v>
      </c>
      <c r="J209">
        <v>65.8</v>
      </c>
      <c r="K209">
        <v>68.39</v>
      </c>
      <c r="L209">
        <v>60.33</v>
      </c>
      <c r="M209" t="e">
        <v>#N/A</v>
      </c>
      <c r="N209">
        <v>99.25</v>
      </c>
      <c r="O209">
        <v>96.35</v>
      </c>
      <c r="P209">
        <v>95.82</v>
      </c>
      <c r="Q209" t="e">
        <v>#N/A</v>
      </c>
      <c r="R209">
        <v>100.2</v>
      </c>
      <c r="S209" t="e">
        <v>#N/A</v>
      </c>
      <c r="T209">
        <v>99</v>
      </c>
      <c r="U209">
        <v>96.2</v>
      </c>
      <c r="V209">
        <v>96</v>
      </c>
      <c r="W209">
        <v>0</v>
      </c>
      <c r="X209">
        <v>99.9</v>
      </c>
      <c r="Y209">
        <v>80.25</v>
      </c>
      <c r="Z209">
        <v>80</v>
      </c>
      <c r="AA209" s="7">
        <f t="shared" si="27"/>
        <v>1338</v>
      </c>
    </row>
    <row r="210" spans="1:27">
      <c r="A210" s="1">
        <v>45877</v>
      </c>
      <c r="B210">
        <v>65.53</v>
      </c>
      <c r="C210">
        <v>62.31</v>
      </c>
      <c r="D210">
        <v>66.709999999999994</v>
      </c>
      <c r="E210">
        <v>71.069999999999993</v>
      </c>
      <c r="F210">
        <v>61.43</v>
      </c>
      <c r="G210">
        <v>61.41</v>
      </c>
      <c r="H210">
        <v>63.2</v>
      </c>
      <c r="I210">
        <v>60.34</v>
      </c>
      <c r="J210">
        <v>65.5</v>
      </c>
      <c r="K210">
        <v>68.400000000000006</v>
      </c>
      <c r="L210">
        <v>60.11</v>
      </c>
      <c r="M210" t="e">
        <v>#N/A</v>
      </c>
      <c r="N210">
        <v>98.81</v>
      </c>
      <c r="O210">
        <v>96.73</v>
      </c>
      <c r="P210">
        <v>96.25</v>
      </c>
      <c r="Q210" t="e">
        <v>#N/A</v>
      </c>
      <c r="R210">
        <v>100.1</v>
      </c>
      <c r="S210" t="e">
        <v>#N/A</v>
      </c>
      <c r="T210">
        <v>98.6</v>
      </c>
      <c r="U210">
        <v>96.49</v>
      </c>
      <c r="V210">
        <v>96.06</v>
      </c>
      <c r="W210">
        <v>0</v>
      </c>
      <c r="X210">
        <v>99.93</v>
      </c>
      <c r="Y210">
        <v>80.099999999999994</v>
      </c>
      <c r="Z210">
        <v>79.7</v>
      </c>
      <c r="AA210" s="7">
        <f t="shared" si="27"/>
        <v>1339</v>
      </c>
    </row>
    <row r="211" spans="1:27">
      <c r="A211" s="1">
        <v>45880</v>
      </c>
      <c r="B211">
        <v>65.03</v>
      </c>
      <c r="C211">
        <v>62.27</v>
      </c>
      <c r="D211">
        <v>66.790000000000006</v>
      </c>
      <c r="E211">
        <v>71.150000000000006</v>
      </c>
      <c r="F211">
        <v>61.69</v>
      </c>
      <c r="G211">
        <v>61.52</v>
      </c>
      <c r="H211">
        <v>62.98</v>
      </c>
      <c r="I211">
        <v>60.38</v>
      </c>
      <c r="J211">
        <v>65.540000000000006</v>
      </c>
      <c r="K211">
        <v>68.150000000000006</v>
      </c>
      <c r="L211">
        <v>60.08</v>
      </c>
      <c r="M211" t="e">
        <v>#N/A</v>
      </c>
      <c r="N211">
        <v>98.7</v>
      </c>
      <c r="O211">
        <v>96.53</v>
      </c>
      <c r="P211">
        <v>96.27</v>
      </c>
      <c r="Q211" t="e">
        <v>#N/A</v>
      </c>
      <c r="R211">
        <v>100.15</v>
      </c>
      <c r="S211" t="e">
        <v>#N/A</v>
      </c>
      <c r="T211">
        <v>98.59</v>
      </c>
      <c r="U211">
        <v>96.34</v>
      </c>
      <c r="V211">
        <v>96.07</v>
      </c>
      <c r="W211">
        <v>0</v>
      </c>
      <c r="X211">
        <v>99.99</v>
      </c>
      <c r="Y211">
        <v>80.3</v>
      </c>
      <c r="Z211">
        <v>80.2</v>
      </c>
      <c r="AA211" s="7">
        <f t="shared" si="27"/>
        <v>1340</v>
      </c>
    </row>
    <row r="212" spans="1:27">
      <c r="A212" s="1">
        <v>45881</v>
      </c>
      <c r="B212">
        <v>65.599999999999994</v>
      </c>
      <c r="C212">
        <v>62.53</v>
      </c>
      <c r="D212">
        <v>67.22</v>
      </c>
      <c r="E212">
        <v>71.400000000000006</v>
      </c>
      <c r="F212">
        <v>62.04</v>
      </c>
      <c r="G212">
        <v>61.68</v>
      </c>
      <c r="H212">
        <v>63.37</v>
      </c>
      <c r="I212">
        <v>60.88</v>
      </c>
      <c r="J212">
        <v>65.900000000000006</v>
      </c>
      <c r="K212">
        <v>68.61</v>
      </c>
      <c r="L212">
        <v>60.56</v>
      </c>
      <c r="M212" t="e">
        <v>#N/A</v>
      </c>
      <c r="N212">
        <v>98.9</v>
      </c>
      <c r="O212">
        <v>96.28</v>
      </c>
      <c r="P212">
        <v>96</v>
      </c>
      <c r="Q212" t="e">
        <v>#N/A</v>
      </c>
      <c r="R212">
        <v>100.5</v>
      </c>
      <c r="S212" t="e">
        <v>#N/A</v>
      </c>
      <c r="T212">
        <v>98.58</v>
      </c>
      <c r="U212">
        <v>96</v>
      </c>
      <c r="V212">
        <v>95.89</v>
      </c>
      <c r="W212">
        <v>0</v>
      </c>
      <c r="X212">
        <v>100.25</v>
      </c>
      <c r="Y212">
        <v>79.98</v>
      </c>
      <c r="Z212">
        <v>79.75</v>
      </c>
      <c r="AA212" s="7">
        <f t="shared" si="27"/>
        <v>1341</v>
      </c>
    </row>
    <row r="213" spans="1:27">
      <c r="A213" s="1">
        <v>45882</v>
      </c>
      <c r="B213">
        <v>65.8</v>
      </c>
      <c r="C213">
        <v>62.75</v>
      </c>
      <c r="D213">
        <v>67.849999999999994</v>
      </c>
      <c r="E213">
        <v>72.38</v>
      </c>
      <c r="F213">
        <v>62.7</v>
      </c>
      <c r="G213">
        <v>62.11</v>
      </c>
      <c r="H213">
        <v>63.62</v>
      </c>
      <c r="I213">
        <v>61.12</v>
      </c>
      <c r="J213">
        <v>66.400000000000006</v>
      </c>
      <c r="K213">
        <v>69.260000000000005</v>
      </c>
      <c r="L213">
        <v>61.12</v>
      </c>
      <c r="M213" t="e">
        <v>#N/A</v>
      </c>
      <c r="N213">
        <v>98.95</v>
      </c>
      <c r="O213">
        <v>96.21</v>
      </c>
      <c r="P213">
        <v>95.75</v>
      </c>
      <c r="Q213" t="e">
        <v>#N/A</v>
      </c>
      <c r="R213">
        <v>101.3</v>
      </c>
      <c r="S213" t="e">
        <v>#N/A</v>
      </c>
      <c r="T213">
        <v>98.71</v>
      </c>
      <c r="U213">
        <v>96.05</v>
      </c>
      <c r="V213">
        <v>95.9</v>
      </c>
      <c r="W213">
        <v>0</v>
      </c>
      <c r="X213">
        <v>101</v>
      </c>
      <c r="Y213">
        <v>79.95</v>
      </c>
      <c r="Z213">
        <v>79.73</v>
      </c>
      <c r="AA213" s="7">
        <f t="shared" si="27"/>
        <v>1342</v>
      </c>
    </row>
    <row r="214" spans="1:27">
      <c r="A214" s="1">
        <v>45883</v>
      </c>
      <c r="B214">
        <v>65.38</v>
      </c>
      <c r="C214">
        <v>62.65</v>
      </c>
      <c r="D214">
        <v>67.55</v>
      </c>
      <c r="E214">
        <v>71.92</v>
      </c>
      <c r="F214">
        <v>62.45</v>
      </c>
      <c r="G214">
        <v>62.17</v>
      </c>
      <c r="H214">
        <v>63.4</v>
      </c>
      <c r="I214">
        <v>60.87</v>
      </c>
      <c r="J214">
        <v>66</v>
      </c>
      <c r="K214">
        <v>68.52</v>
      </c>
      <c r="L214">
        <v>60.52</v>
      </c>
      <c r="M214" t="e">
        <v>#N/A</v>
      </c>
      <c r="N214">
        <v>98.74</v>
      </c>
      <c r="O214">
        <v>96.25</v>
      </c>
      <c r="P214">
        <v>96</v>
      </c>
      <c r="Q214" t="e">
        <v>#N/A</v>
      </c>
      <c r="R214">
        <v>101.6</v>
      </c>
      <c r="S214" t="e">
        <v>#N/A</v>
      </c>
      <c r="T214">
        <v>98.4</v>
      </c>
      <c r="U214">
        <v>96</v>
      </c>
      <c r="V214">
        <v>95.75</v>
      </c>
      <c r="W214">
        <v>0</v>
      </c>
      <c r="X214">
        <v>101.45</v>
      </c>
      <c r="Y214">
        <v>79.680000000000007</v>
      </c>
      <c r="Z214">
        <v>79.5</v>
      </c>
      <c r="AA214" s="7">
        <f t="shared" si="27"/>
        <v>1343</v>
      </c>
    </row>
    <row r="215" spans="1:27">
      <c r="A215" s="1">
        <v>45887</v>
      </c>
      <c r="B215">
        <v>66.319999999999993</v>
      </c>
      <c r="C215">
        <v>63</v>
      </c>
      <c r="D215">
        <v>67.900000000000006</v>
      </c>
      <c r="E215">
        <v>71.91</v>
      </c>
      <c r="F215">
        <v>62.7</v>
      </c>
      <c r="G215">
        <v>62.27</v>
      </c>
      <c r="H215">
        <v>63.49</v>
      </c>
      <c r="I215">
        <v>61.1</v>
      </c>
      <c r="J215">
        <v>66.31</v>
      </c>
      <c r="K215">
        <v>68.989999999999995</v>
      </c>
      <c r="L215">
        <v>60.85</v>
      </c>
      <c r="M215" t="e">
        <v>#N/A</v>
      </c>
      <c r="N215">
        <v>98.71</v>
      </c>
      <c r="O215">
        <v>96.25</v>
      </c>
      <c r="P215">
        <v>95.95</v>
      </c>
      <c r="Q215" t="e">
        <v>#N/A</v>
      </c>
      <c r="R215">
        <v>101.6</v>
      </c>
      <c r="S215" t="e">
        <v>#N/A</v>
      </c>
      <c r="T215">
        <v>98.5</v>
      </c>
      <c r="U215">
        <v>95.6</v>
      </c>
      <c r="V215">
        <v>95.61</v>
      </c>
      <c r="W215">
        <v>0</v>
      </c>
      <c r="X215">
        <v>101.05</v>
      </c>
      <c r="Y215">
        <v>79.8</v>
      </c>
      <c r="Z215">
        <v>79.61</v>
      </c>
      <c r="AA215" s="7">
        <f t="shared" si="27"/>
        <v>1344</v>
      </c>
    </row>
    <row r="216" spans="1:27">
      <c r="A216" s="1">
        <v>45888</v>
      </c>
      <c r="B216">
        <v>65.89</v>
      </c>
      <c r="C216">
        <v>62.81</v>
      </c>
      <c r="D216">
        <v>67.959999999999994</v>
      </c>
      <c r="E216">
        <v>72.2</v>
      </c>
      <c r="F216">
        <v>62.89</v>
      </c>
      <c r="G216">
        <v>63.05</v>
      </c>
      <c r="H216">
        <v>63.7</v>
      </c>
      <c r="I216">
        <v>61.16</v>
      </c>
      <c r="J216">
        <v>66.41</v>
      </c>
      <c r="K216">
        <v>68.900000000000006</v>
      </c>
      <c r="L216">
        <v>60.93</v>
      </c>
      <c r="M216" t="e">
        <v>#N/A</v>
      </c>
      <c r="N216">
        <v>99</v>
      </c>
      <c r="O216">
        <v>95.99</v>
      </c>
      <c r="P216">
        <v>95.73</v>
      </c>
      <c r="Q216" t="e">
        <v>#N/A</v>
      </c>
      <c r="R216">
        <v>101.25</v>
      </c>
      <c r="S216" t="e">
        <v>#N/A</v>
      </c>
      <c r="T216">
        <v>98.6</v>
      </c>
      <c r="U216">
        <v>95.56</v>
      </c>
      <c r="V216">
        <v>95.5</v>
      </c>
      <c r="W216">
        <v>0</v>
      </c>
      <c r="X216">
        <v>101</v>
      </c>
      <c r="Y216">
        <v>79.88</v>
      </c>
      <c r="Z216">
        <v>79.63</v>
      </c>
      <c r="AA216" s="7">
        <f t="shared" si="27"/>
        <v>1345</v>
      </c>
    </row>
    <row r="217" spans="1:27">
      <c r="A217" s="1">
        <v>45889</v>
      </c>
      <c r="B217">
        <v>64.83</v>
      </c>
      <c r="C217">
        <v>61.9</v>
      </c>
      <c r="D217">
        <v>66.430000000000007</v>
      </c>
      <c r="E217">
        <v>70.599999999999994</v>
      </c>
      <c r="F217">
        <v>61.35</v>
      </c>
      <c r="G217">
        <v>62</v>
      </c>
      <c r="H217">
        <v>62.1</v>
      </c>
      <c r="I217">
        <v>60.15</v>
      </c>
      <c r="J217">
        <v>64.88</v>
      </c>
      <c r="K217">
        <v>67.349999999999994</v>
      </c>
      <c r="L217">
        <v>59.79</v>
      </c>
      <c r="M217" t="e">
        <v>#N/A</v>
      </c>
      <c r="N217">
        <v>98.95</v>
      </c>
      <c r="O217">
        <v>95.95</v>
      </c>
      <c r="P217">
        <v>95.8</v>
      </c>
      <c r="Q217" t="e">
        <v>#N/A</v>
      </c>
      <c r="R217">
        <v>100.85</v>
      </c>
      <c r="S217" t="e">
        <v>#N/A</v>
      </c>
      <c r="T217">
        <v>98.64</v>
      </c>
      <c r="U217">
        <v>95.75</v>
      </c>
      <c r="V217">
        <v>95.64</v>
      </c>
      <c r="W217">
        <v>0</v>
      </c>
      <c r="X217">
        <v>100.7</v>
      </c>
      <c r="Y217">
        <v>79.849999999999994</v>
      </c>
      <c r="Z217">
        <v>79.599999999999994</v>
      </c>
      <c r="AA217" s="7">
        <f t="shared" si="27"/>
        <v>1346</v>
      </c>
    </row>
    <row r="218" spans="1:27">
      <c r="A218" s="1">
        <v>45890</v>
      </c>
      <c r="B218">
        <v>64.22</v>
      </c>
      <c r="C218">
        <v>61.23</v>
      </c>
      <c r="D218">
        <v>65.81</v>
      </c>
      <c r="E218">
        <v>69.84</v>
      </c>
      <c r="F218">
        <v>60.31</v>
      </c>
      <c r="G218">
        <v>60.9</v>
      </c>
      <c r="H218">
        <v>62.1</v>
      </c>
      <c r="I218">
        <v>59.7</v>
      </c>
      <c r="J218">
        <v>64.19</v>
      </c>
      <c r="K218">
        <v>66.55</v>
      </c>
      <c r="L218">
        <v>58.6</v>
      </c>
      <c r="M218" t="e">
        <v>#N/A</v>
      </c>
      <c r="N218">
        <v>98.74</v>
      </c>
      <c r="O218">
        <v>95.8</v>
      </c>
      <c r="P218">
        <v>95.56</v>
      </c>
      <c r="Q218" t="e">
        <v>#N/A</v>
      </c>
      <c r="R218">
        <v>100</v>
      </c>
      <c r="S218" t="e">
        <v>#N/A</v>
      </c>
      <c r="T218">
        <v>98.64</v>
      </c>
      <c r="U218">
        <v>95.65</v>
      </c>
      <c r="V218">
        <v>95.5</v>
      </c>
      <c r="W218">
        <v>0</v>
      </c>
      <c r="X218">
        <v>100</v>
      </c>
      <c r="Y218">
        <v>79.88</v>
      </c>
      <c r="Z218">
        <v>79.599999999999994</v>
      </c>
      <c r="AA218" s="7">
        <f t="shared" si="27"/>
        <v>1347</v>
      </c>
    </row>
    <row r="219" spans="1:27">
      <c r="A219" s="1">
        <v>45891</v>
      </c>
      <c r="B219">
        <v>64</v>
      </c>
      <c r="C219">
        <v>61.43</v>
      </c>
      <c r="D219">
        <v>65.78</v>
      </c>
      <c r="E219">
        <v>69.5</v>
      </c>
      <c r="F219">
        <v>60.7</v>
      </c>
      <c r="G219">
        <v>60.19</v>
      </c>
      <c r="H219">
        <v>62.1</v>
      </c>
      <c r="I219">
        <v>59.58</v>
      </c>
      <c r="J219">
        <v>64.150000000000006</v>
      </c>
      <c r="K219">
        <v>66.45</v>
      </c>
      <c r="L219">
        <v>58.61</v>
      </c>
      <c r="M219" t="e">
        <v>#N/A</v>
      </c>
      <c r="N219">
        <v>98.79</v>
      </c>
      <c r="O219">
        <v>95.68</v>
      </c>
      <c r="P219">
        <v>96</v>
      </c>
      <c r="Q219" t="e">
        <v>#N/A</v>
      </c>
      <c r="R219">
        <v>100</v>
      </c>
      <c r="S219" t="e">
        <v>#N/A</v>
      </c>
      <c r="T219">
        <v>98.5</v>
      </c>
      <c r="U219">
        <v>95.38</v>
      </c>
      <c r="V219">
        <v>95.51</v>
      </c>
      <c r="W219">
        <v>0</v>
      </c>
      <c r="X219">
        <v>99.69</v>
      </c>
      <c r="Y219">
        <v>79.599999999999994</v>
      </c>
      <c r="Z219">
        <v>79.42</v>
      </c>
      <c r="AA219" s="7">
        <f t="shared" si="27"/>
        <v>1348</v>
      </c>
    </row>
    <row r="220" spans="1:27">
      <c r="A220" s="1">
        <v>45894</v>
      </c>
      <c r="B220">
        <v>61.75</v>
      </c>
      <c r="C220">
        <v>59.51</v>
      </c>
      <c r="D220">
        <v>63.6</v>
      </c>
      <c r="E220">
        <v>67.45</v>
      </c>
      <c r="F220">
        <v>58.5</v>
      </c>
      <c r="G220">
        <v>58.7</v>
      </c>
      <c r="H220">
        <v>59.74</v>
      </c>
      <c r="I220">
        <v>57.7</v>
      </c>
      <c r="J220">
        <v>61.93</v>
      </c>
      <c r="K220">
        <v>63.5</v>
      </c>
      <c r="L220">
        <v>56.58</v>
      </c>
      <c r="M220" t="e">
        <v>#N/A</v>
      </c>
      <c r="N220">
        <v>98.4</v>
      </c>
      <c r="O220">
        <v>94.82</v>
      </c>
      <c r="P220">
        <v>94.78</v>
      </c>
      <c r="Q220" t="e">
        <v>#N/A</v>
      </c>
      <c r="R220">
        <v>99.3</v>
      </c>
      <c r="S220" t="e">
        <v>#N/A</v>
      </c>
      <c r="T220">
        <v>98.1</v>
      </c>
      <c r="U220">
        <v>94.42</v>
      </c>
      <c r="V220">
        <v>94.52</v>
      </c>
      <c r="W220">
        <v>0</v>
      </c>
      <c r="X220">
        <v>98.95</v>
      </c>
      <c r="Y220">
        <v>79.44</v>
      </c>
      <c r="Z220">
        <v>78.8</v>
      </c>
      <c r="AA220" s="7">
        <f t="shared" si="27"/>
        <v>1349</v>
      </c>
    </row>
    <row r="221" spans="1:27">
      <c r="A221" s="1">
        <v>45895</v>
      </c>
      <c r="B221">
        <v>62.41</v>
      </c>
      <c r="C221">
        <v>59.61</v>
      </c>
      <c r="D221">
        <v>63.05</v>
      </c>
      <c r="E221">
        <v>67</v>
      </c>
      <c r="F221">
        <v>58.25</v>
      </c>
      <c r="G221">
        <v>58.89</v>
      </c>
      <c r="H221">
        <v>60.08</v>
      </c>
      <c r="I221">
        <v>58.22</v>
      </c>
      <c r="J221">
        <v>61.25</v>
      </c>
      <c r="K221">
        <v>63.4</v>
      </c>
      <c r="L221">
        <v>56.35</v>
      </c>
      <c r="M221" t="e">
        <v>#N/A</v>
      </c>
      <c r="N221">
        <v>98.4</v>
      </c>
      <c r="O221">
        <v>94.7</v>
      </c>
      <c r="P221">
        <v>94.74</v>
      </c>
      <c r="Q221" t="e">
        <v>#N/A</v>
      </c>
      <c r="R221">
        <v>100.5</v>
      </c>
      <c r="S221" t="e">
        <v>#N/A</v>
      </c>
      <c r="T221">
        <v>98.09</v>
      </c>
      <c r="U221">
        <v>94.71</v>
      </c>
      <c r="V221">
        <v>94.54</v>
      </c>
      <c r="W221">
        <v>0</v>
      </c>
      <c r="X221">
        <v>100.25</v>
      </c>
      <c r="Y221">
        <v>78.5</v>
      </c>
      <c r="Z221">
        <v>78.5</v>
      </c>
      <c r="AA221" s="7">
        <f t="shared" si="27"/>
        <v>1350</v>
      </c>
    </row>
    <row r="222" spans="1:27">
      <c r="A222" s="1">
        <v>45896</v>
      </c>
      <c r="B222">
        <v>63.08</v>
      </c>
      <c r="C222">
        <v>59.9</v>
      </c>
      <c r="D222">
        <v>63.3</v>
      </c>
      <c r="E222">
        <v>67.5</v>
      </c>
      <c r="F222">
        <v>58.1</v>
      </c>
      <c r="G222">
        <v>58.71</v>
      </c>
      <c r="H222">
        <v>60.08</v>
      </c>
      <c r="I222">
        <v>58.42</v>
      </c>
      <c r="J222">
        <v>61.06</v>
      </c>
      <c r="K222">
        <v>63.4</v>
      </c>
      <c r="L222">
        <v>56.17</v>
      </c>
      <c r="M222" t="e">
        <v>#N/A</v>
      </c>
      <c r="N222">
        <v>98.45</v>
      </c>
      <c r="O222">
        <v>94.45</v>
      </c>
      <c r="P222">
        <v>94.5</v>
      </c>
      <c r="Q222" t="e">
        <v>#N/A</v>
      </c>
      <c r="R222">
        <v>101.55</v>
      </c>
      <c r="S222" t="e">
        <v>#N/A</v>
      </c>
      <c r="T222">
        <v>98.15</v>
      </c>
      <c r="U222">
        <v>94.3</v>
      </c>
      <c r="V222">
        <v>94.32</v>
      </c>
      <c r="W222">
        <v>0</v>
      </c>
      <c r="X222">
        <v>101.25</v>
      </c>
      <c r="Y222">
        <v>77.5</v>
      </c>
      <c r="Z222">
        <v>77.010000000000005</v>
      </c>
      <c r="AA222" s="7">
        <f t="shared" si="27"/>
        <v>1351</v>
      </c>
    </row>
    <row r="223" spans="1:27">
      <c r="A223" s="1">
        <v>45897</v>
      </c>
      <c r="B223">
        <v>62.71</v>
      </c>
      <c r="C223">
        <v>60.6</v>
      </c>
      <c r="D223">
        <v>64.150000000000006</v>
      </c>
      <c r="E223">
        <v>68.05</v>
      </c>
      <c r="F223">
        <v>58.8</v>
      </c>
      <c r="G223">
        <v>58.38</v>
      </c>
      <c r="H223">
        <v>60.88</v>
      </c>
      <c r="I223">
        <v>58.77</v>
      </c>
      <c r="J223">
        <v>62</v>
      </c>
      <c r="K223">
        <v>64.3</v>
      </c>
      <c r="L223">
        <v>57.15</v>
      </c>
      <c r="M223" t="e">
        <v>#N/A</v>
      </c>
      <c r="N223">
        <v>98.56</v>
      </c>
      <c r="O223">
        <v>95.63</v>
      </c>
      <c r="P223">
        <v>95.26</v>
      </c>
      <c r="Q223" t="e">
        <v>#N/A</v>
      </c>
      <c r="R223">
        <v>101.2</v>
      </c>
      <c r="S223" t="e">
        <v>#N/A</v>
      </c>
      <c r="T223">
        <v>98.75</v>
      </c>
      <c r="U223">
        <v>95.3</v>
      </c>
      <c r="V223">
        <v>95.1</v>
      </c>
      <c r="W223">
        <v>0</v>
      </c>
      <c r="X223">
        <v>101.1</v>
      </c>
      <c r="Y223">
        <v>77.349999999999994</v>
      </c>
      <c r="Z223">
        <v>77.3</v>
      </c>
      <c r="AA223" s="7">
        <f t="shared" si="27"/>
        <v>1352</v>
      </c>
    </row>
    <row r="224" spans="1:27">
      <c r="A224" s="1">
        <v>45898</v>
      </c>
      <c r="B224">
        <v>62.66</v>
      </c>
      <c r="C224">
        <v>60.63</v>
      </c>
      <c r="D224">
        <v>63.79</v>
      </c>
      <c r="E224">
        <v>67.81</v>
      </c>
      <c r="F224">
        <v>58.69</v>
      </c>
      <c r="G224">
        <v>58.75</v>
      </c>
      <c r="H224">
        <v>60.78</v>
      </c>
      <c r="I224">
        <v>58.87</v>
      </c>
      <c r="J224">
        <v>61.79</v>
      </c>
      <c r="K224">
        <v>64</v>
      </c>
      <c r="L224">
        <v>56.75</v>
      </c>
      <c r="M224" t="e">
        <v>#N/A</v>
      </c>
      <c r="N224">
        <v>99.2</v>
      </c>
      <c r="O224">
        <v>95.9</v>
      </c>
      <c r="P224">
        <v>95.65</v>
      </c>
      <c r="Q224" t="e">
        <v>#N/A</v>
      </c>
      <c r="R224">
        <v>101.5</v>
      </c>
      <c r="S224" t="e">
        <v>#N/A</v>
      </c>
      <c r="T224">
        <v>99.05</v>
      </c>
      <c r="U224">
        <v>95.7</v>
      </c>
      <c r="V224">
        <v>95.5</v>
      </c>
      <c r="W224">
        <v>0</v>
      </c>
      <c r="X224">
        <v>101.25</v>
      </c>
      <c r="Y224">
        <v>77.33</v>
      </c>
      <c r="Z224">
        <v>77.25</v>
      </c>
      <c r="AA224" s="7">
        <f t="shared" si="27"/>
        <v>1353</v>
      </c>
    </row>
    <row r="225" spans="1:27">
      <c r="A225" s="1">
        <v>45901</v>
      </c>
      <c r="B225">
        <v>63.15</v>
      </c>
      <c r="C225">
        <v>59.5</v>
      </c>
      <c r="D225">
        <v>62.4</v>
      </c>
      <c r="E225">
        <v>66.56</v>
      </c>
      <c r="F225">
        <v>57.45</v>
      </c>
      <c r="G225">
        <v>57.96</v>
      </c>
      <c r="H225">
        <v>60.1</v>
      </c>
      <c r="I225">
        <v>57.77</v>
      </c>
      <c r="J225">
        <v>60.14</v>
      </c>
      <c r="K225">
        <v>62.38</v>
      </c>
      <c r="L225">
        <v>54.89</v>
      </c>
      <c r="M225" t="e">
        <v>#N/A</v>
      </c>
      <c r="N225">
        <v>98.97</v>
      </c>
      <c r="O225">
        <v>95.85</v>
      </c>
      <c r="P225">
        <v>95.75</v>
      </c>
      <c r="Q225" t="e">
        <v>#N/A</v>
      </c>
      <c r="R225">
        <v>100.95</v>
      </c>
      <c r="S225" t="e">
        <v>#N/A</v>
      </c>
      <c r="T225">
        <v>98.7</v>
      </c>
      <c r="U225">
        <v>95.75</v>
      </c>
      <c r="V225">
        <v>95.74</v>
      </c>
      <c r="W225">
        <v>0</v>
      </c>
      <c r="X225">
        <v>100.8</v>
      </c>
      <c r="Y225">
        <v>77.17</v>
      </c>
      <c r="Z225">
        <v>77</v>
      </c>
      <c r="AA225" s="7">
        <f t="shared" si="27"/>
        <v>1354</v>
      </c>
    </row>
    <row r="226" spans="1:27">
      <c r="A226" s="1">
        <v>45902</v>
      </c>
      <c r="B226">
        <v>63.39</v>
      </c>
      <c r="C226">
        <v>59.1</v>
      </c>
      <c r="D226">
        <v>61.95</v>
      </c>
      <c r="E226">
        <v>66.150000000000006</v>
      </c>
      <c r="F226">
        <v>56.77</v>
      </c>
      <c r="G226">
        <v>56.5</v>
      </c>
      <c r="H226">
        <v>59.7</v>
      </c>
      <c r="I226">
        <v>57.25</v>
      </c>
      <c r="J226">
        <v>59.58</v>
      </c>
      <c r="K226">
        <v>61.29</v>
      </c>
      <c r="L226">
        <v>54.09</v>
      </c>
      <c r="M226" t="e">
        <v>#N/A</v>
      </c>
      <c r="N226">
        <v>98.75</v>
      </c>
      <c r="O226">
        <v>95.79</v>
      </c>
      <c r="P226">
        <v>94.7</v>
      </c>
      <c r="Q226" t="e">
        <v>#N/A</v>
      </c>
      <c r="R226">
        <v>100.8</v>
      </c>
      <c r="S226" t="e">
        <v>#N/A</v>
      </c>
      <c r="T226">
        <v>98.75</v>
      </c>
      <c r="U226">
        <v>95.1</v>
      </c>
      <c r="V226">
        <v>94.5</v>
      </c>
      <c r="W226">
        <v>0</v>
      </c>
      <c r="X226">
        <v>100.65</v>
      </c>
      <c r="Y226">
        <v>76.62</v>
      </c>
      <c r="Z226">
        <v>75.97</v>
      </c>
      <c r="AA226" s="7">
        <f t="shared" si="27"/>
        <v>1355</v>
      </c>
    </row>
    <row r="227" spans="1:27">
      <c r="A227" s="1">
        <v>45903</v>
      </c>
      <c r="B227">
        <v>62.21</v>
      </c>
      <c r="C227">
        <v>58.81</v>
      </c>
      <c r="D227">
        <v>62.18</v>
      </c>
      <c r="E227">
        <v>66.040000000000006</v>
      </c>
      <c r="F227">
        <v>57.28</v>
      </c>
      <c r="G227">
        <v>58.09</v>
      </c>
      <c r="H227">
        <v>59.3</v>
      </c>
      <c r="I227">
        <v>57.08</v>
      </c>
      <c r="J227">
        <v>59.74</v>
      </c>
      <c r="K227">
        <v>61.4</v>
      </c>
      <c r="L227">
        <v>55.75</v>
      </c>
      <c r="M227" t="e">
        <v>#N/A</v>
      </c>
      <c r="N227">
        <v>99.5</v>
      </c>
      <c r="O227">
        <v>95.01</v>
      </c>
      <c r="P227">
        <v>95.05</v>
      </c>
      <c r="Q227" t="e">
        <v>#N/A</v>
      </c>
      <c r="R227">
        <v>100.75</v>
      </c>
      <c r="S227" t="e">
        <v>#N/A</v>
      </c>
      <c r="T227">
        <v>99.15</v>
      </c>
      <c r="U227">
        <v>95.3</v>
      </c>
      <c r="V227">
        <v>94.96</v>
      </c>
      <c r="W227">
        <v>0</v>
      </c>
      <c r="X227">
        <v>100.3</v>
      </c>
      <c r="Y227">
        <v>75.180000000000007</v>
      </c>
      <c r="Z227">
        <v>75.55</v>
      </c>
      <c r="AA227" s="7">
        <f t="shared" si="27"/>
        <v>1356</v>
      </c>
    </row>
    <row r="228" spans="1:27">
      <c r="A228" s="1">
        <v>45904</v>
      </c>
      <c r="B228">
        <v>62.41</v>
      </c>
      <c r="C228">
        <v>58.88</v>
      </c>
      <c r="D228">
        <v>62.09</v>
      </c>
      <c r="E228">
        <v>66.14</v>
      </c>
      <c r="F228">
        <v>57.7</v>
      </c>
      <c r="G228">
        <v>57.46</v>
      </c>
      <c r="H228">
        <v>59.45</v>
      </c>
      <c r="I228">
        <v>56.71</v>
      </c>
      <c r="J228">
        <v>59.93</v>
      </c>
      <c r="K228">
        <v>61.59</v>
      </c>
      <c r="L228">
        <v>55.7</v>
      </c>
      <c r="M228" t="e">
        <v>#N/A</v>
      </c>
      <c r="N228">
        <v>99.67</v>
      </c>
      <c r="O228">
        <v>95.61</v>
      </c>
      <c r="P228">
        <v>95.25</v>
      </c>
      <c r="Q228" t="e">
        <v>#N/A</v>
      </c>
      <c r="R228">
        <v>100.5</v>
      </c>
      <c r="S228" t="e">
        <v>#N/A</v>
      </c>
      <c r="T228">
        <v>99.33</v>
      </c>
      <c r="U228">
        <v>95.5</v>
      </c>
      <c r="V228">
        <v>95.21</v>
      </c>
      <c r="W228">
        <v>0</v>
      </c>
      <c r="X228">
        <v>100.4</v>
      </c>
      <c r="Y228">
        <v>75.28</v>
      </c>
      <c r="Z228">
        <v>75.2</v>
      </c>
      <c r="AA228" s="7">
        <f t="shared" si="27"/>
        <v>1357</v>
      </c>
    </row>
    <row r="229" spans="1:27">
      <c r="A229" s="1">
        <v>45905</v>
      </c>
      <c r="B229">
        <v>62</v>
      </c>
      <c r="C229">
        <v>58.88</v>
      </c>
      <c r="D229">
        <v>62.52</v>
      </c>
      <c r="E229">
        <v>66.05</v>
      </c>
      <c r="F229">
        <v>58</v>
      </c>
      <c r="G229">
        <v>57.59</v>
      </c>
      <c r="H229">
        <v>58.88</v>
      </c>
      <c r="I229">
        <v>56.3</v>
      </c>
      <c r="J229">
        <v>59.8</v>
      </c>
      <c r="K229">
        <v>61.3</v>
      </c>
      <c r="L229">
        <v>56.38</v>
      </c>
      <c r="M229" t="e">
        <v>#N/A</v>
      </c>
      <c r="N229">
        <v>99.9</v>
      </c>
      <c r="O229">
        <v>95.5</v>
      </c>
      <c r="P229">
        <v>94.85</v>
      </c>
      <c r="Q229" t="e">
        <v>#N/A</v>
      </c>
      <c r="R229">
        <v>100.45</v>
      </c>
      <c r="S229" t="e">
        <v>#N/A</v>
      </c>
      <c r="T229">
        <v>99.79</v>
      </c>
      <c r="U229">
        <v>95.39</v>
      </c>
      <c r="V229">
        <v>94.89</v>
      </c>
      <c r="W229">
        <v>0</v>
      </c>
      <c r="X229">
        <v>100.35</v>
      </c>
      <c r="Y229">
        <v>75.38</v>
      </c>
      <c r="Z229">
        <v>74.650000000000006</v>
      </c>
      <c r="AA229" s="7">
        <f t="shared" si="27"/>
        <v>1358</v>
      </c>
    </row>
    <row r="230" spans="1:27">
      <c r="A230" s="1">
        <v>45908</v>
      </c>
      <c r="B230">
        <v>58.27</v>
      </c>
      <c r="C230">
        <v>55.4</v>
      </c>
      <c r="D230">
        <v>56.07</v>
      </c>
      <c r="E230">
        <v>60</v>
      </c>
      <c r="F230">
        <v>52</v>
      </c>
      <c r="G230">
        <v>53.43</v>
      </c>
      <c r="H230">
        <v>54.95</v>
      </c>
      <c r="I230">
        <v>52.47</v>
      </c>
      <c r="J230">
        <v>53.52</v>
      </c>
      <c r="K230">
        <v>55.65</v>
      </c>
      <c r="L230">
        <v>50.35</v>
      </c>
      <c r="M230" t="e">
        <v>#N/A</v>
      </c>
      <c r="N230">
        <v>98.65</v>
      </c>
      <c r="O230">
        <v>93.28</v>
      </c>
      <c r="P230">
        <v>93.13</v>
      </c>
      <c r="Q230" t="e">
        <v>#N/A</v>
      </c>
      <c r="R230">
        <v>99.11</v>
      </c>
      <c r="S230" t="e">
        <v>#N/A</v>
      </c>
      <c r="T230">
        <v>98.62</v>
      </c>
      <c r="U230">
        <v>93.4</v>
      </c>
      <c r="V230">
        <v>92.75</v>
      </c>
      <c r="W230">
        <v>0</v>
      </c>
      <c r="X230">
        <v>99.31</v>
      </c>
      <c r="Y230">
        <v>70.739999999999995</v>
      </c>
      <c r="Z230">
        <v>70.5</v>
      </c>
      <c r="AA230" s="7">
        <f t="shared" si="27"/>
        <v>1359</v>
      </c>
    </row>
    <row r="231" spans="1:27">
      <c r="A231" s="1">
        <v>45909</v>
      </c>
      <c r="B231">
        <v>59.5</v>
      </c>
      <c r="C231">
        <v>56.7</v>
      </c>
      <c r="D231">
        <v>57.7</v>
      </c>
      <c r="E231">
        <v>61.51</v>
      </c>
      <c r="F231">
        <v>54.11</v>
      </c>
      <c r="G231">
        <v>53.93</v>
      </c>
      <c r="H231">
        <v>56.49</v>
      </c>
      <c r="I231">
        <v>53.93</v>
      </c>
      <c r="J231">
        <v>55.3</v>
      </c>
      <c r="K231">
        <v>56.62</v>
      </c>
      <c r="L231">
        <v>51.63</v>
      </c>
      <c r="M231" t="e">
        <v>#N/A</v>
      </c>
      <c r="N231">
        <v>98.99</v>
      </c>
      <c r="O231">
        <v>93.5</v>
      </c>
      <c r="P231">
        <v>92.99</v>
      </c>
      <c r="Q231" t="e">
        <v>#N/A</v>
      </c>
      <c r="R231">
        <v>100.15</v>
      </c>
      <c r="S231" t="e">
        <v>#N/A</v>
      </c>
      <c r="T231">
        <v>98.41</v>
      </c>
      <c r="U231">
        <v>93.48</v>
      </c>
      <c r="V231">
        <v>92.72</v>
      </c>
      <c r="W231">
        <v>0</v>
      </c>
      <c r="X231">
        <v>99.86</v>
      </c>
      <c r="Y231">
        <v>71.5</v>
      </c>
      <c r="Z231">
        <v>70.5</v>
      </c>
      <c r="AA231" s="7">
        <f t="shared" si="27"/>
        <v>1360</v>
      </c>
    </row>
    <row r="232" spans="1:27">
      <c r="A232" s="1">
        <v>45910</v>
      </c>
      <c r="B232">
        <v>60.27</v>
      </c>
      <c r="C232">
        <v>57.4</v>
      </c>
      <c r="D232">
        <v>58.84</v>
      </c>
      <c r="E232">
        <v>63</v>
      </c>
      <c r="F232">
        <v>55.25</v>
      </c>
      <c r="G232">
        <v>54.61</v>
      </c>
      <c r="H232">
        <v>57.7</v>
      </c>
      <c r="I232">
        <v>54.74</v>
      </c>
      <c r="J232">
        <v>56.45</v>
      </c>
      <c r="K232">
        <v>57.6</v>
      </c>
      <c r="L232">
        <v>52.92</v>
      </c>
      <c r="M232" t="e">
        <v>#N/A</v>
      </c>
      <c r="N232">
        <v>98.95</v>
      </c>
      <c r="O232">
        <v>92.99</v>
      </c>
      <c r="P232">
        <v>91.77</v>
      </c>
      <c r="Q232" t="e">
        <v>#N/A</v>
      </c>
      <c r="R232">
        <v>100</v>
      </c>
      <c r="S232" t="e">
        <v>#N/A</v>
      </c>
      <c r="T232">
        <v>98.45</v>
      </c>
      <c r="U232">
        <v>92.74</v>
      </c>
      <c r="V232">
        <v>91.3</v>
      </c>
      <c r="W232">
        <v>0</v>
      </c>
      <c r="X232">
        <v>99.56</v>
      </c>
      <c r="Y232">
        <v>70.5</v>
      </c>
      <c r="Z232">
        <v>70.3</v>
      </c>
      <c r="AA232" s="7">
        <f t="shared" si="27"/>
        <v>1361</v>
      </c>
    </row>
    <row r="233" spans="1:27">
      <c r="A233" s="1">
        <v>45911</v>
      </c>
      <c r="B233">
        <v>60</v>
      </c>
      <c r="C233">
        <v>57.14</v>
      </c>
      <c r="D233">
        <v>58.03</v>
      </c>
      <c r="E233">
        <v>61.43</v>
      </c>
      <c r="F233">
        <v>54.4</v>
      </c>
      <c r="G233">
        <v>54.15</v>
      </c>
      <c r="H233">
        <v>56.75</v>
      </c>
      <c r="I233">
        <v>54.03</v>
      </c>
      <c r="J233">
        <v>55.78</v>
      </c>
      <c r="K233">
        <v>56.6</v>
      </c>
      <c r="L233">
        <v>52.88</v>
      </c>
      <c r="M233" t="e">
        <v>#N/A</v>
      </c>
      <c r="N233">
        <v>99.55</v>
      </c>
      <c r="O233">
        <v>92.75</v>
      </c>
      <c r="P233">
        <v>92</v>
      </c>
      <c r="Q233" t="e">
        <v>#N/A</v>
      </c>
      <c r="R233">
        <v>100.05</v>
      </c>
      <c r="S233" t="e">
        <v>#N/A</v>
      </c>
      <c r="T233">
        <v>99.31</v>
      </c>
      <c r="U233">
        <v>92.99</v>
      </c>
      <c r="V233">
        <v>91.75</v>
      </c>
      <c r="W233">
        <v>0</v>
      </c>
      <c r="X233">
        <v>99.79</v>
      </c>
      <c r="Y233">
        <v>70.400000000000006</v>
      </c>
      <c r="Z233">
        <v>70.02</v>
      </c>
      <c r="AA233" s="7">
        <f t="shared" si="27"/>
        <v>1362</v>
      </c>
    </row>
    <row r="234" spans="1:27">
      <c r="A234" s="1">
        <v>45912</v>
      </c>
      <c r="B234">
        <v>56.41</v>
      </c>
      <c r="C234">
        <v>55.08</v>
      </c>
      <c r="D234">
        <v>55.72</v>
      </c>
      <c r="E234">
        <v>59.01</v>
      </c>
      <c r="F234">
        <v>52.15</v>
      </c>
      <c r="G234">
        <v>52.37</v>
      </c>
      <c r="H234">
        <v>54.02</v>
      </c>
      <c r="I234">
        <v>52.07</v>
      </c>
      <c r="J234">
        <v>52.99</v>
      </c>
      <c r="K234">
        <v>53.57</v>
      </c>
      <c r="L234">
        <v>50</v>
      </c>
      <c r="M234" t="e">
        <v>#N/A</v>
      </c>
      <c r="N234">
        <v>98.5</v>
      </c>
      <c r="O234">
        <v>93</v>
      </c>
      <c r="P234">
        <v>90.52</v>
      </c>
      <c r="Q234" t="e">
        <v>#N/A</v>
      </c>
      <c r="R234">
        <v>99.65</v>
      </c>
      <c r="S234" t="e">
        <v>#N/A</v>
      </c>
      <c r="T234">
        <v>98.75</v>
      </c>
      <c r="U234">
        <v>92.43</v>
      </c>
      <c r="V234">
        <v>90.45</v>
      </c>
      <c r="W234">
        <v>0</v>
      </c>
      <c r="X234">
        <v>99.52</v>
      </c>
      <c r="Y234">
        <v>69</v>
      </c>
      <c r="Z234">
        <v>68.5</v>
      </c>
      <c r="AA234" s="7">
        <f t="shared" si="27"/>
        <v>1363</v>
      </c>
    </row>
    <row r="235" spans="1:27">
      <c r="A235" s="1">
        <v>45915</v>
      </c>
      <c r="B235">
        <v>56.1</v>
      </c>
      <c r="C235">
        <v>53.64</v>
      </c>
      <c r="D235">
        <v>53.04</v>
      </c>
      <c r="E235">
        <v>57.01</v>
      </c>
      <c r="F235">
        <v>49.62</v>
      </c>
      <c r="G235">
        <v>49.378</v>
      </c>
      <c r="H235">
        <v>52.04</v>
      </c>
      <c r="I235">
        <v>49.826999999999998</v>
      </c>
      <c r="J235">
        <v>50.56</v>
      </c>
      <c r="K235">
        <v>49.81</v>
      </c>
      <c r="L235">
        <v>47.225999999999999</v>
      </c>
      <c r="M235" t="e">
        <v>#N/A</v>
      </c>
      <c r="N235">
        <v>95.59</v>
      </c>
      <c r="O235">
        <v>87.6</v>
      </c>
      <c r="P235">
        <v>86</v>
      </c>
      <c r="Q235" t="e">
        <v>#N/A</v>
      </c>
      <c r="R235">
        <v>99.55</v>
      </c>
      <c r="S235" t="e">
        <v>#N/A</v>
      </c>
      <c r="T235">
        <v>95.25</v>
      </c>
      <c r="U235">
        <v>87.5</v>
      </c>
      <c r="V235">
        <v>85.69</v>
      </c>
      <c r="W235">
        <v>0</v>
      </c>
      <c r="X235">
        <v>99.1</v>
      </c>
      <c r="Y235">
        <v>66.739999999999995</v>
      </c>
      <c r="Z235">
        <v>66.5</v>
      </c>
      <c r="AA235" s="7">
        <f t="shared" si="27"/>
        <v>1364</v>
      </c>
    </row>
    <row r="236" spans="1:27">
      <c r="A236" s="1">
        <v>45916</v>
      </c>
      <c r="B236">
        <v>58.31</v>
      </c>
      <c r="C236">
        <v>54.95</v>
      </c>
      <c r="D236">
        <v>55.5</v>
      </c>
      <c r="E236">
        <v>58.7</v>
      </c>
      <c r="F236">
        <v>52.33</v>
      </c>
      <c r="G236">
        <v>50.42</v>
      </c>
      <c r="H236">
        <v>54.8</v>
      </c>
      <c r="I236">
        <v>51.39</v>
      </c>
      <c r="J236">
        <v>52.72</v>
      </c>
      <c r="K236">
        <v>53.28</v>
      </c>
      <c r="L236">
        <v>49.542000000000002</v>
      </c>
      <c r="M236" t="e">
        <v>#N/A</v>
      </c>
      <c r="N236">
        <v>97.1</v>
      </c>
      <c r="O236">
        <v>89.99</v>
      </c>
      <c r="P236">
        <v>88.35</v>
      </c>
      <c r="Q236" t="e">
        <v>#N/A</v>
      </c>
      <c r="R236">
        <v>99.38</v>
      </c>
      <c r="S236" t="e">
        <v>#N/A</v>
      </c>
      <c r="T236">
        <v>96.75</v>
      </c>
      <c r="U236">
        <v>89.37</v>
      </c>
      <c r="V236">
        <v>87.79</v>
      </c>
      <c r="W236">
        <v>0</v>
      </c>
      <c r="X236">
        <v>99.1</v>
      </c>
      <c r="Y236">
        <v>66.599999999999994</v>
      </c>
      <c r="Z236">
        <v>66.5</v>
      </c>
      <c r="AA236" s="7">
        <f t="shared" si="27"/>
        <v>1365</v>
      </c>
    </row>
    <row r="237" spans="1:27">
      <c r="A237" s="1">
        <v>45917</v>
      </c>
      <c r="B237">
        <v>56.05</v>
      </c>
      <c r="C237">
        <v>52.5</v>
      </c>
      <c r="D237">
        <v>53.35</v>
      </c>
      <c r="E237">
        <v>56.25</v>
      </c>
      <c r="F237">
        <v>50.21</v>
      </c>
      <c r="G237">
        <v>49.423000000000002</v>
      </c>
      <c r="H237">
        <v>53.37</v>
      </c>
      <c r="I237">
        <v>49.89</v>
      </c>
      <c r="J237">
        <v>50.53</v>
      </c>
      <c r="K237">
        <v>51.95</v>
      </c>
      <c r="L237">
        <v>47.725999999999999</v>
      </c>
      <c r="M237" t="e">
        <v>#N/A</v>
      </c>
      <c r="N237">
        <v>97</v>
      </c>
      <c r="O237">
        <v>88.95</v>
      </c>
      <c r="P237">
        <v>87.59</v>
      </c>
      <c r="Q237" t="e">
        <v>#N/A</v>
      </c>
      <c r="R237">
        <v>99.03</v>
      </c>
      <c r="S237" t="e">
        <v>#N/A</v>
      </c>
      <c r="T237">
        <v>96.5</v>
      </c>
      <c r="U237">
        <v>88.44</v>
      </c>
      <c r="V237">
        <v>87.7</v>
      </c>
      <c r="W237">
        <v>0</v>
      </c>
      <c r="X237">
        <v>98.75</v>
      </c>
      <c r="Y237">
        <v>66.19</v>
      </c>
      <c r="Z237">
        <v>65.25</v>
      </c>
      <c r="AA237" s="7">
        <f t="shared" si="27"/>
        <v>1366</v>
      </c>
    </row>
    <row r="238" spans="1:27">
      <c r="A238" s="1">
        <v>45918</v>
      </c>
      <c r="B238">
        <v>51.8</v>
      </c>
      <c r="C238">
        <v>48.07</v>
      </c>
      <c r="D238">
        <v>48.66</v>
      </c>
      <c r="E238">
        <v>52.48</v>
      </c>
      <c r="F238">
        <v>44.750999999999998</v>
      </c>
      <c r="G238">
        <v>45</v>
      </c>
      <c r="H238">
        <v>47.5</v>
      </c>
      <c r="I238">
        <v>45.2</v>
      </c>
      <c r="J238">
        <v>44</v>
      </c>
      <c r="K238">
        <v>45.1</v>
      </c>
      <c r="L238">
        <v>42.2</v>
      </c>
      <c r="M238" t="e">
        <v>#N/A</v>
      </c>
      <c r="N238">
        <v>91.05</v>
      </c>
      <c r="O238">
        <v>80.8</v>
      </c>
      <c r="P238">
        <v>79.95</v>
      </c>
      <c r="Q238" t="e">
        <v>#N/A</v>
      </c>
      <c r="R238">
        <v>95.45</v>
      </c>
      <c r="S238" t="e">
        <v>#N/A</v>
      </c>
      <c r="T238">
        <v>88</v>
      </c>
      <c r="U238">
        <v>80.39</v>
      </c>
      <c r="V238">
        <v>80.25</v>
      </c>
      <c r="W238">
        <v>0</v>
      </c>
      <c r="X238">
        <v>92.05</v>
      </c>
      <c r="Y238">
        <v>59</v>
      </c>
      <c r="Z238">
        <v>58.52</v>
      </c>
      <c r="AA238" s="7">
        <f t="shared" si="27"/>
        <v>1367</v>
      </c>
    </row>
    <row r="239" spans="1:27">
      <c r="A239" s="1">
        <v>45919</v>
      </c>
      <c r="B239">
        <v>50.62</v>
      </c>
      <c r="C239">
        <v>47.01</v>
      </c>
      <c r="D239">
        <v>49.3</v>
      </c>
      <c r="E239">
        <v>52.01</v>
      </c>
      <c r="F239">
        <v>47.09</v>
      </c>
      <c r="G239">
        <v>46</v>
      </c>
      <c r="H239">
        <v>47.298000000000002</v>
      </c>
      <c r="I239">
        <v>44</v>
      </c>
      <c r="J239">
        <v>45.39</v>
      </c>
      <c r="K239">
        <v>45</v>
      </c>
      <c r="L239">
        <v>42.25</v>
      </c>
      <c r="M239" t="e">
        <v>#N/A</v>
      </c>
      <c r="N239">
        <v>87.5</v>
      </c>
      <c r="O239">
        <v>78.489999999999995</v>
      </c>
      <c r="P239">
        <v>78</v>
      </c>
      <c r="Q239" t="e">
        <v>#N/A</v>
      </c>
      <c r="R239">
        <v>96.73</v>
      </c>
      <c r="S239" t="e">
        <v>#N/A</v>
      </c>
      <c r="T239">
        <v>86.34</v>
      </c>
      <c r="U239">
        <v>76.5</v>
      </c>
      <c r="V239">
        <v>77.010000000000005</v>
      </c>
      <c r="W239">
        <v>0</v>
      </c>
      <c r="X239">
        <v>96</v>
      </c>
      <c r="Y239">
        <v>56.78</v>
      </c>
      <c r="Z239">
        <v>55.33</v>
      </c>
      <c r="AA239" s="7">
        <f t="shared" si="27"/>
        <v>1368</v>
      </c>
    </row>
    <row r="240" spans="1:27">
      <c r="A240" s="1">
        <v>45922</v>
      </c>
      <c r="B240">
        <v>59.16</v>
      </c>
      <c r="C240">
        <v>55.11</v>
      </c>
      <c r="D240">
        <v>57.5</v>
      </c>
      <c r="E240">
        <v>61.5</v>
      </c>
      <c r="F240">
        <v>54</v>
      </c>
      <c r="G240">
        <v>53.53</v>
      </c>
      <c r="H240">
        <v>55.75</v>
      </c>
      <c r="I240">
        <v>52.47</v>
      </c>
      <c r="J240">
        <v>54.94</v>
      </c>
      <c r="K240">
        <v>55.89</v>
      </c>
      <c r="L240">
        <v>50.73</v>
      </c>
      <c r="M240" t="e">
        <v>#N/A</v>
      </c>
      <c r="N240">
        <v>97.65</v>
      </c>
      <c r="O240">
        <v>90</v>
      </c>
      <c r="P240">
        <v>90</v>
      </c>
      <c r="Q240" t="e">
        <v>#N/A</v>
      </c>
      <c r="R240">
        <v>98.96</v>
      </c>
      <c r="S240" t="e">
        <v>#N/A</v>
      </c>
      <c r="T240">
        <v>97</v>
      </c>
      <c r="U240">
        <v>89.8</v>
      </c>
      <c r="V240">
        <v>89.8</v>
      </c>
      <c r="W240">
        <v>0</v>
      </c>
      <c r="X240">
        <v>98.43</v>
      </c>
      <c r="Y240">
        <v>66.150000000000006</v>
      </c>
      <c r="Z240">
        <v>63.5</v>
      </c>
      <c r="AA240" s="7">
        <f t="shared" si="27"/>
        <v>1369</v>
      </c>
    </row>
    <row r="241" spans="1:27">
      <c r="A241" s="1">
        <v>45923</v>
      </c>
      <c r="B241">
        <v>61.3</v>
      </c>
      <c r="C241">
        <v>58.09</v>
      </c>
      <c r="D241">
        <v>59.52</v>
      </c>
      <c r="E241">
        <v>63</v>
      </c>
      <c r="F241">
        <v>55.7</v>
      </c>
      <c r="G241">
        <v>56</v>
      </c>
      <c r="H241">
        <v>59.7</v>
      </c>
      <c r="I241">
        <v>55.8</v>
      </c>
      <c r="J241">
        <v>57.28</v>
      </c>
      <c r="K241">
        <v>58.5</v>
      </c>
      <c r="L241">
        <v>53.75</v>
      </c>
      <c r="M241" t="e">
        <v>#N/A</v>
      </c>
      <c r="N241">
        <v>97.93</v>
      </c>
      <c r="O241">
        <v>89.85</v>
      </c>
      <c r="P241">
        <v>88.69</v>
      </c>
      <c r="Q241" t="e">
        <v>#N/A</v>
      </c>
      <c r="R241">
        <v>99.8</v>
      </c>
      <c r="S241" t="e">
        <v>#N/A</v>
      </c>
      <c r="T241">
        <v>97.25</v>
      </c>
      <c r="U241">
        <v>89.83</v>
      </c>
      <c r="V241">
        <v>88.75</v>
      </c>
      <c r="W241">
        <v>0</v>
      </c>
      <c r="X241">
        <v>99.25</v>
      </c>
      <c r="Y241">
        <v>68.75</v>
      </c>
      <c r="Z241">
        <v>69</v>
      </c>
      <c r="AA241" s="7">
        <f t="shared" si="27"/>
        <v>1370</v>
      </c>
    </row>
    <row r="242" spans="1:27">
      <c r="A242" s="1">
        <v>45924</v>
      </c>
      <c r="B242">
        <v>63.75</v>
      </c>
      <c r="C242">
        <v>60.41</v>
      </c>
      <c r="D242">
        <v>63</v>
      </c>
      <c r="E242">
        <v>67.2</v>
      </c>
      <c r="F242">
        <v>57.9</v>
      </c>
      <c r="G242">
        <v>59.7</v>
      </c>
      <c r="H242">
        <v>62.47</v>
      </c>
      <c r="I242">
        <v>58.76</v>
      </c>
      <c r="J242">
        <v>59.95</v>
      </c>
      <c r="K242">
        <v>61.79</v>
      </c>
      <c r="L242">
        <v>56.5</v>
      </c>
      <c r="M242" t="e">
        <v>#N/A</v>
      </c>
      <c r="N242">
        <v>97.4</v>
      </c>
      <c r="O242">
        <v>90.62</v>
      </c>
      <c r="P242">
        <v>89.12</v>
      </c>
      <c r="Q242" t="e">
        <v>#N/A</v>
      </c>
      <c r="R242">
        <v>99.82</v>
      </c>
      <c r="S242" t="e">
        <v>#N/A</v>
      </c>
      <c r="T242">
        <v>96.12</v>
      </c>
      <c r="U242">
        <v>89.7</v>
      </c>
      <c r="V242">
        <v>88.53</v>
      </c>
      <c r="W242">
        <v>0</v>
      </c>
      <c r="X242">
        <v>98.85</v>
      </c>
      <c r="Y242">
        <v>70.03</v>
      </c>
      <c r="Z242">
        <v>68.59</v>
      </c>
      <c r="AA242" s="7">
        <f t="shared" si="27"/>
        <v>1371</v>
      </c>
    </row>
    <row r="243" spans="1:27">
      <c r="A243" s="1">
        <v>45925</v>
      </c>
      <c r="B243">
        <v>61.8</v>
      </c>
      <c r="C243">
        <v>59.36</v>
      </c>
      <c r="D243">
        <v>60.62</v>
      </c>
      <c r="E243">
        <v>63.85</v>
      </c>
      <c r="F243">
        <v>56.1</v>
      </c>
      <c r="G243">
        <v>56.71</v>
      </c>
      <c r="H243">
        <v>60.25</v>
      </c>
      <c r="I243">
        <v>56.77</v>
      </c>
      <c r="J243">
        <v>57.8</v>
      </c>
      <c r="K243">
        <v>58.98</v>
      </c>
      <c r="L243">
        <v>54.79</v>
      </c>
      <c r="M243" t="e">
        <v>#N/A</v>
      </c>
      <c r="N243">
        <v>98.82</v>
      </c>
      <c r="O243">
        <v>90.65</v>
      </c>
      <c r="P243">
        <v>88.8</v>
      </c>
      <c r="Q243" t="e">
        <v>#N/A</v>
      </c>
      <c r="R243">
        <v>101.05</v>
      </c>
      <c r="S243" t="e">
        <v>#N/A</v>
      </c>
      <c r="T243">
        <v>97.17</v>
      </c>
      <c r="U243">
        <v>89.25</v>
      </c>
      <c r="V243">
        <v>88.52</v>
      </c>
      <c r="W243">
        <v>0</v>
      </c>
      <c r="X243">
        <v>99</v>
      </c>
      <c r="Y243">
        <v>67.510000000000005</v>
      </c>
      <c r="Z243">
        <v>66.5</v>
      </c>
      <c r="AA243" s="7">
        <f t="shared" si="27"/>
        <v>1372</v>
      </c>
    </row>
    <row r="244" spans="1:27">
      <c r="A244" s="1">
        <v>45926</v>
      </c>
      <c r="B244">
        <v>60.64</v>
      </c>
      <c r="C244">
        <v>57.01</v>
      </c>
      <c r="D244">
        <v>58.99</v>
      </c>
      <c r="E244">
        <v>62</v>
      </c>
      <c r="F244">
        <v>53.21</v>
      </c>
      <c r="G244">
        <v>52.5</v>
      </c>
      <c r="H244">
        <v>57.95</v>
      </c>
      <c r="I244">
        <v>54.7</v>
      </c>
      <c r="J244">
        <v>54.7</v>
      </c>
      <c r="K244">
        <v>57.1</v>
      </c>
      <c r="L244">
        <v>51.91</v>
      </c>
      <c r="M244" t="e">
        <v>#N/A</v>
      </c>
      <c r="N244">
        <v>98.62</v>
      </c>
      <c r="O244">
        <v>91.5</v>
      </c>
      <c r="P244">
        <v>89.99</v>
      </c>
      <c r="Q244" t="e">
        <v>#N/A</v>
      </c>
      <c r="R244">
        <v>101.9</v>
      </c>
      <c r="S244" t="e">
        <v>#N/A</v>
      </c>
      <c r="T244">
        <v>97.19</v>
      </c>
      <c r="U244">
        <v>89.01</v>
      </c>
      <c r="V244">
        <v>86.86</v>
      </c>
      <c r="W244">
        <v>0</v>
      </c>
      <c r="X244">
        <v>99.3</v>
      </c>
      <c r="Y244">
        <v>67.040000000000006</v>
      </c>
      <c r="Z244">
        <v>65.67</v>
      </c>
      <c r="AA244" s="7">
        <f t="shared" si="27"/>
        <v>1373</v>
      </c>
    </row>
    <row r="245" spans="1:27">
      <c r="A245" s="1">
        <v>45929</v>
      </c>
      <c r="B245">
        <v>60.4</v>
      </c>
      <c r="C245">
        <v>56.63</v>
      </c>
      <c r="D245">
        <v>56.89</v>
      </c>
      <c r="E245">
        <v>61.01</v>
      </c>
      <c r="F245">
        <v>52.4</v>
      </c>
      <c r="G245">
        <v>52.02</v>
      </c>
      <c r="H245">
        <v>56.47</v>
      </c>
      <c r="I245">
        <v>53</v>
      </c>
      <c r="J245">
        <v>53.92</v>
      </c>
      <c r="K245">
        <v>55.4</v>
      </c>
      <c r="L245">
        <v>50.2</v>
      </c>
      <c r="M245" t="e">
        <v>#N/A</v>
      </c>
      <c r="N245">
        <v>96.31</v>
      </c>
      <c r="O245">
        <v>91.7</v>
      </c>
      <c r="P245">
        <v>90.4</v>
      </c>
      <c r="Q245" t="e">
        <v>#N/A</v>
      </c>
      <c r="R245">
        <v>101.9</v>
      </c>
      <c r="S245" t="e">
        <v>#N/A</v>
      </c>
      <c r="T245">
        <v>94.5</v>
      </c>
      <c r="U245">
        <v>89.25</v>
      </c>
      <c r="V245">
        <v>88</v>
      </c>
      <c r="W245">
        <v>0</v>
      </c>
      <c r="X245">
        <v>99.48</v>
      </c>
      <c r="Y245">
        <v>67.040000000000006</v>
      </c>
      <c r="Z245">
        <v>65.67</v>
      </c>
      <c r="AA245" s="7">
        <f t="shared" si="27"/>
        <v>1374</v>
      </c>
    </row>
    <row r="246" spans="1:27">
      <c r="A246" s="1">
        <v>45930</v>
      </c>
      <c r="B246">
        <v>58.9</v>
      </c>
      <c r="C246">
        <v>54.9</v>
      </c>
      <c r="D246">
        <v>54</v>
      </c>
      <c r="E246">
        <v>58.1</v>
      </c>
      <c r="F246">
        <v>49.451999999999998</v>
      </c>
      <c r="G246">
        <v>53.4</v>
      </c>
      <c r="H246">
        <v>53.05</v>
      </c>
      <c r="I246">
        <v>50.2</v>
      </c>
      <c r="J246">
        <v>50.19</v>
      </c>
      <c r="K246">
        <v>51.75</v>
      </c>
      <c r="L246">
        <v>47.781999999999996</v>
      </c>
      <c r="M246" t="e">
        <v>#N/A</v>
      </c>
      <c r="N246">
        <v>94.95</v>
      </c>
      <c r="O246">
        <v>88.79</v>
      </c>
      <c r="P246">
        <v>88</v>
      </c>
      <c r="Q246" t="e">
        <v>#N/A</v>
      </c>
      <c r="R246">
        <v>101.55</v>
      </c>
      <c r="S246" t="e">
        <v>#N/A</v>
      </c>
      <c r="T246">
        <v>92.25</v>
      </c>
      <c r="U246">
        <v>86.16</v>
      </c>
      <c r="V246">
        <v>85.79</v>
      </c>
      <c r="W246">
        <v>0</v>
      </c>
      <c r="X246">
        <v>99.05</v>
      </c>
      <c r="Y246">
        <v>67.040000000000006</v>
      </c>
      <c r="Z246">
        <v>65.67</v>
      </c>
      <c r="AA246" s="7">
        <f t="shared" si="27"/>
        <v>1375</v>
      </c>
    </row>
    <row r="247" spans="1:27">
      <c r="A247" s="1">
        <v>45931</v>
      </c>
      <c r="B247">
        <v>58.01</v>
      </c>
      <c r="C247">
        <v>54.6</v>
      </c>
      <c r="D247">
        <v>53.14</v>
      </c>
      <c r="E247">
        <v>58.16</v>
      </c>
      <c r="F247">
        <v>50.39</v>
      </c>
      <c r="G247">
        <v>52.2</v>
      </c>
      <c r="H247">
        <v>53.2</v>
      </c>
      <c r="I247">
        <v>50</v>
      </c>
      <c r="J247">
        <v>50</v>
      </c>
      <c r="K247">
        <v>50.4</v>
      </c>
      <c r="L247">
        <v>47.4</v>
      </c>
      <c r="M247" t="e">
        <v>#N/A</v>
      </c>
      <c r="N247">
        <v>97.55</v>
      </c>
      <c r="O247">
        <v>90</v>
      </c>
      <c r="P247">
        <v>88.5</v>
      </c>
      <c r="Q247" t="e">
        <v>#N/A</v>
      </c>
      <c r="R247">
        <v>101.95</v>
      </c>
      <c r="S247" t="e">
        <v>#N/A</v>
      </c>
      <c r="T247">
        <v>94</v>
      </c>
      <c r="U247">
        <v>87.65</v>
      </c>
      <c r="V247">
        <v>85.24</v>
      </c>
      <c r="W247">
        <v>0</v>
      </c>
      <c r="X247">
        <v>99.06</v>
      </c>
      <c r="Y247">
        <v>67.040000000000006</v>
      </c>
      <c r="Z247">
        <v>65.67</v>
      </c>
      <c r="AA247" s="7">
        <f t="shared" si="27"/>
        <v>1376</v>
      </c>
    </row>
    <row r="248" spans="1:27">
      <c r="A248" s="1">
        <v>45932</v>
      </c>
      <c r="B248">
        <v>61</v>
      </c>
      <c r="C248">
        <v>56.85</v>
      </c>
      <c r="D248">
        <v>56.56</v>
      </c>
      <c r="E248">
        <v>58.76</v>
      </c>
      <c r="F248">
        <v>52.9</v>
      </c>
      <c r="G248">
        <v>53.6</v>
      </c>
      <c r="H248">
        <v>56</v>
      </c>
      <c r="I248">
        <v>53</v>
      </c>
      <c r="J248">
        <v>52.4</v>
      </c>
      <c r="K248">
        <v>53.48</v>
      </c>
      <c r="L248">
        <v>49.872999999999998</v>
      </c>
      <c r="M248" t="e">
        <v>#N/A</v>
      </c>
      <c r="N248">
        <v>97.83</v>
      </c>
      <c r="O248">
        <v>91.38</v>
      </c>
      <c r="P248">
        <v>88.6</v>
      </c>
      <c r="Q248" t="e">
        <v>#N/A</v>
      </c>
      <c r="R248">
        <v>102.05</v>
      </c>
      <c r="S248" t="e">
        <v>#N/A</v>
      </c>
      <c r="T248">
        <v>93.74</v>
      </c>
      <c r="U248">
        <v>88.77</v>
      </c>
      <c r="V248">
        <v>86.52</v>
      </c>
      <c r="W248">
        <v>0</v>
      </c>
      <c r="X248">
        <v>99.05</v>
      </c>
      <c r="Y248">
        <v>67.040000000000006</v>
      </c>
      <c r="Z248">
        <v>65.67</v>
      </c>
      <c r="AA248" s="7">
        <f t="shared" si="27"/>
        <v>1377</v>
      </c>
    </row>
    <row r="249" spans="1:27">
      <c r="A249" s="1">
        <v>45933</v>
      </c>
      <c r="B249">
        <v>60.5</v>
      </c>
      <c r="C249">
        <v>58.08</v>
      </c>
      <c r="D249">
        <v>57.62</v>
      </c>
      <c r="E249">
        <v>62.3</v>
      </c>
      <c r="F249">
        <v>54.6</v>
      </c>
      <c r="G249">
        <v>55</v>
      </c>
      <c r="H249">
        <v>58</v>
      </c>
      <c r="I249">
        <v>54.84</v>
      </c>
      <c r="J249">
        <v>54.32</v>
      </c>
      <c r="K249">
        <v>55.98</v>
      </c>
      <c r="L249">
        <v>52.4</v>
      </c>
      <c r="M249" t="e">
        <v>#N/A</v>
      </c>
      <c r="N249">
        <v>97.6</v>
      </c>
      <c r="O249">
        <v>91.5</v>
      </c>
      <c r="P249">
        <v>89.92</v>
      </c>
      <c r="Q249" t="e">
        <v>#N/A</v>
      </c>
      <c r="R249">
        <v>101.9</v>
      </c>
      <c r="S249" t="e">
        <v>#N/A</v>
      </c>
      <c r="T249">
        <v>94.99</v>
      </c>
      <c r="U249">
        <v>90.17</v>
      </c>
      <c r="V249">
        <v>87.83</v>
      </c>
      <c r="W249">
        <v>0</v>
      </c>
      <c r="X249">
        <v>99.94</v>
      </c>
      <c r="Y249">
        <v>67.040000000000006</v>
      </c>
      <c r="Z249">
        <v>65.67</v>
      </c>
      <c r="AA249" s="7">
        <f t="shared" si="27"/>
        <v>1378</v>
      </c>
    </row>
    <row r="250" spans="1:27" s="6" customFormat="1">
      <c r="A250" s="5">
        <v>46098</v>
      </c>
      <c r="B250" s="6">
        <v>60.5</v>
      </c>
      <c r="C250" s="6">
        <v>58.08</v>
      </c>
      <c r="D250" s="6">
        <v>57.62</v>
      </c>
      <c r="E250" s="6">
        <v>62.3</v>
      </c>
      <c r="F250" s="6">
        <v>54.6</v>
      </c>
      <c r="G250" s="6">
        <v>55</v>
      </c>
      <c r="H250" s="6">
        <v>58</v>
      </c>
      <c r="I250" s="6">
        <v>54.84</v>
      </c>
      <c r="J250" s="6">
        <v>54.32</v>
      </c>
      <c r="K250" s="6">
        <v>55.98</v>
      </c>
      <c r="L250" s="6">
        <v>45</v>
      </c>
      <c r="M250" s="6" t="e">
        <v>#N/A</v>
      </c>
      <c r="N250" s="6">
        <v>97.6</v>
      </c>
      <c r="O250" s="6">
        <v>91.5</v>
      </c>
      <c r="P250" s="6">
        <v>89.92</v>
      </c>
      <c r="Q250" s="6" t="e">
        <v>#N/A</v>
      </c>
      <c r="R250" s="6">
        <v>101.9</v>
      </c>
      <c r="S250" s="6" t="e">
        <v>#N/A</v>
      </c>
      <c r="T250" s="6">
        <v>94.99</v>
      </c>
      <c r="U250" s="6">
        <v>90.17</v>
      </c>
      <c r="V250" s="6">
        <v>87.83</v>
      </c>
      <c r="W250" s="6">
        <v>0</v>
      </c>
      <c r="X250" s="6">
        <v>99.94</v>
      </c>
      <c r="Y250" s="6">
        <v>67.040000000000006</v>
      </c>
      <c r="Z250" s="6">
        <v>65.67</v>
      </c>
      <c r="AA250" s="7">
        <f t="shared" si="27"/>
        <v>1379</v>
      </c>
    </row>
    <row r="251" spans="1:27" s="6" customFormat="1">
      <c r="A251" s="5">
        <v>46099</v>
      </c>
      <c r="B251" s="6">
        <v>60.5</v>
      </c>
      <c r="C251" s="6">
        <v>58.08</v>
      </c>
      <c r="D251" s="6">
        <v>57.62</v>
      </c>
      <c r="E251" s="6">
        <v>62.3</v>
      </c>
      <c r="F251" s="6">
        <v>54.6</v>
      </c>
      <c r="G251" s="6">
        <v>55</v>
      </c>
      <c r="H251" s="6">
        <v>58</v>
      </c>
      <c r="I251" s="6">
        <v>54.84</v>
      </c>
      <c r="J251" s="6">
        <v>54.32</v>
      </c>
      <c r="K251" s="6">
        <v>55.98</v>
      </c>
      <c r="L251" s="6">
        <v>45</v>
      </c>
      <c r="M251" s="6" t="e">
        <v>#N/A</v>
      </c>
      <c r="N251" s="6">
        <v>97.6</v>
      </c>
      <c r="O251" s="6">
        <v>91.5</v>
      </c>
      <c r="P251" s="6">
        <v>89.92</v>
      </c>
      <c r="Q251" s="6" t="e">
        <v>#N/A</v>
      </c>
      <c r="R251" s="6">
        <v>101.9</v>
      </c>
      <c r="S251" s="6" t="e">
        <v>#N/A</v>
      </c>
      <c r="T251" s="6">
        <v>94.99</v>
      </c>
      <c r="U251" s="6">
        <v>90.17</v>
      </c>
      <c r="V251" s="6">
        <v>87.83</v>
      </c>
      <c r="W251" s="6">
        <v>0</v>
      </c>
      <c r="X251" s="6">
        <v>99.94</v>
      </c>
      <c r="Y251" s="6">
        <v>67.040000000000006</v>
      </c>
      <c r="Z251" s="6">
        <v>65.67</v>
      </c>
      <c r="AA251" s="7">
        <f t="shared" si="27"/>
        <v>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2025-10-02T00:03:43Z</dcterms:created>
  <dcterms:modified xsi:type="dcterms:W3CDTF">2026-03-18T23:22:18Z</dcterms:modified>
  <cp:category/>
  <cp:contentStatus/>
</cp:coreProperties>
</file>