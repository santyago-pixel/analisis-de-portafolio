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es" sheetId="1" r:id="rId4"/>
    <sheet state="visible" name="Precios" sheetId="2" r:id="rId5"/>
  </sheets>
  <externalReferences>
    <externalReference r:id="rId6"/>
  </externalReferences>
  <definedNames>
    <definedName hidden="1" localSheetId="0" name="_xlnm._FilterDatabase">Trades!$A$2:$Q$697</definedName>
    <definedName hidden="1" localSheetId="1" name="_xlnm._FilterDatabase">Precios!$A$1:$BZ$288</definedName>
  </definedNames>
  <calcPr/>
  <extLst>
    <ext uri="GoogleSheetsCustomDataVersion2">
      <go:sheetsCustomData xmlns:go="http://customooxmlschemas.google.com/" r:id="rId7" roundtripDataChecksum="0O5vrP+mlFORzuZ8ibge5h8YRYuHGy/I0+sQLpYb5zg="/>
    </ext>
  </extLst>
</workbook>
</file>

<file path=xl/sharedStrings.xml><?xml version="1.0" encoding="utf-8"?>
<sst xmlns="http://schemas.openxmlformats.org/spreadsheetml/2006/main" count="1699" uniqueCount="152">
  <si>
    <t>Asset</t>
  </si>
  <si>
    <t>Date</t>
  </si>
  <si>
    <t>Kind</t>
  </si>
  <si>
    <t>Trade</t>
  </si>
  <si>
    <t>Assset Class</t>
  </si>
  <si>
    <t>Currency</t>
  </si>
  <si>
    <t>Sector</t>
  </si>
  <si>
    <t>Type</t>
  </si>
  <si>
    <t>TlAnk</t>
  </si>
  <si>
    <t>Activo</t>
  </si>
  <si>
    <t>Nominal</t>
  </si>
  <si>
    <t>Price</t>
  </si>
  <si>
    <t>Blank</t>
  </si>
  <si>
    <t>Value</t>
  </si>
  <si>
    <t>TrSde</t>
  </si>
  <si>
    <t>ComprS</t>
  </si>
  <si>
    <t xml:space="preserve">Fixed Income </t>
  </si>
  <si>
    <t>5SD</t>
  </si>
  <si>
    <t>P5Tlic Sector</t>
  </si>
  <si>
    <t>TopreSl</t>
  </si>
  <si>
    <t>TPOS7</t>
  </si>
  <si>
    <t>Oil&amp;GSs</t>
  </si>
  <si>
    <t>ON</t>
  </si>
  <si>
    <t>TTC9</t>
  </si>
  <si>
    <t>YMCY</t>
  </si>
  <si>
    <t>SRS</t>
  </si>
  <si>
    <t>CER</t>
  </si>
  <si>
    <t>TX26</t>
  </si>
  <si>
    <t>T2X5</t>
  </si>
  <si>
    <t>TZXM5</t>
  </si>
  <si>
    <t>TZXD5</t>
  </si>
  <si>
    <t>TZXM6</t>
  </si>
  <si>
    <t>LecSp</t>
  </si>
  <si>
    <t>S31M5</t>
  </si>
  <si>
    <t>Eq5ity</t>
  </si>
  <si>
    <t>6IST</t>
  </si>
  <si>
    <t>MSteriSls</t>
  </si>
  <si>
    <t>TXSR</t>
  </si>
  <si>
    <t>S18J5</t>
  </si>
  <si>
    <t>S16Y5</t>
  </si>
  <si>
    <t>6entS</t>
  </si>
  <si>
    <t>TSnks</t>
  </si>
  <si>
    <t>GGSL</t>
  </si>
  <si>
    <t>StSples</t>
  </si>
  <si>
    <t>MELI</t>
  </si>
  <si>
    <t>T30J6</t>
  </si>
  <si>
    <t>T13F6</t>
  </si>
  <si>
    <t>TNCT</t>
  </si>
  <si>
    <t>TTM26</t>
  </si>
  <si>
    <t>TTJ26</t>
  </si>
  <si>
    <t>TTS26</t>
  </si>
  <si>
    <t>TTD26</t>
  </si>
  <si>
    <t>Fl5jo</t>
  </si>
  <si>
    <t>SmortizScion</t>
  </si>
  <si>
    <t>TTSR</t>
  </si>
  <si>
    <t>TZXD7</t>
  </si>
  <si>
    <t>TNC5</t>
  </si>
  <si>
    <t>TZXO5</t>
  </si>
  <si>
    <t>T15E7</t>
  </si>
  <si>
    <t>TMS</t>
  </si>
  <si>
    <t>S31L5</t>
  </si>
  <si>
    <t>TonSr</t>
  </si>
  <si>
    <t>SL30</t>
  </si>
  <si>
    <t>TZXD6</t>
  </si>
  <si>
    <t>C5pon</t>
  </si>
  <si>
    <t>Di6idendos</t>
  </si>
  <si>
    <t>S28N5</t>
  </si>
  <si>
    <t>T30E6</t>
  </si>
  <si>
    <t>T15D5</t>
  </si>
  <si>
    <t>T17O5</t>
  </si>
  <si>
    <t>S15G5</t>
  </si>
  <si>
    <t>S31O5</t>
  </si>
  <si>
    <t>S12S5</t>
  </si>
  <si>
    <t>S30S5</t>
  </si>
  <si>
    <t>TY30P</t>
  </si>
  <si>
    <t>5SDL</t>
  </si>
  <si>
    <t>D31O5</t>
  </si>
  <si>
    <t>S10N5</t>
  </si>
  <si>
    <t>TZX26</t>
  </si>
  <si>
    <t>X29Y6</t>
  </si>
  <si>
    <t>S29Y6</t>
  </si>
  <si>
    <t>S17S6</t>
  </si>
  <si>
    <t>T30S7</t>
  </si>
  <si>
    <t>X30N6</t>
  </si>
  <si>
    <t>S27F6</t>
  </si>
  <si>
    <t>Fixed Income</t>
  </si>
  <si>
    <t>PSMP</t>
  </si>
  <si>
    <t>X31L6</t>
  </si>
  <si>
    <t>T31Y7</t>
  </si>
  <si>
    <t>S30S6</t>
  </si>
  <si>
    <t>TZXM7</t>
  </si>
  <si>
    <t>FechS</t>
  </si>
  <si>
    <t>OperScion</t>
  </si>
  <si>
    <t>Tipo de Scti6o</t>
  </si>
  <si>
    <t>Scti6o</t>
  </si>
  <si>
    <t>NominSles</t>
  </si>
  <si>
    <t>Precio</t>
  </si>
  <si>
    <t>6Slor 5SD</t>
  </si>
  <si>
    <t>Precio SRS</t>
  </si>
  <si>
    <t>6Slor SRS</t>
  </si>
  <si>
    <t>Deposito cSsh</t>
  </si>
  <si>
    <t>Retiro CSsh</t>
  </si>
  <si>
    <t>In6ertido</t>
  </si>
  <si>
    <t>T</t>
  </si>
  <si>
    <t>d</t>
  </si>
  <si>
    <t>e</t>
  </si>
  <si>
    <t xml:space="preserve">S </t>
  </si>
  <si>
    <t>l</t>
  </si>
  <si>
    <t>m</t>
  </si>
  <si>
    <t>p</t>
  </si>
  <si>
    <t xml:space="preserve">  TPOS7</t>
  </si>
  <si>
    <t xml:space="preserve">  TTC9</t>
  </si>
  <si>
    <t xml:space="preserve">    TX26</t>
  </si>
  <si>
    <t xml:space="preserve">    T2X5</t>
  </si>
  <si>
    <t xml:space="preserve">    TZXM5</t>
  </si>
  <si>
    <t xml:space="preserve">    TZXD5</t>
  </si>
  <si>
    <t xml:space="preserve">    TZXM6</t>
  </si>
  <si>
    <t xml:space="preserve">    S31M5</t>
  </si>
  <si>
    <t xml:space="preserve">    S18J5</t>
  </si>
  <si>
    <t xml:space="preserve">      S16Y5</t>
  </si>
  <si>
    <t xml:space="preserve">    T30J6</t>
  </si>
  <si>
    <t xml:space="preserve">    T13F6</t>
  </si>
  <si>
    <t xml:space="preserve">  TNCT</t>
  </si>
  <si>
    <t xml:space="preserve">    TTM26</t>
  </si>
  <si>
    <t xml:space="preserve">    TTJ26</t>
  </si>
  <si>
    <t xml:space="preserve">      TTS26</t>
  </si>
  <si>
    <t xml:space="preserve">    TTD26</t>
  </si>
  <si>
    <t xml:space="preserve">  TZXD7</t>
  </si>
  <si>
    <t xml:space="preserve">  TNC5</t>
  </si>
  <si>
    <t xml:space="preserve">    TZXO5</t>
  </si>
  <si>
    <t xml:space="preserve">    T15E7</t>
  </si>
  <si>
    <t xml:space="preserve">    S31L5</t>
  </si>
  <si>
    <t xml:space="preserve"> SL30</t>
  </si>
  <si>
    <t xml:space="preserve">    TZXD6</t>
  </si>
  <si>
    <t xml:space="preserve">    S28N5</t>
  </si>
  <si>
    <t xml:space="preserve">    T30E6</t>
  </si>
  <si>
    <t xml:space="preserve">    T15D5</t>
  </si>
  <si>
    <t xml:space="preserve">    T17O5</t>
  </si>
  <si>
    <t xml:space="preserve">    S15G5</t>
  </si>
  <si>
    <t xml:space="preserve">    S31O5</t>
  </si>
  <si>
    <t xml:space="preserve">    S12S5</t>
  </si>
  <si>
    <t xml:space="preserve">    S30S5</t>
  </si>
  <si>
    <t xml:space="preserve">  TY30P</t>
  </si>
  <si>
    <t xml:space="preserve">  D31O5</t>
  </si>
  <si>
    <t xml:space="preserve">    S10N5</t>
  </si>
  <si>
    <t xml:space="preserve">    TZX26</t>
  </si>
  <si>
    <t xml:space="preserve">     6IST</t>
  </si>
  <si>
    <t xml:space="preserve">   TXSR</t>
  </si>
  <si>
    <t xml:space="preserve"> GGSL</t>
  </si>
  <si>
    <t xml:space="preserve">  TTSR</t>
  </si>
  <si>
    <t xml:space="preserve">  TMS</t>
  </si>
  <si>
    <t xml:space="preserve"> PSMP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</si>
</sst>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-* #,##0.0_-;\-* #,##0.0_-;_-* &quot;-&quot;??_-;_-@"/>
    <numFmt numFmtId="165" formatCode="_-* #,##0.00_-;\-* #,##0.00_-;_-* &quot;-&quot;??_-;_-@"/>
    <numFmt numFmtId="166" formatCode="_-* #,##0_-;\-* #,##0_-;_-* &quot;-&quot;??_-;_-@"/>
    <numFmt numFmtId="167" formatCode="0.0000"/>
    <numFmt numFmtId="168" formatCode="_-* #,##0.0000_-;\-* #,##0.0000_-;_-* &quot;-&quot;??_-;_-@"/>
    <numFmt numFmtId="169" formatCode="_-* #,##0.000000_-;\-* #,##0.000000_-;_-* &quot;-&quot;??_-;_-@"/>
    <numFmt numFmtId="170" formatCode="_-* #,##0_-;\-* #,##0_-;_-* &quot;-&quot;????_-;_-@"/>
  </numFmts>
  <fonts count="10">
    <font>
      <sz val="11.0"/>
      <color theme="1"/>
      <name val="Aptos Narrow"/>
      <scheme val="minor"/>
    </font>
    <font>
      <color theme="1"/>
      <name val="Arial"/>
    </font>
    <font>
      <sz val="11.0"/>
      <color theme="1"/>
      <name val="Arial"/>
    </font>
    <font>
      <sz val="11.0"/>
      <color theme="1"/>
      <name val="Aptos Narrow"/>
    </font>
    <font>
      <sz val="11.0"/>
      <color rgb="FFFF0000"/>
      <name val="Aptos Narrow"/>
    </font>
    <font>
      <color theme="1"/>
      <name val="Aptos Narrow"/>
      <scheme val="minor"/>
    </font>
    <font>
      <sz val="11.0"/>
      <color rgb="FF3A7D22"/>
      <name val="Aptos Narrow"/>
    </font>
    <font>
      <sz val="11.0"/>
      <color rgb="FF215E99"/>
      <name val="Aptos Narrow"/>
    </font>
    <font>
      <sz val="11.0"/>
      <color rgb="FFBF4F14"/>
      <name val="Aptos Narrow"/>
    </font>
    <font>
      <sz val="8.0"/>
      <color rgb="FF000000"/>
      <name val="Helvetica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4D94D8"/>
        <bgColor rgb="FF4D94D8"/>
      </patternFill>
    </fill>
    <fill>
      <patternFill patternType="solid">
        <fgColor rgb="FFDBE9F7"/>
        <bgColor rgb="FFDBE9F7"/>
      </patternFill>
    </fill>
  </fills>
  <borders count="3">
    <border/>
    <border>
      <left/>
      <right/>
      <top/>
      <bottom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4" numFmtId="0" xfId="0" applyFont="1"/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ont="1">
      <alignment horizontal="center"/>
    </xf>
    <xf borderId="0" fillId="0" fontId="3" numFmtId="2" xfId="0" applyFont="1" applyNumberFormat="1"/>
    <xf borderId="0" fillId="0" fontId="3" numFmtId="165" xfId="0" applyFont="1" applyNumberFormat="1"/>
    <xf borderId="1" fillId="3" fontId="3" numFmtId="0" xfId="0" applyBorder="1" applyFill="1" applyFont="1"/>
    <xf borderId="0" fillId="0" fontId="3" numFmtId="14" xfId="0" applyAlignment="1" applyFont="1" applyNumberFormat="1">
      <alignment horizontal="center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166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3" xfId="0" applyFont="1" applyNumberFormat="1"/>
    <xf borderId="0" fillId="0" fontId="3" numFmtId="167" xfId="0" applyFont="1" applyNumberFormat="1"/>
    <xf borderId="0" fillId="0" fontId="3" numFmtId="10" xfId="0" applyFont="1" applyNumberFormat="1"/>
    <xf borderId="0" fillId="0" fontId="3" numFmtId="166" xfId="0" applyFont="1" applyNumberFormat="1"/>
    <xf borderId="0" fillId="0" fontId="3" numFmtId="168" xfId="0" applyFont="1" applyNumberFormat="1"/>
    <xf borderId="0" fillId="0" fontId="3" numFmtId="9" xfId="0" applyFont="1" applyNumberFormat="1"/>
    <xf borderId="0" fillId="0" fontId="3" numFmtId="166" xfId="0" applyAlignment="1" applyFont="1" applyNumberFormat="1">
      <alignment horizontal="center"/>
    </xf>
    <xf borderId="0" fillId="0" fontId="3" numFmtId="1" xfId="0" applyFont="1" applyNumberFormat="1"/>
    <xf borderId="0" fillId="0" fontId="6" numFmtId="14" xfId="0" applyAlignment="1" applyFont="1" applyNumberFormat="1">
      <alignment horizontal="center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166" xfId="0" applyAlignment="1" applyFont="1" applyNumberFormat="1">
      <alignment horizontal="right"/>
    </xf>
    <xf borderId="0" fillId="0" fontId="6" numFmtId="167" xfId="0" applyFont="1" applyNumberFormat="1"/>
    <xf borderId="0" fillId="0" fontId="6" numFmtId="9" xfId="0" applyFont="1" applyNumberFormat="1"/>
    <xf borderId="0" fillId="0" fontId="6" numFmtId="166" xfId="0" applyFont="1" applyNumberFormat="1"/>
    <xf borderId="0" fillId="0" fontId="6" numFmtId="3" xfId="0" applyFont="1" applyNumberFormat="1"/>
    <xf borderId="0" fillId="0" fontId="6" numFmtId="0" xfId="0" applyFont="1"/>
    <xf borderId="0" fillId="0" fontId="5" numFmtId="0" xfId="0" applyFont="1"/>
    <xf borderId="0" fillId="0" fontId="7" numFmtId="14" xfId="0" applyAlignment="1" applyFont="1" applyNumberFormat="1">
      <alignment horizont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166" xfId="0" applyAlignment="1" applyFont="1" applyNumberFormat="1">
      <alignment horizontal="right"/>
    </xf>
    <xf borderId="0" fillId="0" fontId="7" numFmtId="167" xfId="0" applyFont="1" applyNumberFormat="1"/>
    <xf borderId="0" fillId="0" fontId="7" numFmtId="0" xfId="0" applyFont="1"/>
    <xf borderId="0" fillId="0" fontId="7" numFmtId="164" xfId="0" applyFont="1" applyNumberFormat="1"/>
    <xf borderId="0" fillId="0" fontId="7" numFmtId="3" xfId="0" applyFont="1" applyNumberFormat="1"/>
    <xf borderId="0" fillId="0" fontId="7" numFmtId="14" xfId="0" applyFont="1" applyNumberFormat="1"/>
    <xf borderId="0" fillId="0" fontId="6" numFmtId="164" xfId="0" applyFont="1" applyNumberFormat="1"/>
    <xf borderId="0" fillId="0" fontId="8" numFmtId="14" xfId="0" applyAlignment="1" applyFont="1" applyNumberForma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0" fillId="0" fontId="8" numFmtId="166" xfId="0" applyAlignment="1" applyFont="1" applyNumberFormat="1">
      <alignment horizontal="right"/>
    </xf>
    <xf borderId="0" fillId="0" fontId="8" numFmtId="1" xfId="0" applyFont="1" applyNumberFormat="1"/>
    <xf borderId="0" fillId="0" fontId="8" numFmtId="0" xfId="0" applyFont="1"/>
    <xf borderId="0" fillId="0" fontId="8" numFmtId="164" xfId="0" applyFont="1" applyNumberFormat="1"/>
    <xf borderId="0" fillId="0" fontId="8" numFmtId="3" xfId="0" applyFont="1" applyNumberFormat="1"/>
    <xf borderId="0" fillId="0" fontId="3" numFmtId="14" xfId="0" applyFont="1" applyNumberFormat="1"/>
    <xf borderId="0" fillId="0" fontId="3" numFmtId="169" xfId="0" applyAlignment="1" applyFont="1" applyNumberFormat="1">
      <alignment horizontal="right"/>
    </xf>
    <xf borderId="0" fillId="0" fontId="6" numFmtId="169" xfId="0" applyAlignment="1" applyFont="1" applyNumberFormat="1">
      <alignment horizontal="right"/>
    </xf>
    <xf borderId="0" fillId="0" fontId="3" numFmtId="168" xfId="0" applyAlignment="1" applyFont="1" applyNumberFormat="1">
      <alignment horizontal="right"/>
    </xf>
    <xf borderId="0" fillId="0" fontId="4" numFmtId="3" xfId="0" applyFont="1" applyNumberFormat="1"/>
    <xf borderId="0" fillId="0" fontId="3" numFmtId="165" xfId="0" applyAlignment="1" applyFont="1" applyNumberFormat="1">
      <alignment horizontal="right"/>
    </xf>
    <xf borderId="2" fillId="0" fontId="9" numFmtId="0" xfId="0" applyAlignment="1" applyBorder="1" applyFont="1">
      <alignment readingOrder="0" vertical="bottom"/>
    </xf>
    <xf borderId="0" fillId="0" fontId="3" numFmtId="170" xfId="0" applyFont="1" applyNumberFormat="1"/>
    <xf borderId="0" fillId="0" fontId="4" numFmtId="166" xfId="0" applyFont="1" applyNumberFormat="1"/>
    <xf borderId="1" fillId="4" fontId="3" numFmtId="168" xfId="0" applyAlignment="1" applyBorder="1" applyFill="1" applyFont="1" applyNumberFormat="1">
      <alignment readingOrder="0"/>
    </xf>
    <xf borderId="1" fillId="4" fontId="3" numFmtId="168" xfId="0" applyBorder="1" applyFont="1" applyNumberFormat="1"/>
    <xf borderId="1" fillId="4" fontId="3" numFmtId="0" xfId="0" applyAlignment="1" applyBorder="1" applyFont="1">
      <alignment horizontal="center" readingOrder="0"/>
    </xf>
    <xf borderId="1" fillId="5" fontId="4" numFmtId="168" xfId="0" applyAlignment="1" applyBorder="1" applyFill="1" applyFont="1" applyNumberFormat="1">
      <alignment readingOrder="0"/>
    </xf>
    <xf borderId="1" fillId="5" fontId="4" numFmtId="168" xfId="0" applyBorder="1" applyFont="1" applyNumberFormat="1"/>
    <xf borderId="1" fillId="3" fontId="3" numFmtId="168" xfId="0" applyBorder="1" applyFont="1" applyNumberFormat="1"/>
    <xf borderId="1" fillId="3" fontId="3" numFmtId="168" xfId="0" applyAlignment="1" applyBorder="1" applyFont="1" applyNumberFormat="1">
      <alignment horizontal="center"/>
    </xf>
    <xf borderId="0" fillId="0" fontId="3" numFmtId="168" xfId="0" applyAlignment="1" applyFont="1" applyNumberFormat="1">
      <alignment horizontal="center"/>
    </xf>
    <xf borderId="1" fillId="6" fontId="3" numFmtId="168" xfId="0" applyBorder="1" applyFill="1" applyFont="1" applyNumberFormat="1"/>
    <xf borderId="1" fillId="3" fontId="2" numFmtId="168" xfId="0" applyAlignment="1" applyBorder="1" applyFont="1" applyNumberFormat="1">
      <alignment readingOrder="0"/>
    </xf>
    <xf borderId="1" fillId="6" fontId="2" numFmtId="168" xfId="0" applyAlignment="1" applyBorder="1" applyFont="1" applyNumberFormat="1">
      <alignment readingOrder="0"/>
    </xf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3">
    <dxf>
      <font>
        <color rgb="FF3A7D22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4D94D8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Y:\Renta%20Fija\Master\Cartera%20Propia\Cartera%20propia%20tracking%20202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ias"/>
      <sheetName val="Trades"/>
      <sheetName val="Activos"/>
      <sheetName val="Nominales"/>
      <sheetName val="Precios"/>
      <sheetName val="NAV"/>
      <sheetName val="Portafolio"/>
      <sheetName val="Port Ordenado DAILY CH"/>
      <sheetName val="Informe Diario"/>
      <sheetName val="Tracking Total"/>
      <sheetName val="Tracking RF"/>
      <sheetName val="Tracking RV"/>
      <sheetName val="Tracking Treasuries"/>
      <sheetName val="Analytics"/>
      <sheetName val="Rent x activo"/>
      <sheetName val="Instructi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2" width="11.38"/>
    <col customWidth="1" min="3" max="3" width="15.38"/>
    <col customWidth="1" min="4" max="4" width="12.13"/>
    <col customWidth="1" min="5" max="5" width="17.0"/>
    <col customWidth="1" min="6" max="6" width="14.25"/>
    <col customWidth="1" min="7" max="7" width="12.75"/>
    <col customWidth="1" min="8" max="8" width="13.38"/>
    <col customWidth="1" min="9" max="9" width="12.13"/>
    <col customWidth="1" min="10" max="10" width="14.0"/>
    <col customWidth="1" min="11" max="11" width="16.0"/>
    <col customWidth="1" min="12" max="12" width="15.88"/>
    <col customWidth="1" min="13" max="13" width="17.25"/>
    <col customWidth="1" min="14" max="14" width="16.38"/>
    <col customWidth="1" min="15" max="15" width="19.63"/>
    <col customWidth="1" min="16" max="16" width="23.25"/>
    <col customWidth="1" min="17" max="17" width="13.25"/>
    <col customWidth="1" min="18" max="18" width="14.63"/>
    <col customWidth="1" min="19" max="19" width="17.38"/>
    <col customWidth="1" min="20" max="20" width="16.75"/>
    <col customWidth="1" min="21" max="21" width="20.63"/>
    <col customWidth="1" min="22" max="24" width="15.63"/>
    <col customWidth="1" min="25" max="25" width="14.63"/>
    <col customWidth="1" min="26" max="26" width="17.38"/>
    <col customWidth="1" min="27" max="27" width="14.63"/>
    <col customWidth="1" min="28" max="38" width="10.63"/>
  </cols>
  <sheetData>
    <row r="1">
      <c r="A1" s="1"/>
      <c r="B1" s="1"/>
      <c r="C1" s="1"/>
      <c r="D1" s="1"/>
      <c r="E1" s="2"/>
      <c r="F1" s="2"/>
      <c r="G1" s="2"/>
      <c r="H1" s="3"/>
      <c r="I1" s="3"/>
      <c r="J1" s="3"/>
      <c r="K1" s="3"/>
      <c r="O1" s="4"/>
      <c r="R1" s="5"/>
    </row>
    <row r="2">
      <c r="A2" s="1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6" t="s">
        <v>8</v>
      </c>
      <c r="J2" s="6" t="s">
        <v>8</v>
      </c>
      <c r="K2" s="6" t="s">
        <v>9</v>
      </c>
      <c r="L2" s="6" t="s">
        <v>10</v>
      </c>
      <c r="M2" s="7" t="s">
        <v>11</v>
      </c>
      <c r="N2" s="6" t="s">
        <v>12</v>
      </c>
      <c r="O2" s="6" t="s">
        <v>12</v>
      </c>
      <c r="P2" s="6" t="s">
        <v>13</v>
      </c>
      <c r="Q2" s="7"/>
      <c r="R2" s="5"/>
      <c r="S2" s="3"/>
      <c r="U2" s="8"/>
      <c r="W2" s="9"/>
    </row>
    <row r="3">
      <c r="A3" s="10" t="str">
        <f t="shared" ref="A3:A235" si="1">IF(K3&lt;&gt;"",K3,"")</f>
        <v>TPOS7</v>
      </c>
      <c r="B3" s="11">
        <v>45657.0</v>
      </c>
      <c r="C3" s="12" t="s">
        <v>14</v>
      </c>
      <c r="D3" s="12" t="s">
        <v>15</v>
      </c>
      <c r="E3" s="3" t="s">
        <v>16</v>
      </c>
      <c r="F3" s="13" t="s">
        <v>17</v>
      </c>
      <c r="G3" s="13" t="s">
        <v>18</v>
      </c>
      <c r="H3" s="13" t="s">
        <v>19</v>
      </c>
      <c r="I3" s="3"/>
      <c r="J3" s="3"/>
      <c r="K3" s="13" t="s">
        <v>20</v>
      </c>
      <c r="L3" s="14">
        <v>3000000.0</v>
      </c>
      <c r="M3" s="15">
        <v>1124.6</v>
      </c>
      <c r="N3" s="16"/>
      <c r="O3" s="16"/>
      <c r="P3" s="17" t="str">
        <f t="shared" ref="P3:P221" si="2">IF(OR(D3="Compra",D3="Venta"),L3*M3,O3)</f>
        <v/>
      </c>
      <c r="R3" s="5" t="str">
        <f t="shared" ref="R3:R7" si="3">IF(AND(D3="Venta",L3&gt;0),"Ventas Nominal en Negativo",IF(AND(D3="Outflow",P3&gt;0),"Outflows Value en Negativo",""))</f>
        <v/>
      </c>
      <c r="S3" s="3"/>
      <c r="U3" s="8"/>
    </row>
    <row r="4">
      <c r="A4" s="10" t="str">
        <f t="shared" si="1"/>
        <v>TTC9</v>
      </c>
      <c r="B4" s="11">
        <v>45657.0</v>
      </c>
      <c r="C4" s="12" t="s">
        <v>14</v>
      </c>
      <c r="D4" s="12" t="s">
        <v>15</v>
      </c>
      <c r="E4" s="3" t="s">
        <v>16</v>
      </c>
      <c r="F4" s="13" t="s">
        <v>17</v>
      </c>
      <c r="G4" s="13" t="s">
        <v>21</v>
      </c>
      <c r="H4" s="3" t="s">
        <v>22</v>
      </c>
      <c r="I4" s="3"/>
      <c r="J4" s="3"/>
      <c r="K4" s="13" t="s">
        <v>23</v>
      </c>
      <c r="L4" s="14">
        <v>206356.0</v>
      </c>
      <c r="M4" s="18">
        <v>1228.0</v>
      </c>
      <c r="P4" s="17" t="str">
        <f t="shared" si="2"/>
        <v/>
      </c>
      <c r="R4" s="5" t="str">
        <f t="shared" si="3"/>
        <v/>
      </c>
      <c r="S4" s="3"/>
      <c r="U4" s="19"/>
    </row>
    <row r="5">
      <c r="A5" s="10" t="str">
        <f t="shared" si="1"/>
        <v>YMCY</v>
      </c>
      <c r="B5" s="11">
        <v>45657.0</v>
      </c>
      <c r="C5" s="12" t="s">
        <v>14</v>
      </c>
      <c r="D5" s="12" t="s">
        <v>15</v>
      </c>
      <c r="E5" s="3" t="s">
        <v>16</v>
      </c>
      <c r="F5" s="13" t="s">
        <v>17</v>
      </c>
      <c r="G5" s="13" t="s">
        <v>21</v>
      </c>
      <c r="H5" s="3" t="s">
        <v>22</v>
      </c>
      <c r="I5" s="3"/>
      <c r="J5" s="3"/>
      <c r="K5" s="3" t="s">
        <v>24</v>
      </c>
      <c r="L5" s="14">
        <v>203779.0</v>
      </c>
      <c r="M5" s="18">
        <v>1182.0</v>
      </c>
      <c r="P5" s="17" t="str">
        <f t="shared" si="2"/>
        <v/>
      </c>
      <c r="R5" s="5" t="str">
        <f t="shared" si="3"/>
        <v/>
      </c>
    </row>
    <row r="6">
      <c r="A6" s="10" t="str">
        <f t="shared" si="1"/>
        <v>TX26</v>
      </c>
      <c r="B6" s="11">
        <v>45657.0</v>
      </c>
      <c r="C6" s="12" t="s">
        <v>14</v>
      </c>
      <c r="D6" s="12" t="s">
        <v>15</v>
      </c>
      <c r="E6" s="3" t="s">
        <v>16</v>
      </c>
      <c r="F6" s="13" t="s">
        <v>25</v>
      </c>
      <c r="G6" s="13" t="s">
        <v>18</v>
      </c>
      <c r="H6" s="3" t="s">
        <v>26</v>
      </c>
      <c r="I6" s="3"/>
      <c r="J6" s="3"/>
      <c r="K6" s="13" t="s">
        <v>27</v>
      </c>
      <c r="L6" s="14">
        <v>5.535901E7</v>
      </c>
      <c r="M6" s="18">
        <v>16.79</v>
      </c>
      <c r="P6" s="17" t="str">
        <f t="shared" si="2"/>
        <v/>
      </c>
      <c r="R6" s="5" t="str">
        <f t="shared" si="3"/>
        <v/>
      </c>
      <c r="S6" s="20"/>
      <c r="T6" s="20"/>
      <c r="U6" s="20"/>
    </row>
    <row r="7">
      <c r="A7" s="10" t="str">
        <f t="shared" si="1"/>
        <v>T2X5</v>
      </c>
      <c r="B7" s="11">
        <v>45657.0</v>
      </c>
      <c r="C7" s="12" t="s">
        <v>14</v>
      </c>
      <c r="D7" s="12" t="s">
        <v>15</v>
      </c>
      <c r="E7" s="3" t="s">
        <v>16</v>
      </c>
      <c r="F7" s="13" t="s">
        <v>25</v>
      </c>
      <c r="G7" s="13" t="s">
        <v>18</v>
      </c>
      <c r="H7" s="3" t="s">
        <v>26</v>
      </c>
      <c r="I7" s="3"/>
      <c r="J7" s="3"/>
      <c r="K7" s="13" t="s">
        <v>28</v>
      </c>
      <c r="L7" s="14">
        <v>4.543E8</v>
      </c>
      <c r="M7" s="18">
        <v>6.341</v>
      </c>
      <c r="P7" s="17" t="str">
        <f t="shared" si="2"/>
        <v/>
      </c>
      <c r="R7" s="5" t="str">
        <f t="shared" si="3"/>
        <v/>
      </c>
      <c r="S7" s="20"/>
      <c r="T7" s="20"/>
      <c r="U7" s="20"/>
    </row>
    <row r="8">
      <c r="A8" s="10" t="str">
        <f t="shared" si="1"/>
        <v>TZXM5</v>
      </c>
      <c r="B8" s="11">
        <v>45657.0</v>
      </c>
      <c r="C8" s="12" t="s">
        <v>14</v>
      </c>
      <c r="D8" s="12" t="s">
        <v>15</v>
      </c>
      <c r="E8" s="3" t="s">
        <v>16</v>
      </c>
      <c r="F8" s="13" t="s">
        <v>25</v>
      </c>
      <c r="G8" s="13" t="s">
        <v>18</v>
      </c>
      <c r="H8" s="3" t="s">
        <v>26</v>
      </c>
      <c r="I8" s="3"/>
      <c r="J8" s="3"/>
      <c r="K8" s="13" t="s">
        <v>29</v>
      </c>
      <c r="L8" s="14">
        <v>4.125E8</v>
      </c>
      <c r="M8" s="9">
        <v>1.38</v>
      </c>
      <c r="P8" s="17" t="str">
        <f t="shared" si="2"/>
        <v/>
      </c>
      <c r="R8" s="5"/>
      <c r="S8" s="20"/>
      <c r="T8" s="20"/>
      <c r="U8" s="20"/>
    </row>
    <row r="9">
      <c r="A9" s="10" t="str">
        <f t="shared" si="1"/>
        <v>TZXD5</v>
      </c>
      <c r="B9" s="11">
        <v>45657.0</v>
      </c>
      <c r="C9" s="12" t="s">
        <v>14</v>
      </c>
      <c r="D9" s="12" t="s">
        <v>15</v>
      </c>
      <c r="E9" s="3" t="s">
        <v>16</v>
      </c>
      <c r="F9" s="13" t="s">
        <v>25</v>
      </c>
      <c r="G9" s="13" t="s">
        <v>18</v>
      </c>
      <c r="H9" s="3" t="s">
        <v>26</v>
      </c>
      <c r="I9" s="3"/>
      <c r="J9" s="3"/>
      <c r="K9" s="13" t="s">
        <v>30</v>
      </c>
      <c r="L9" s="14">
        <v>5.117153889E9</v>
      </c>
      <c r="M9" s="9">
        <v>1.735</v>
      </c>
      <c r="P9" s="17" t="str">
        <f t="shared" si="2"/>
        <v/>
      </c>
      <c r="R9" s="5"/>
      <c r="S9" s="20"/>
      <c r="T9" s="21"/>
      <c r="U9" s="20"/>
      <c r="V9" s="20"/>
    </row>
    <row r="10">
      <c r="A10" s="10" t="str">
        <f t="shared" si="1"/>
        <v>TZXM6</v>
      </c>
      <c r="B10" s="11">
        <v>45657.0</v>
      </c>
      <c r="C10" s="12" t="s">
        <v>14</v>
      </c>
      <c r="D10" s="12" t="s">
        <v>15</v>
      </c>
      <c r="E10" s="3" t="s">
        <v>16</v>
      </c>
      <c r="F10" s="13" t="s">
        <v>25</v>
      </c>
      <c r="G10" s="13" t="s">
        <v>18</v>
      </c>
      <c r="H10" s="3" t="s">
        <v>26</v>
      </c>
      <c r="I10" s="3"/>
      <c r="J10" s="3"/>
      <c r="K10" s="13" t="s">
        <v>31</v>
      </c>
      <c r="L10" s="14">
        <v>7.5E8</v>
      </c>
      <c r="M10" s="18">
        <v>1.356</v>
      </c>
      <c r="P10" s="17" t="str">
        <f t="shared" si="2"/>
        <v/>
      </c>
      <c r="R10" s="5" t="str">
        <f t="shared" ref="R10:R57" si="4">IF(AND(D10="Venta",L10&gt;0),"Ventas Nominal en Negativo",IF(AND(D10="Outflow",P10&gt;0),"Outflows Value en Negativo",""))</f>
        <v/>
      </c>
      <c r="S10" s="20"/>
      <c r="T10" s="20"/>
      <c r="U10" s="20"/>
    </row>
    <row r="11">
      <c r="A11" s="10" t="str">
        <f t="shared" si="1"/>
        <v>S31M5</v>
      </c>
      <c r="B11" s="11">
        <v>45657.0</v>
      </c>
      <c r="C11" s="12" t="s">
        <v>14</v>
      </c>
      <c r="D11" s="12" t="s">
        <v>15</v>
      </c>
      <c r="E11" s="3" t="s">
        <v>16</v>
      </c>
      <c r="F11" s="13" t="s">
        <v>25</v>
      </c>
      <c r="G11" s="13" t="s">
        <v>18</v>
      </c>
      <c r="H11" s="13" t="s">
        <v>32</v>
      </c>
      <c r="I11" s="3"/>
      <c r="J11" s="3"/>
      <c r="K11" s="13" t="s">
        <v>33</v>
      </c>
      <c r="L11" s="14">
        <v>5.5E9</v>
      </c>
      <c r="M11" s="18">
        <v>1.4318</v>
      </c>
      <c r="P11" s="17" t="str">
        <f t="shared" si="2"/>
        <v/>
      </c>
      <c r="R11" s="5" t="str">
        <f t="shared" si="4"/>
        <v/>
      </c>
    </row>
    <row r="12">
      <c r="A12" s="10" t="str">
        <f t="shared" si="1"/>
        <v>6IST</v>
      </c>
      <c r="B12" s="11">
        <v>45657.0</v>
      </c>
      <c r="C12" s="12" t="s">
        <v>14</v>
      </c>
      <c r="D12" s="12" t="s">
        <v>15</v>
      </c>
      <c r="E12" s="13" t="s">
        <v>34</v>
      </c>
      <c r="F12" s="13" t="s">
        <v>25</v>
      </c>
      <c r="G12" s="13" t="s">
        <v>21</v>
      </c>
      <c r="H12" s="13" t="s">
        <v>34</v>
      </c>
      <c r="I12" s="3"/>
      <c r="J12" s="3"/>
      <c r="K12" s="13" t="s">
        <v>35</v>
      </c>
      <c r="L12" s="14">
        <v>39850.0</v>
      </c>
      <c r="M12" s="8">
        <v>21525.0</v>
      </c>
      <c r="P12" s="17" t="str">
        <f t="shared" si="2"/>
        <v/>
      </c>
      <c r="R12" s="5" t="str">
        <f t="shared" si="4"/>
        <v/>
      </c>
    </row>
    <row r="13">
      <c r="A13" s="10" t="str">
        <f t="shared" si="1"/>
        <v>TXSR</v>
      </c>
      <c r="B13" s="11">
        <v>45657.0</v>
      </c>
      <c r="C13" s="12" t="s">
        <v>14</v>
      </c>
      <c r="D13" s="12" t="s">
        <v>15</v>
      </c>
      <c r="E13" s="13" t="s">
        <v>34</v>
      </c>
      <c r="F13" s="13" t="s">
        <v>25</v>
      </c>
      <c r="G13" s="13" t="s">
        <v>36</v>
      </c>
      <c r="H13" s="13" t="s">
        <v>34</v>
      </c>
      <c r="I13" s="3"/>
      <c r="J13" s="3"/>
      <c r="K13" s="13" t="s">
        <v>37</v>
      </c>
      <c r="L13" s="14">
        <v>305267.0</v>
      </c>
      <c r="M13" s="8">
        <v>895.0</v>
      </c>
      <c r="P13" s="17" t="str">
        <f t="shared" si="2"/>
        <v/>
      </c>
      <c r="R13" s="5" t="str">
        <f t="shared" si="4"/>
        <v/>
      </c>
    </row>
    <row r="14">
      <c r="A14" s="10" t="str">
        <f t="shared" si="1"/>
        <v>TZXD5</v>
      </c>
      <c r="B14" s="11">
        <v>45660.0</v>
      </c>
      <c r="C14" s="12" t="s">
        <v>14</v>
      </c>
      <c r="D14" s="12" t="s">
        <v>15</v>
      </c>
      <c r="E14" s="3" t="s">
        <v>16</v>
      </c>
      <c r="F14" s="13" t="s">
        <v>25</v>
      </c>
      <c r="G14" s="13" t="s">
        <v>18</v>
      </c>
      <c r="H14" s="3" t="s">
        <v>26</v>
      </c>
      <c r="I14" s="3"/>
      <c r="J14" s="3"/>
      <c r="K14" s="13" t="s">
        <v>30</v>
      </c>
      <c r="L14" s="14">
        <v>1.155534047E9</v>
      </c>
      <c r="M14" s="18">
        <v>1.7474976053215332</v>
      </c>
      <c r="P14" s="17" t="str">
        <f t="shared" si="2"/>
        <v/>
      </c>
      <c r="R14" s="5" t="str">
        <f t="shared" si="4"/>
        <v/>
      </c>
      <c r="S14" s="17"/>
      <c r="T14" s="21"/>
      <c r="U14" s="20"/>
      <c r="V14" s="20"/>
      <c r="W14" s="20"/>
    </row>
    <row r="15">
      <c r="A15" s="10" t="str">
        <f t="shared" si="1"/>
        <v>TZXM6</v>
      </c>
      <c r="B15" s="11">
        <v>45660.0</v>
      </c>
      <c r="C15" s="12" t="s">
        <v>14</v>
      </c>
      <c r="D15" s="12" t="s">
        <v>15</v>
      </c>
      <c r="E15" s="3" t="s">
        <v>16</v>
      </c>
      <c r="F15" s="13" t="s">
        <v>25</v>
      </c>
      <c r="G15" s="13" t="s">
        <v>18</v>
      </c>
      <c r="H15" s="3" t="s">
        <v>26</v>
      </c>
      <c r="I15" s="3"/>
      <c r="J15" s="3"/>
      <c r="K15" s="13" t="s">
        <v>31</v>
      </c>
      <c r="L15" s="14">
        <f>1550000000-L10</f>
        <v>800000000</v>
      </c>
      <c r="M15" s="18">
        <v>1.361</v>
      </c>
      <c r="P15" s="17" t="str">
        <f t="shared" si="2"/>
        <v/>
      </c>
      <c r="R15" s="5" t="str">
        <f t="shared" si="4"/>
        <v/>
      </c>
    </row>
    <row r="16">
      <c r="A16" s="10" t="str">
        <f t="shared" si="1"/>
        <v>S18J5</v>
      </c>
      <c r="B16" s="11">
        <v>45660.0</v>
      </c>
      <c r="C16" s="12" t="s">
        <v>14</v>
      </c>
      <c r="D16" s="12" t="s">
        <v>15</v>
      </c>
      <c r="E16" s="3" t="s">
        <v>16</v>
      </c>
      <c r="F16" s="13" t="s">
        <v>25</v>
      </c>
      <c r="G16" s="13" t="s">
        <v>18</v>
      </c>
      <c r="H16" s="13" t="s">
        <v>32</v>
      </c>
      <c r="I16" s="3"/>
      <c r="J16" s="3"/>
      <c r="K16" s="13" t="s">
        <v>38</v>
      </c>
      <c r="L16" s="14">
        <v>1.202496667E9</v>
      </c>
      <c r="M16" s="18">
        <v>1.2977</v>
      </c>
      <c r="P16" s="17" t="str">
        <f t="shared" si="2"/>
        <v/>
      </c>
      <c r="R16" s="5" t="str">
        <f t="shared" si="4"/>
        <v/>
      </c>
      <c r="S16" s="20"/>
      <c r="T16" s="20"/>
      <c r="U16" s="20"/>
    </row>
    <row r="17">
      <c r="A17" s="10" t="str">
        <f t="shared" si="1"/>
        <v>S16Y5</v>
      </c>
      <c r="B17" s="11">
        <v>45660.0</v>
      </c>
      <c r="C17" s="12" t="s">
        <v>14</v>
      </c>
      <c r="D17" s="12" t="s">
        <v>15</v>
      </c>
      <c r="E17" s="3" t="s">
        <v>16</v>
      </c>
      <c r="F17" s="13" t="s">
        <v>25</v>
      </c>
      <c r="G17" s="13" t="s">
        <v>18</v>
      </c>
      <c r="H17" s="13" t="s">
        <v>32</v>
      </c>
      <c r="I17" s="3"/>
      <c r="J17" s="3"/>
      <c r="K17" s="13" t="s">
        <v>39</v>
      </c>
      <c r="L17" s="14">
        <v>1.626275E9</v>
      </c>
      <c r="M17" s="18">
        <v>1.2297</v>
      </c>
      <c r="P17" s="17" t="str">
        <f t="shared" si="2"/>
        <v/>
      </c>
      <c r="R17" s="5" t="str">
        <f t="shared" si="4"/>
        <v/>
      </c>
      <c r="S17" s="20"/>
      <c r="T17" s="22"/>
      <c r="U17" s="20"/>
    </row>
    <row r="18">
      <c r="A18" s="10" t="str">
        <f t="shared" si="1"/>
        <v>TXSR</v>
      </c>
      <c r="B18" s="11">
        <v>45663.0</v>
      </c>
      <c r="C18" s="12" t="s">
        <v>14</v>
      </c>
      <c r="D18" s="12" t="s">
        <v>40</v>
      </c>
      <c r="E18" s="13" t="s">
        <v>34</v>
      </c>
      <c r="F18" s="13" t="s">
        <v>25</v>
      </c>
      <c r="G18" s="13" t="s">
        <v>36</v>
      </c>
      <c r="H18" s="13" t="s">
        <v>34</v>
      </c>
      <c r="I18" s="3"/>
      <c r="J18" s="3"/>
      <c r="K18" s="13" t="s">
        <v>37</v>
      </c>
      <c r="L18" s="14">
        <v>-305267.0</v>
      </c>
      <c r="M18" s="8">
        <v>875.006</v>
      </c>
      <c r="P18" s="17" t="str">
        <f t="shared" si="2"/>
        <v/>
      </c>
      <c r="R18" s="5" t="str">
        <f t="shared" si="4"/>
        <v/>
      </c>
      <c r="S18" s="20"/>
      <c r="T18" s="22"/>
      <c r="U18" s="20"/>
    </row>
    <row r="19">
      <c r="A19" s="10" t="str">
        <f t="shared" si="1"/>
        <v>GGSL</v>
      </c>
      <c r="B19" s="11">
        <v>45663.0</v>
      </c>
      <c r="C19" s="12" t="s">
        <v>14</v>
      </c>
      <c r="D19" s="12" t="s">
        <v>15</v>
      </c>
      <c r="E19" s="13" t="s">
        <v>34</v>
      </c>
      <c r="F19" s="13" t="s">
        <v>25</v>
      </c>
      <c r="G19" s="13" t="s">
        <v>41</v>
      </c>
      <c r="H19" s="13" t="s">
        <v>34</v>
      </c>
      <c r="I19" s="3"/>
      <c r="J19" s="3"/>
      <c r="K19" s="13" t="s">
        <v>42</v>
      </c>
      <c r="L19" s="14">
        <v>58000.0</v>
      </c>
      <c r="M19" s="8">
        <v>8527.59</v>
      </c>
      <c r="P19" s="17" t="str">
        <f t="shared" si="2"/>
        <v/>
      </c>
      <c r="R19" s="5" t="str">
        <f t="shared" si="4"/>
        <v/>
      </c>
      <c r="S19" s="23"/>
      <c r="T19" s="22"/>
      <c r="U19" s="8"/>
    </row>
    <row r="20">
      <c r="A20" s="10" t="str">
        <f t="shared" si="1"/>
        <v>MELI</v>
      </c>
      <c r="B20" s="11">
        <v>45663.0</v>
      </c>
      <c r="C20" s="12" t="s">
        <v>14</v>
      </c>
      <c r="D20" s="12" t="s">
        <v>15</v>
      </c>
      <c r="E20" s="13" t="s">
        <v>34</v>
      </c>
      <c r="F20" s="13" t="s">
        <v>25</v>
      </c>
      <c r="G20" s="13" t="s">
        <v>43</v>
      </c>
      <c r="H20" s="13" t="s">
        <v>34</v>
      </c>
      <c r="I20" s="3"/>
      <c r="J20" s="3"/>
      <c r="K20" s="3" t="s">
        <v>44</v>
      </c>
      <c r="L20" s="14">
        <v>18800.0</v>
      </c>
      <c r="M20" s="8">
        <v>18275.0</v>
      </c>
      <c r="P20" s="17" t="str">
        <f t="shared" si="2"/>
        <v/>
      </c>
      <c r="R20" s="5" t="str">
        <f t="shared" si="4"/>
        <v/>
      </c>
      <c r="T20" s="20"/>
      <c r="U20" s="20"/>
    </row>
    <row r="21" ht="15.75" customHeight="1">
      <c r="A21" s="10" t="str">
        <f t="shared" si="1"/>
        <v>T30J6</v>
      </c>
      <c r="B21" s="11">
        <v>45678.0</v>
      </c>
      <c r="C21" s="12" t="s">
        <v>14</v>
      </c>
      <c r="D21" s="12" t="s">
        <v>15</v>
      </c>
      <c r="E21" s="3" t="s">
        <v>16</v>
      </c>
      <c r="F21" s="13" t="s">
        <v>25</v>
      </c>
      <c r="G21" s="13" t="s">
        <v>18</v>
      </c>
      <c r="H21" s="13" t="s">
        <v>32</v>
      </c>
      <c r="I21" s="3"/>
      <c r="J21" s="3"/>
      <c r="K21" s="13" t="s">
        <v>45</v>
      </c>
      <c r="L21" s="14">
        <v>3.0E9</v>
      </c>
      <c r="M21" s="18">
        <v>1.0</v>
      </c>
      <c r="P21" s="17" t="str">
        <f t="shared" si="2"/>
        <v/>
      </c>
      <c r="R21" s="5" t="str">
        <f t="shared" si="4"/>
        <v/>
      </c>
    </row>
    <row r="22" ht="15.75" customHeight="1">
      <c r="A22" s="10" t="str">
        <f t="shared" si="1"/>
        <v>T13F6</v>
      </c>
      <c r="B22" s="11">
        <v>45678.0</v>
      </c>
      <c r="C22" s="12" t="s">
        <v>14</v>
      </c>
      <c r="D22" s="12" t="s">
        <v>15</v>
      </c>
      <c r="E22" s="3" t="s">
        <v>16</v>
      </c>
      <c r="F22" s="13" t="s">
        <v>25</v>
      </c>
      <c r="G22" s="13" t="s">
        <v>18</v>
      </c>
      <c r="H22" s="13" t="s">
        <v>32</v>
      </c>
      <c r="I22" s="3"/>
      <c r="J22" s="3"/>
      <c r="K22" s="13" t="s">
        <v>46</v>
      </c>
      <c r="L22" s="14">
        <v>1.3E9</v>
      </c>
      <c r="M22" s="18">
        <v>1.099</v>
      </c>
      <c r="P22" s="17" t="str">
        <f t="shared" si="2"/>
        <v/>
      </c>
      <c r="R22" s="5" t="str">
        <f t="shared" si="4"/>
        <v/>
      </c>
    </row>
    <row r="23" ht="15.75" customHeight="1">
      <c r="A23" s="10" t="str">
        <f t="shared" si="1"/>
        <v>S31M5</v>
      </c>
      <c r="B23" s="11">
        <v>45680.0</v>
      </c>
      <c r="C23" s="12" t="s">
        <v>14</v>
      </c>
      <c r="D23" s="12" t="s">
        <v>40</v>
      </c>
      <c r="E23" s="3" t="s">
        <v>16</v>
      </c>
      <c r="F23" s="13" t="s">
        <v>25</v>
      </c>
      <c r="G23" s="13" t="s">
        <v>18</v>
      </c>
      <c r="H23" s="13" t="s">
        <v>32</v>
      </c>
      <c r="I23" s="3"/>
      <c r="J23" s="3"/>
      <c r="K23" s="13" t="s">
        <v>33</v>
      </c>
      <c r="L23" s="14">
        <f>(+L11-4336000000)*-1</f>
        <v>-1164000000</v>
      </c>
      <c r="M23" s="18">
        <v>1.47</v>
      </c>
      <c r="P23" s="17" t="str">
        <f t="shared" si="2"/>
        <v/>
      </c>
      <c r="R23" s="5" t="str">
        <f t="shared" si="4"/>
        <v/>
      </c>
    </row>
    <row r="24" ht="15.75" customHeight="1">
      <c r="A24" s="10" t="str">
        <f t="shared" si="1"/>
        <v>TNCT</v>
      </c>
      <c r="B24" s="11">
        <v>45680.0</v>
      </c>
      <c r="C24" s="12" t="s">
        <v>14</v>
      </c>
      <c r="D24" s="12" t="s">
        <v>15</v>
      </c>
      <c r="E24" s="3" t="s">
        <v>16</v>
      </c>
      <c r="F24" s="13" t="s">
        <v>25</v>
      </c>
      <c r="G24" s="13" t="s">
        <v>41</v>
      </c>
      <c r="H24" s="3" t="s">
        <v>22</v>
      </c>
      <c r="I24" s="3"/>
      <c r="J24" s="3"/>
      <c r="K24" s="13" t="s">
        <v>47</v>
      </c>
      <c r="L24" s="14">
        <v>2.09E9</v>
      </c>
      <c r="M24" s="18">
        <v>1.001</v>
      </c>
      <c r="P24" s="17" t="str">
        <f t="shared" si="2"/>
        <v/>
      </c>
      <c r="R24" s="5" t="str">
        <f t="shared" si="4"/>
        <v/>
      </c>
    </row>
    <row r="25" ht="15.75" customHeight="1">
      <c r="A25" s="10" t="str">
        <f t="shared" si="1"/>
        <v>6IST</v>
      </c>
      <c r="B25" s="11">
        <v>45686.0</v>
      </c>
      <c r="C25" s="12" t="s">
        <v>14</v>
      </c>
      <c r="D25" s="12" t="s">
        <v>15</v>
      </c>
      <c r="E25" s="13" t="s">
        <v>34</v>
      </c>
      <c r="F25" s="13" t="s">
        <v>25</v>
      </c>
      <c r="G25" s="13" t="s">
        <v>21</v>
      </c>
      <c r="H25" s="13" t="s">
        <v>34</v>
      </c>
      <c r="I25" s="3"/>
      <c r="J25" s="3"/>
      <c r="K25" s="13" t="s">
        <v>35</v>
      </c>
      <c r="L25" s="14">
        <f>44739-L12</f>
        <v>4889</v>
      </c>
      <c r="M25" s="24">
        <v>20425.0</v>
      </c>
      <c r="P25" s="17" t="str">
        <f t="shared" si="2"/>
        <v/>
      </c>
      <c r="R25" s="5" t="str">
        <f t="shared" si="4"/>
        <v/>
      </c>
    </row>
    <row r="26" ht="15.75" customHeight="1">
      <c r="A26" s="10" t="str">
        <f t="shared" si="1"/>
        <v>TTM26</v>
      </c>
      <c r="B26" s="11">
        <v>45688.0</v>
      </c>
      <c r="C26" s="12" t="s">
        <v>14</v>
      </c>
      <c r="D26" s="12" t="s">
        <v>15</v>
      </c>
      <c r="E26" s="3" t="s">
        <v>16</v>
      </c>
      <c r="F26" s="13" t="s">
        <v>25</v>
      </c>
      <c r="G26" s="13" t="s">
        <v>18</v>
      </c>
      <c r="H26" s="13" t="s">
        <v>32</v>
      </c>
      <c r="I26" s="3"/>
      <c r="J26" s="3"/>
      <c r="K26" s="13" t="s">
        <v>48</v>
      </c>
      <c r="L26" s="14">
        <v>9.07838018E8</v>
      </c>
      <c r="M26" s="18">
        <v>1.0</v>
      </c>
      <c r="P26" s="17" t="str">
        <f t="shared" si="2"/>
        <v/>
      </c>
      <c r="R26" s="5" t="str">
        <f t="shared" si="4"/>
        <v/>
      </c>
    </row>
    <row r="27" ht="15.75" customHeight="1">
      <c r="A27" s="10" t="str">
        <f t="shared" si="1"/>
        <v>TTJ26</v>
      </c>
      <c r="B27" s="11">
        <v>45688.0</v>
      </c>
      <c r="C27" s="12" t="s">
        <v>14</v>
      </c>
      <c r="D27" s="12" t="s">
        <v>15</v>
      </c>
      <c r="E27" s="3" t="s">
        <v>16</v>
      </c>
      <c r="F27" s="13" t="s">
        <v>25</v>
      </c>
      <c r="G27" s="13" t="s">
        <v>18</v>
      </c>
      <c r="H27" s="13" t="s">
        <v>32</v>
      </c>
      <c r="I27" s="3"/>
      <c r="J27" s="3"/>
      <c r="K27" s="13" t="s">
        <v>49</v>
      </c>
      <c r="L27" s="14">
        <v>9.07838018E8</v>
      </c>
      <c r="M27" s="18">
        <v>1.0</v>
      </c>
      <c r="P27" s="17" t="str">
        <f t="shared" si="2"/>
        <v/>
      </c>
      <c r="R27" s="5" t="str">
        <f t="shared" si="4"/>
        <v/>
      </c>
    </row>
    <row r="28" ht="15.75" customHeight="1">
      <c r="A28" s="10" t="str">
        <f t="shared" si="1"/>
        <v>TTS26</v>
      </c>
      <c r="B28" s="11">
        <v>45688.0</v>
      </c>
      <c r="C28" s="12" t="s">
        <v>14</v>
      </c>
      <c r="D28" s="12" t="s">
        <v>15</v>
      </c>
      <c r="E28" s="3" t="s">
        <v>16</v>
      </c>
      <c r="F28" s="13" t="s">
        <v>25</v>
      </c>
      <c r="G28" s="13" t="s">
        <v>18</v>
      </c>
      <c r="H28" s="13" t="s">
        <v>32</v>
      </c>
      <c r="I28" s="3"/>
      <c r="J28" s="3"/>
      <c r="K28" s="13" t="s">
        <v>50</v>
      </c>
      <c r="L28" s="14">
        <v>9.07838018E8</v>
      </c>
      <c r="M28" s="18">
        <v>1.0</v>
      </c>
      <c r="P28" s="17" t="str">
        <f t="shared" si="2"/>
        <v/>
      </c>
      <c r="R28" s="5" t="str">
        <f t="shared" si="4"/>
        <v/>
      </c>
    </row>
    <row r="29" ht="15.75" customHeight="1">
      <c r="A29" s="10" t="str">
        <f t="shared" si="1"/>
        <v>TTD26</v>
      </c>
      <c r="B29" s="11">
        <v>45688.0</v>
      </c>
      <c r="C29" s="12" t="s">
        <v>14</v>
      </c>
      <c r="D29" s="12" t="s">
        <v>15</v>
      </c>
      <c r="E29" s="3" t="s">
        <v>16</v>
      </c>
      <c r="F29" s="13" t="s">
        <v>25</v>
      </c>
      <c r="G29" s="13" t="s">
        <v>18</v>
      </c>
      <c r="H29" s="13" t="s">
        <v>32</v>
      </c>
      <c r="I29" s="3"/>
      <c r="J29" s="3"/>
      <c r="K29" s="13" t="s">
        <v>51</v>
      </c>
      <c r="L29" s="14">
        <v>9.07838018E8</v>
      </c>
      <c r="M29" s="18">
        <v>1.0</v>
      </c>
      <c r="P29" s="17" t="str">
        <f t="shared" si="2"/>
        <v/>
      </c>
      <c r="R29" s="5" t="str">
        <f t="shared" si="4"/>
        <v/>
      </c>
    </row>
    <row r="30" ht="15.75" customHeight="1">
      <c r="A30" s="10" t="str">
        <f t="shared" si="1"/>
        <v>S18J5</v>
      </c>
      <c r="B30" s="11">
        <v>45688.0</v>
      </c>
      <c r="C30" s="12" t="s">
        <v>14</v>
      </c>
      <c r="D30" s="12" t="s">
        <v>40</v>
      </c>
      <c r="E30" s="3" t="s">
        <v>16</v>
      </c>
      <c r="F30" s="13" t="s">
        <v>25</v>
      </c>
      <c r="G30" s="13" t="s">
        <v>18</v>
      </c>
      <c r="H30" s="13" t="s">
        <v>32</v>
      </c>
      <c r="I30" s="3"/>
      <c r="J30" s="3"/>
      <c r="K30" s="13" t="s">
        <v>38</v>
      </c>
      <c r="L30" s="14">
        <f t="shared" ref="L30:L31" si="5">-L16</f>
        <v>-1202496667</v>
      </c>
      <c r="M30" s="18">
        <v>1.3233</v>
      </c>
      <c r="P30" s="17" t="str">
        <f t="shared" si="2"/>
        <v/>
      </c>
      <c r="R30" s="5" t="str">
        <f t="shared" si="4"/>
        <v/>
      </c>
    </row>
    <row r="31" ht="15.75" customHeight="1">
      <c r="A31" s="10" t="str">
        <f t="shared" si="1"/>
        <v>S16Y5</v>
      </c>
      <c r="B31" s="11">
        <v>45688.0</v>
      </c>
      <c r="C31" s="12" t="s">
        <v>14</v>
      </c>
      <c r="D31" s="12" t="s">
        <v>40</v>
      </c>
      <c r="E31" s="3" t="s">
        <v>16</v>
      </c>
      <c r="F31" s="13" t="s">
        <v>25</v>
      </c>
      <c r="G31" s="13" t="s">
        <v>18</v>
      </c>
      <c r="H31" s="13" t="s">
        <v>32</v>
      </c>
      <c r="I31" s="3"/>
      <c r="J31" s="3"/>
      <c r="K31" s="13" t="s">
        <v>39</v>
      </c>
      <c r="L31" s="14">
        <f t="shared" si="5"/>
        <v>-1626275000</v>
      </c>
      <c r="M31" s="18">
        <v>1.25546</v>
      </c>
      <c r="P31" s="17" t="str">
        <f t="shared" si="2"/>
        <v/>
      </c>
      <c r="R31" s="5" t="str">
        <f t="shared" si="4"/>
        <v/>
      </c>
      <c r="S31" s="17"/>
    </row>
    <row r="32" ht="15.75" customHeight="1">
      <c r="A32" s="10" t="str">
        <f t="shared" si="1"/>
        <v>T2X5</v>
      </c>
      <c r="B32" s="25">
        <v>45705.0</v>
      </c>
      <c r="C32" s="26" t="s">
        <v>52</v>
      </c>
      <c r="D32" s="26" t="s">
        <v>53</v>
      </c>
      <c r="E32" s="27" t="s">
        <v>16</v>
      </c>
      <c r="F32" s="28" t="s">
        <v>25</v>
      </c>
      <c r="G32" s="28" t="s">
        <v>18</v>
      </c>
      <c r="H32" s="27" t="s">
        <v>26</v>
      </c>
      <c r="I32" s="27"/>
      <c r="J32" s="27"/>
      <c r="K32" s="28" t="s">
        <v>28</v>
      </c>
      <c r="L32" s="29">
        <v>-4.543E8</v>
      </c>
      <c r="M32" s="30">
        <v>6.642</v>
      </c>
      <c r="N32" s="31">
        <v>1.0</v>
      </c>
      <c r="O32" s="32">
        <v>3.0174606E9</v>
      </c>
      <c r="P32" s="33">
        <f t="shared" si="2"/>
        <v>3017460600</v>
      </c>
      <c r="Q32" s="34"/>
      <c r="R32" s="5" t="str">
        <f t="shared" si="4"/>
        <v/>
      </c>
      <c r="S32" s="17"/>
    </row>
    <row r="33" ht="15.75" customHeight="1">
      <c r="A33" s="10" t="str">
        <f t="shared" si="1"/>
        <v>GGSL</v>
      </c>
      <c r="B33" s="11">
        <v>45708.0</v>
      </c>
      <c r="C33" s="12" t="s">
        <v>14</v>
      </c>
      <c r="D33" s="12" t="s">
        <v>15</v>
      </c>
      <c r="E33" s="13" t="s">
        <v>34</v>
      </c>
      <c r="F33" s="13" t="s">
        <v>25</v>
      </c>
      <c r="G33" s="13" t="s">
        <v>41</v>
      </c>
      <c r="H33" s="13" t="s">
        <v>34</v>
      </c>
      <c r="I33" s="3"/>
      <c r="J33" s="3"/>
      <c r="K33" s="13" t="s">
        <v>42</v>
      </c>
      <c r="L33" s="14">
        <v>54000.0</v>
      </c>
      <c r="M33" s="8">
        <v>7316.24</v>
      </c>
      <c r="P33" s="17" t="str">
        <f t="shared" si="2"/>
        <v/>
      </c>
      <c r="R33" s="5" t="str">
        <f t="shared" si="4"/>
        <v/>
      </c>
      <c r="S33" s="17"/>
    </row>
    <row r="34" ht="15.75" customHeight="1">
      <c r="A34" s="10" t="str">
        <f t="shared" si="1"/>
        <v>TTSR</v>
      </c>
      <c r="B34" s="11">
        <v>45708.0</v>
      </c>
      <c r="C34" s="12" t="s">
        <v>14</v>
      </c>
      <c r="D34" s="12" t="s">
        <v>15</v>
      </c>
      <c r="E34" s="13" t="s">
        <v>34</v>
      </c>
      <c r="F34" s="13" t="s">
        <v>25</v>
      </c>
      <c r="G34" s="13" t="s">
        <v>41</v>
      </c>
      <c r="H34" s="13" t="s">
        <v>34</v>
      </c>
      <c r="I34" s="3"/>
      <c r="J34" s="3"/>
      <c r="K34" s="13" t="s">
        <v>54</v>
      </c>
      <c r="L34" s="14">
        <v>56931.0</v>
      </c>
      <c r="M34" s="8">
        <v>8154.97</v>
      </c>
      <c r="P34" s="17" t="str">
        <f t="shared" si="2"/>
        <v/>
      </c>
      <c r="R34" s="5" t="str">
        <f t="shared" si="4"/>
        <v/>
      </c>
      <c r="S34" s="17"/>
    </row>
    <row r="35" ht="15.75" customHeight="1">
      <c r="A35" s="10" t="str">
        <f t="shared" si="1"/>
        <v>GGSL</v>
      </c>
      <c r="B35" s="11">
        <v>45708.0</v>
      </c>
      <c r="C35" s="12" t="s">
        <v>14</v>
      </c>
      <c r="D35" s="12" t="s">
        <v>15</v>
      </c>
      <c r="E35" s="13" t="s">
        <v>34</v>
      </c>
      <c r="F35" s="13" t="s">
        <v>25</v>
      </c>
      <c r="G35" s="13" t="s">
        <v>41</v>
      </c>
      <c r="H35" s="13" t="s">
        <v>34</v>
      </c>
      <c r="I35" s="3"/>
      <c r="J35" s="3"/>
      <c r="K35" s="13" t="s">
        <v>42</v>
      </c>
      <c r="L35" s="14">
        <v>28400.0</v>
      </c>
      <c r="M35" s="8">
        <v>7100.0</v>
      </c>
      <c r="P35" s="17" t="str">
        <f t="shared" si="2"/>
        <v/>
      </c>
      <c r="R35" s="5" t="str">
        <f t="shared" si="4"/>
        <v/>
      </c>
    </row>
    <row r="36" ht="15.75" customHeight="1">
      <c r="A36" s="10" t="str">
        <f t="shared" si="1"/>
        <v>TZXD7</v>
      </c>
      <c r="B36" s="11">
        <v>45708.0</v>
      </c>
      <c r="C36" s="12" t="s">
        <v>14</v>
      </c>
      <c r="D36" s="12" t="s">
        <v>15</v>
      </c>
      <c r="E36" s="3" t="s">
        <v>16</v>
      </c>
      <c r="F36" s="13" t="s">
        <v>25</v>
      </c>
      <c r="G36" s="13" t="s">
        <v>18</v>
      </c>
      <c r="H36" s="3" t="s">
        <v>26</v>
      </c>
      <c r="I36" s="3"/>
      <c r="J36" s="3"/>
      <c r="K36" s="13" t="s">
        <v>55</v>
      </c>
      <c r="L36" s="14">
        <v>6.44096107E8</v>
      </c>
      <c r="M36" s="18">
        <v>1.5526</v>
      </c>
      <c r="P36" s="17" t="str">
        <f t="shared" si="2"/>
        <v/>
      </c>
      <c r="R36" s="5" t="str">
        <f t="shared" si="4"/>
        <v/>
      </c>
      <c r="S36" s="9"/>
    </row>
    <row r="37" ht="15.75" customHeight="1">
      <c r="A37" s="10" t="str">
        <f t="shared" si="1"/>
        <v>TNC5</v>
      </c>
      <c r="B37" s="11">
        <v>45709.0</v>
      </c>
      <c r="C37" s="12" t="s">
        <v>14</v>
      </c>
      <c r="D37" s="12" t="s">
        <v>15</v>
      </c>
      <c r="E37" s="3" t="s">
        <v>16</v>
      </c>
      <c r="F37" s="13" t="s">
        <v>25</v>
      </c>
      <c r="G37" s="13" t="s">
        <v>41</v>
      </c>
      <c r="H37" s="3" t="s">
        <v>22</v>
      </c>
      <c r="I37" s="3"/>
      <c r="J37" s="3"/>
      <c r="K37" s="13" t="s">
        <v>56</v>
      </c>
      <c r="L37" s="14">
        <v>1.0E9</v>
      </c>
      <c r="M37" s="18">
        <v>1.0</v>
      </c>
      <c r="P37" s="17" t="str">
        <f t="shared" si="2"/>
        <v/>
      </c>
      <c r="R37" s="5" t="str">
        <f t="shared" si="4"/>
        <v/>
      </c>
    </row>
    <row r="38" ht="15.75" customHeight="1">
      <c r="A38" s="10" t="str">
        <f t="shared" si="1"/>
        <v>S18J5</v>
      </c>
      <c r="B38" s="11">
        <v>45715.0</v>
      </c>
      <c r="C38" s="12" t="s">
        <v>14</v>
      </c>
      <c r="D38" s="12" t="s">
        <v>15</v>
      </c>
      <c r="E38" s="3" t="s">
        <v>16</v>
      </c>
      <c r="F38" s="13" t="s">
        <v>25</v>
      </c>
      <c r="G38" s="13" t="s">
        <v>18</v>
      </c>
      <c r="H38" s="13" t="s">
        <v>32</v>
      </c>
      <c r="I38" s="3"/>
      <c r="J38" s="3"/>
      <c r="K38" s="13" t="s">
        <v>38</v>
      </c>
      <c r="L38" s="14">
        <v>4.071059142E9</v>
      </c>
      <c r="M38" s="18">
        <v>1.35</v>
      </c>
      <c r="P38" s="17" t="str">
        <f t="shared" si="2"/>
        <v/>
      </c>
      <c r="R38" s="5" t="str">
        <f t="shared" si="4"/>
        <v/>
      </c>
    </row>
    <row r="39" ht="15.75" customHeight="1">
      <c r="A39" s="10" t="str">
        <f t="shared" si="1"/>
        <v>S31M5</v>
      </c>
      <c r="B39" s="11">
        <v>45716.0</v>
      </c>
      <c r="C39" s="12" t="s">
        <v>14</v>
      </c>
      <c r="D39" s="12" t="s">
        <v>40</v>
      </c>
      <c r="E39" s="3" t="s">
        <v>16</v>
      </c>
      <c r="F39" s="13" t="s">
        <v>25</v>
      </c>
      <c r="G39" s="13" t="s">
        <v>18</v>
      </c>
      <c r="H39" s="13" t="s">
        <v>32</v>
      </c>
      <c r="I39" s="3"/>
      <c r="J39" s="3"/>
      <c r="K39" s="13" t="s">
        <v>33</v>
      </c>
      <c r="L39" s="14">
        <v>-9.85E8</v>
      </c>
      <c r="M39" s="18">
        <v>1.5229</v>
      </c>
      <c r="P39" s="17" t="str">
        <f t="shared" si="2"/>
        <v/>
      </c>
      <c r="R39" s="5" t="str">
        <f t="shared" si="4"/>
        <v/>
      </c>
    </row>
    <row r="40" ht="15.75" customHeight="1">
      <c r="A40" s="10" t="str">
        <f t="shared" si="1"/>
        <v>S31M5</v>
      </c>
      <c r="B40" s="11">
        <v>45730.0</v>
      </c>
      <c r="C40" s="12" t="s">
        <v>14</v>
      </c>
      <c r="D40" s="12" t="s">
        <v>40</v>
      </c>
      <c r="E40" s="3" t="s">
        <v>16</v>
      </c>
      <c r="F40" s="13" t="s">
        <v>25</v>
      </c>
      <c r="G40" s="13" t="s">
        <v>18</v>
      </c>
      <c r="H40" s="13" t="s">
        <v>32</v>
      </c>
      <c r="I40" s="3"/>
      <c r="J40" s="3"/>
      <c r="K40" s="13" t="s">
        <v>33</v>
      </c>
      <c r="L40" s="14">
        <v>-1.7E9</v>
      </c>
      <c r="M40" s="18">
        <v>1.5343</v>
      </c>
      <c r="P40" s="17" t="str">
        <f t="shared" si="2"/>
        <v/>
      </c>
      <c r="R40" s="5" t="str">
        <f t="shared" si="4"/>
        <v/>
      </c>
    </row>
    <row r="41" ht="15.75" customHeight="1">
      <c r="A41" s="10" t="str">
        <f t="shared" si="1"/>
        <v>TZXM5</v>
      </c>
      <c r="B41" s="11">
        <v>45730.0</v>
      </c>
      <c r="C41" s="12" t="s">
        <v>14</v>
      </c>
      <c r="D41" s="12" t="s">
        <v>40</v>
      </c>
      <c r="E41" s="3" t="s">
        <v>16</v>
      </c>
      <c r="F41" s="13" t="s">
        <v>25</v>
      </c>
      <c r="G41" s="13" t="s">
        <v>18</v>
      </c>
      <c r="H41" s="3" t="s">
        <v>26</v>
      </c>
      <c r="I41" s="3"/>
      <c r="J41" s="3"/>
      <c r="K41" s="13" t="s">
        <v>29</v>
      </c>
      <c r="L41" s="14">
        <v>-4.125E8</v>
      </c>
      <c r="M41" s="18">
        <v>1.493</v>
      </c>
      <c r="P41" s="17" t="str">
        <f t="shared" si="2"/>
        <v/>
      </c>
      <c r="R41" s="5" t="str">
        <f t="shared" si="4"/>
        <v/>
      </c>
    </row>
    <row r="42" ht="15.75" customHeight="1">
      <c r="A42" s="10" t="str">
        <f t="shared" si="1"/>
        <v>TZXO5</v>
      </c>
      <c r="B42" s="11">
        <v>45730.0</v>
      </c>
      <c r="C42" s="12" t="s">
        <v>14</v>
      </c>
      <c r="D42" s="12" t="s">
        <v>15</v>
      </c>
      <c r="E42" s="3" t="s">
        <v>16</v>
      </c>
      <c r="F42" s="13" t="s">
        <v>25</v>
      </c>
      <c r="G42" s="13" t="s">
        <v>18</v>
      </c>
      <c r="H42" s="3" t="s">
        <v>26</v>
      </c>
      <c r="I42" s="3"/>
      <c r="J42" s="3"/>
      <c r="K42" s="13" t="s">
        <v>57</v>
      </c>
      <c r="L42" s="14">
        <v>3.364485981E9</v>
      </c>
      <c r="M42" s="18">
        <v>1.065</v>
      </c>
      <c r="P42" s="17" t="str">
        <f t="shared" si="2"/>
        <v/>
      </c>
      <c r="R42" s="5" t="str">
        <f t="shared" si="4"/>
        <v/>
      </c>
    </row>
    <row r="43" ht="15.75" customHeight="1">
      <c r="A43" s="10" t="str">
        <f t="shared" si="1"/>
        <v>S31M5</v>
      </c>
      <c r="B43" s="11">
        <v>45743.0</v>
      </c>
      <c r="C43" s="12" t="s">
        <v>14</v>
      </c>
      <c r="D43" s="12" t="s">
        <v>40</v>
      </c>
      <c r="E43" s="3" t="s">
        <v>16</v>
      </c>
      <c r="F43" s="13" t="s">
        <v>25</v>
      </c>
      <c r="G43" s="13" t="s">
        <v>18</v>
      </c>
      <c r="H43" s="13" t="s">
        <v>32</v>
      </c>
      <c r="I43" s="3"/>
      <c r="J43" s="3"/>
      <c r="K43" s="13" t="s">
        <v>33</v>
      </c>
      <c r="L43" s="14">
        <v>-1.651E9</v>
      </c>
      <c r="M43" s="18">
        <v>1.5516</v>
      </c>
      <c r="P43" s="17" t="str">
        <f t="shared" si="2"/>
        <v/>
      </c>
      <c r="R43" s="5" t="str">
        <f t="shared" si="4"/>
        <v/>
      </c>
    </row>
    <row r="44" ht="15.75" customHeight="1">
      <c r="A44" s="10" t="str">
        <f t="shared" si="1"/>
        <v>T15E7</v>
      </c>
      <c r="B44" s="11">
        <v>45748.0</v>
      </c>
      <c r="C44" s="12" t="s">
        <v>14</v>
      </c>
      <c r="D44" s="12" t="s">
        <v>15</v>
      </c>
      <c r="E44" s="3" t="s">
        <v>16</v>
      </c>
      <c r="F44" s="13" t="s">
        <v>25</v>
      </c>
      <c r="G44" s="13" t="s">
        <v>18</v>
      </c>
      <c r="H44" s="13" t="s">
        <v>32</v>
      </c>
      <c r="I44" s="3"/>
      <c r="J44" s="3"/>
      <c r="K44" s="13" t="s">
        <v>58</v>
      </c>
      <c r="L44" s="14">
        <v>5.0E8</v>
      </c>
      <c r="M44" s="18">
        <v>0.8935</v>
      </c>
      <c r="P44" s="17" t="str">
        <f t="shared" si="2"/>
        <v/>
      </c>
      <c r="R44" s="5" t="str">
        <f t="shared" si="4"/>
        <v/>
      </c>
    </row>
    <row r="45" ht="15.75" customHeight="1">
      <c r="A45" s="10" t="str">
        <f t="shared" si="1"/>
        <v>T15E7</v>
      </c>
      <c r="B45" s="11">
        <v>45751.0</v>
      </c>
      <c r="C45" s="12" t="s">
        <v>14</v>
      </c>
      <c r="D45" s="12" t="s">
        <v>15</v>
      </c>
      <c r="E45" s="3" t="s">
        <v>16</v>
      </c>
      <c r="F45" s="13" t="s">
        <v>25</v>
      </c>
      <c r="G45" s="13" t="s">
        <v>18</v>
      </c>
      <c r="H45" s="13" t="s">
        <v>32</v>
      </c>
      <c r="I45" s="3"/>
      <c r="J45" s="3"/>
      <c r="K45" s="13" t="s">
        <v>58</v>
      </c>
      <c r="L45" s="14">
        <v>5.0E8</v>
      </c>
      <c r="M45" s="18">
        <v>0.88</v>
      </c>
      <c r="P45" s="17" t="str">
        <f t="shared" si="2"/>
        <v/>
      </c>
      <c r="R45" s="5" t="str">
        <f t="shared" si="4"/>
        <v/>
      </c>
    </row>
    <row r="46" ht="15.75" customHeight="1">
      <c r="A46" s="10" t="str">
        <f t="shared" si="1"/>
        <v>S18J5</v>
      </c>
      <c r="B46" s="11">
        <v>45755.0</v>
      </c>
      <c r="C46" s="12" t="s">
        <v>14</v>
      </c>
      <c r="D46" s="12" t="s">
        <v>15</v>
      </c>
      <c r="E46" s="3" t="s">
        <v>16</v>
      </c>
      <c r="F46" s="13" t="s">
        <v>25</v>
      </c>
      <c r="G46" s="13" t="s">
        <v>18</v>
      </c>
      <c r="H46" s="13" t="s">
        <v>32</v>
      </c>
      <c r="I46" s="3"/>
      <c r="J46" s="3"/>
      <c r="K46" s="13" t="s">
        <v>38</v>
      </c>
      <c r="L46" s="14">
        <v>2.1E9</v>
      </c>
      <c r="M46" s="18">
        <v>1.3745</v>
      </c>
      <c r="P46" s="17" t="str">
        <f t="shared" si="2"/>
        <v/>
      </c>
      <c r="R46" s="5" t="str">
        <f t="shared" si="4"/>
        <v/>
      </c>
    </row>
    <row r="47" ht="15.75" customHeight="1">
      <c r="A47" s="10" t="str">
        <f t="shared" si="1"/>
        <v>T15E7</v>
      </c>
      <c r="B47" s="11">
        <v>45758.0</v>
      </c>
      <c r="C47" s="12" t="s">
        <v>14</v>
      </c>
      <c r="D47" s="12" t="s">
        <v>40</v>
      </c>
      <c r="E47" s="3" t="s">
        <v>16</v>
      </c>
      <c r="F47" s="13" t="s">
        <v>25</v>
      </c>
      <c r="G47" s="13" t="s">
        <v>18</v>
      </c>
      <c r="H47" s="13" t="s">
        <v>32</v>
      </c>
      <c r="I47" s="3"/>
      <c r="J47" s="3"/>
      <c r="K47" s="13" t="s">
        <v>58</v>
      </c>
      <c r="L47" s="14">
        <v>-1.0E9</v>
      </c>
      <c r="M47" s="18">
        <v>0.891</v>
      </c>
      <c r="P47" s="17" t="str">
        <f t="shared" si="2"/>
        <v/>
      </c>
      <c r="R47" s="5" t="str">
        <f t="shared" si="4"/>
        <v/>
      </c>
    </row>
    <row r="48" ht="15.75" customHeight="1">
      <c r="A48" s="10" t="str">
        <f t="shared" si="1"/>
        <v>TMS</v>
      </c>
      <c r="B48" s="11">
        <v>45758.0</v>
      </c>
      <c r="C48" s="12" t="s">
        <v>14</v>
      </c>
      <c r="D48" s="12" t="s">
        <v>15</v>
      </c>
      <c r="E48" s="13" t="s">
        <v>34</v>
      </c>
      <c r="F48" s="13" t="s">
        <v>25</v>
      </c>
      <c r="G48" s="13" t="s">
        <v>21</v>
      </c>
      <c r="H48" s="13" t="s">
        <v>34</v>
      </c>
      <c r="I48" s="3"/>
      <c r="J48" s="3"/>
      <c r="K48" s="13" t="s">
        <v>59</v>
      </c>
      <c r="L48" s="14">
        <v>28000.0</v>
      </c>
      <c r="M48" s="24">
        <v>10650.0</v>
      </c>
      <c r="P48" s="17" t="str">
        <f t="shared" si="2"/>
        <v/>
      </c>
      <c r="R48" s="5" t="str">
        <f t="shared" si="4"/>
        <v/>
      </c>
    </row>
    <row r="49" ht="15.75" customHeight="1">
      <c r="A49" s="10" t="str">
        <f t="shared" si="1"/>
        <v>TZXM6</v>
      </c>
      <c r="B49" s="11">
        <v>45762.0</v>
      </c>
      <c r="C49" s="12" t="s">
        <v>14</v>
      </c>
      <c r="D49" s="12" t="s">
        <v>15</v>
      </c>
      <c r="E49" s="3" t="s">
        <v>16</v>
      </c>
      <c r="F49" s="13" t="s">
        <v>25</v>
      </c>
      <c r="G49" s="13" t="s">
        <v>18</v>
      </c>
      <c r="H49" s="3" t="s">
        <v>26</v>
      </c>
      <c r="I49" s="3"/>
      <c r="J49" s="3"/>
      <c r="K49" s="13" t="s">
        <v>31</v>
      </c>
      <c r="L49" s="14">
        <v>1.16E9</v>
      </c>
      <c r="M49" s="18">
        <v>1.5525</v>
      </c>
      <c r="P49" s="17" t="str">
        <f t="shared" si="2"/>
        <v/>
      </c>
      <c r="R49" s="5" t="str">
        <f t="shared" si="4"/>
        <v/>
      </c>
    </row>
    <row r="50" ht="15.75" customHeight="1">
      <c r="A50" s="10" t="str">
        <f t="shared" si="1"/>
        <v>S31L5</v>
      </c>
      <c r="B50" s="11">
        <v>45761.0</v>
      </c>
      <c r="C50" s="12" t="s">
        <v>14</v>
      </c>
      <c r="D50" s="12" t="s">
        <v>15</v>
      </c>
      <c r="E50" s="3" t="s">
        <v>16</v>
      </c>
      <c r="F50" s="13" t="s">
        <v>25</v>
      </c>
      <c r="G50" s="13" t="s">
        <v>18</v>
      </c>
      <c r="H50" s="13" t="s">
        <v>32</v>
      </c>
      <c r="I50" s="3"/>
      <c r="J50" s="3"/>
      <c r="K50" s="13" t="s">
        <v>60</v>
      </c>
      <c r="L50" s="14">
        <v>5.31364933E8</v>
      </c>
      <c r="M50" s="18">
        <v>1.323</v>
      </c>
      <c r="P50" s="17" t="str">
        <f t="shared" si="2"/>
        <v/>
      </c>
      <c r="R50" s="5" t="str">
        <f t="shared" si="4"/>
        <v/>
      </c>
      <c r="T50" s="20"/>
    </row>
    <row r="51" ht="15.75" customHeight="1">
      <c r="A51" s="10" t="str">
        <f t="shared" si="1"/>
        <v>SL30</v>
      </c>
      <c r="B51" s="11">
        <v>45762.0</v>
      </c>
      <c r="C51" s="12" t="s">
        <v>14</v>
      </c>
      <c r="D51" s="12" t="s">
        <v>15</v>
      </c>
      <c r="E51" s="3" t="s">
        <v>16</v>
      </c>
      <c r="F51" s="13" t="s">
        <v>17</v>
      </c>
      <c r="G51" s="13" t="s">
        <v>18</v>
      </c>
      <c r="H51" s="13" t="s">
        <v>61</v>
      </c>
      <c r="I51" s="3"/>
      <c r="J51" s="3"/>
      <c r="K51" s="13" t="s">
        <v>62</v>
      </c>
      <c r="L51" s="14">
        <v>755000.0</v>
      </c>
      <c r="M51" s="15">
        <f>0.663*1243</f>
        <v>824.109</v>
      </c>
      <c r="N51" s="16"/>
      <c r="O51" s="16"/>
      <c r="P51" s="17" t="str">
        <f t="shared" si="2"/>
        <v/>
      </c>
      <c r="R51" s="5" t="str">
        <f t="shared" si="4"/>
        <v/>
      </c>
      <c r="S51" s="3"/>
      <c r="U51" s="8"/>
    </row>
    <row r="52" ht="15.75" customHeight="1">
      <c r="A52" s="10" t="str">
        <f t="shared" si="1"/>
        <v>TZXD6</v>
      </c>
      <c r="B52" s="11">
        <v>45762.0</v>
      </c>
      <c r="C52" s="12" t="s">
        <v>14</v>
      </c>
      <c r="D52" s="12" t="s">
        <v>15</v>
      </c>
      <c r="E52" s="3" t="s">
        <v>16</v>
      </c>
      <c r="F52" s="13" t="s">
        <v>25</v>
      </c>
      <c r="G52" s="13" t="s">
        <v>18</v>
      </c>
      <c r="H52" s="3" t="s">
        <v>26</v>
      </c>
      <c r="I52" s="3"/>
      <c r="J52" s="3"/>
      <c r="K52" s="13" t="s">
        <v>63</v>
      </c>
      <c r="L52" s="14">
        <v>1.1E9</v>
      </c>
      <c r="M52" s="18">
        <v>1.7955</v>
      </c>
      <c r="P52" s="17" t="str">
        <f t="shared" si="2"/>
        <v/>
      </c>
      <c r="R52" s="5" t="str">
        <f t="shared" si="4"/>
        <v/>
      </c>
    </row>
    <row r="53" ht="15.75" customHeight="1">
      <c r="A53" s="10" t="str">
        <f t="shared" si="1"/>
        <v>TZXD7</v>
      </c>
      <c r="B53" s="11">
        <v>45763.0</v>
      </c>
      <c r="C53" s="12" t="s">
        <v>14</v>
      </c>
      <c r="D53" s="12" t="s">
        <v>15</v>
      </c>
      <c r="E53" s="3" t="s">
        <v>16</v>
      </c>
      <c r="F53" s="13" t="s">
        <v>25</v>
      </c>
      <c r="G53" s="13" t="s">
        <v>18</v>
      </c>
      <c r="H53" s="3" t="s">
        <v>26</v>
      </c>
      <c r="I53" s="3"/>
      <c r="J53" s="3"/>
      <c r="K53" s="13" t="s">
        <v>55</v>
      </c>
      <c r="L53" s="14">
        <v>2.1E9</v>
      </c>
      <c r="M53" s="35">
        <v>1.64959524</v>
      </c>
      <c r="P53" s="17" t="str">
        <f t="shared" si="2"/>
        <v/>
      </c>
      <c r="R53" s="5" t="str">
        <f t="shared" si="4"/>
        <v/>
      </c>
      <c r="S53" s="9"/>
    </row>
    <row r="54" ht="15.75" customHeight="1">
      <c r="A54" s="10" t="str">
        <f t="shared" si="1"/>
        <v>TTS26</v>
      </c>
      <c r="B54" s="11">
        <v>45763.0</v>
      </c>
      <c r="C54" s="12" t="s">
        <v>14</v>
      </c>
      <c r="D54" s="12" t="s">
        <v>40</v>
      </c>
      <c r="E54" s="3" t="s">
        <v>16</v>
      </c>
      <c r="F54" s="13" t="s">
        <v>25</v>
      </c>
      <c r="G54" s="13" t="s">
        <v>18</v>
      </c>
      <c r="H54" s="13" t="s">
        <v>32</v>
      </c>
      <c r="I54" s="3"/>
      <c r="J54" s="3"/>
      <c r="K54" s="13" t="s">
        <v>50</v>
      </c>
      <c r="L54" s="14">
        <v>-9.07838018E8</v>
      </c>
      <c r="M54" s="18">
        <v>1.0101788</v>
      </c>
      <c r="P54" s="17" t="str">
        <f t="shared" si="2"/>
        <v/>
      </c>
      <c r="R54" s="5" t="str">
        <f t="shared" si="4"/>
        <v/>
      </c>
    </row>
    <row r="55" ht="15.75" customHeight="1">
      <c r="A55" s="10" t="str">
        <f t="shared" si="1"/>
        <v>TTD26</v>
      </c>
      <c r="B55" s="11">
        <v>45763.0</v>
      </c>
      <c r="C55" s="12" t="s">
        <v>14</v>
      </c>
      <c r="D55" s="12" t="s">
        <v>40</v>
      </c>
      <c r="E55" s="3" t="s">
        <v>16</v>
      </c>
      <c r="F55" s="13" t="s">
        <v>25</v>
      </c>
      <c r="G55" s="13" t="s">
        <v>18</v>
      </c>
      <c r="H55" s="13" t="s">
        <v>32</v>
      </c>
      <c r="I55" s="3"/>
      <c r="J55" s="3"/>
      <c r="K55" s="13" t="s">
        <v>51</v>
      </c>
      <c r="L55" s="14">
        <v>-9.07838018E8</v>
      </c>
      <c r="M55" s="18">
        <v>0.99647607</v>
      </c>
      <c r="P55" s="17" t="str">
        <f t="shared" si="2"/>
        <v/>
      </c>
      <c r="R55" s="5" t="str">
        <f t="shared" si="4"/>
        <v/>
      </c>
      <c r="S55" s="17"/>
    </row>
    <row r="56" ht="15.75" customHeight="1">
      <c r="A56" s="10" t="str">
        <f t="shared" si="1"/>
        <v>S18J5</v>
      </c>
      <c r="B56" s="11">
        <v>45763.0</v>
      </c>
      <c r="C56" s="12" t="s">
        <v>14</v>
      </c>
      <c r="D56" s="12" t="s">
        <v>15</v>
      </c>
      <c r="E56" s="3" t="s">
        <v>16</v>
      </c>
      <c r="F56" s="13" t="s">
        <v>25</v>
      </c>
      <c r="G56" s="13" t="s">
        <v>18</v>
      </c>
      <c r="H56" s="13" t="s">
        <v>32</v>
      </c>
      <c r="I56" s="3"/>
      <c r="J56" s="3"/>
      <c r="K56" s="13" t="s">
        <v>38</v>
      </c>
      <c r="L56" s="14">
        <v>2.135E9</v>
      </c>
      <c r="M56" s="18">
        <v>1.41772691</v>
      </c>
      <c r="P56" s="17" t="str">
        <f t="shared" si="2"/>
        <v/>
      </c>
      <c r="R56" s="5" t="str">
        <f t="shared" si="4"/>
        <v/>
      </c>
    </row>
    <row r="57" ht="15.75" customHeight="1">
      <c r="A57" s="10" t="str">
        <f t="shared" si="1"/>
        <v>TTJ26</v>
      </c>
      <c r="B57" s="11">
        <v>45768.0</v>
      </c>
      <c r="C57" s="12" t="s">
        <v>14</v>
      </c>
      <c r="D57" s="12" t="s">
        <v>40</v>
      </c>
      <c r="E57" s="3" t="s">
        <v>16</v>
      </c>
      <c r="F57" s="13" t="s">
        <v>25</v>
      </c>
      <c r="G57" s="13" t="s">
        <v>18</v>
      </c>
      <c r="H57" s="13" t="s">
        <v>32</v>
      </c>
      <c r="I57" s="3"/>
      <c r="J57" s="3"/>
      <c r="K57" s="13" t="s">
        <v>49</v>
      </c>
      <c r="L57" s="14">
        <v>-5.6948085E7</v>
      </c>
      <c r="M57" s="18">
        <v>1.019</v>
      </c>
      <c r="P57" s="17" t="str">
        <f t="shared" si="2"/>
        <v/>
      </c>
      <c r="R57" s="5" t="str">
        <f t="shared" si="4"/>
        <v/>
      </c>
      <c r="S57" s="9"/>
    </row>
    <row r="58" ht="15.75" customHeight="1">
      <c r="A58" s="10" t="str">
        <f t="shared" si="1"/>
        <v>TNCT</v>
      </c>
      <c r="B58" s="36">
        <v>45769.0</v>
      </c>
      <c r="C58" s="37" t="s">
        <v>52</v>
      </c>
      <c r="D58" s="37" t="s">
        <v>64</v>
      </c>
      <c r="E58" s="38" t="s">
        <v>16</v>
      </c>
      <c r="F58" s="39" t="s">
        <v>25</v>
      </c>
      <c r="G58" s="39" t="s">
        <v>41</v>
      </c>
      <c r="H58" s="38" t="s">
        <v>22</v>
      </c>
      <c r="I58" s="38"/>
      <c r="J58" s="38"/>
      <c r="K58" s="39" t="s">
        <v>47</v>
      </c>
      <c r="L58" s="40"/>
      <c r="M58" s="41"/>
      <c r="N58" s="42"/>
      <c r="O58" s="43">
        <v>1.69695342E8</v>
      </c>
      <c r="P58" s="44">
        <f t="shared" si="2"/>
        <v>169695342</v>
      </c>
      <c r="Q58" s="42"/>
      <c r="R58" s="5"/>
      <c r="S58" s="9"/>
    </row>
    <row r="59" ht="15.75" customHeight="1">
      <c r="A59" s="10" t="str">
        <f t="shared" si="1"/>
        <v>TTJ26</v>
      </c>
      <c r="B59" s="11">
        <v>45770.0</v>
      </c>
      <c r="C59" s="12" t="s">
        <v>14</v>
      </c>
      <c r="D59" s="12" t="s">
        <v>40</v>
      </c>
      <c r="E59" s="3" t="s">
        <v>16</v>
      </c>
      <c r="F59" s="13" t="s">
        <v>25</v>
      </c>
      <c r="G59" s="13" t="s">
        <v>18</v>
      </c>
      <c r="H59" s="13" t="s">
        <v>32</v>
      </c>
      <c r="I59" s="3"/>
      <c r="J59" s="3"/>
      <c r="K59" s="13" t="s">
        <v>49</v>
      </c>
      <c r="L59" s="14">
        <v>-8.50889933E8</v>
      </c>
      <c r="M59" s="18">
        <v>1.018</v>
      </c>
      <c r="P59" s="17" t="str">
        <f t="shared" si="2"/>
        <v/>
      </c>
      <c r="R59" s="5" t="str">
        <f t="shared" ref="R59:R60" si="6">IF(AND(D59="Venta",L59&gt;0),"Ventas Nominal en Negativo",IF(AND(D59="Outflow",P59&gt;0),"Outflows Value en Negativo",""))</f>
        <v/>
      </c>
      <c r="S59" s="9"/>
    </row>
    <row r="60" ht="15.75" customHeight="1">
      <c r="A60" s="10" t="str">
        <f t="shared" si="1"/>
        <v>YMCY</v>
      </c>
      <c r="B60" s="11">
        <v>45770.0</v>
      </c>
      <c r="C60" s="12" t="s">
        <v>14</v>
      </c>
      <c r="D60" s="12" t="s">
        <v>40</v>
      </c>
      <c r="E60" s="3" t="s">
        <v>16</v>
      </c>
      <c r="F60" s="13" t="s">
        <v>17</v>
      </c>
      <c r="G60" s="13" t="s">
        <v>21</v>
      </c>
      <c r="H60" s="3" t="s">
        <v>22</v>
      </c>
      <c r="I60" s="3"/>
      <c r="J60" s="3"/>
      <c r="K60" s="3" t="s">
        <v>24</v>
      </c>
      <c r="L60" s="14">
        <v>-203779.0</v>
      </c>
      <c r="M60" s="18">
        <v>1169.64</v>
      </c>
      <c r="P60" s="17" t="str">
        <f t="shared" si="2"/>
        <v/>
      </c>
      <c r="R60" s="5" t="str">
        <f t="shared" si="6"/>
        <v/>
      </c>
      <c r="S60" s="9"/>
    </row>
    <row r="61" ht="15.75" customHeight="1">
      <c r="A61" s="10" t="str">
        <f t="shared" si="1"/>
        <v>TTC9</v>
      </c>
      <c r="B61" s="36">
        <v>45771.0</v>
      </c>
      <c r="C61" s="37" t="s">
        <v>52</v>
      </c>
      <c r="D61" s="37" t="s">
        <v>64</v>
      </c>
      <c r="E61" s="38" t="s">
        <v>16</v>
      </c>
      <c r="F61" s="39" t="s">
        <v>17</v>
      </c>
      <c r="G61" s="39" t="s">
        <v>21</v>
      </c>
      <c r="H61" s="38" t="s">
        <v>22</v>
      </c>
      <c r="I61" s="38"/>
      <c r="J61" s="38"/>
      <c r="K61" s="39" t="s">
        <v>23</v>
      </c>
      <c r="L61" s="40"/>
      <c r="M61" s="42"/>
      <c r="N61" s="42"/>
      <c r="O61" s="43">
        <v>8030800.000000001</v>
      </c>
      <c r="P61" s="44">
        <f t="shared" si="2"/>
        <v>8030800</v>
      </c>
      <c r="Q61" s="42"/>
      <c r="R61" s="5"/>
      <c r="S61" s="9"/>
    </row>
    <row r="62" ht="15.75" customHeight="1">
      <c r="A62" s="10" t="str">
        <f t="shared" si="1"/>
        <v>TPOS7</v>
      </c>
      <c r="B62" s="45">
        <v>45777.0</v>
      </c>
      <c r="C62" s="37" t="s">
        <v>52</v>
      </c>
      <c r="D62" s="37" t="s">
        <v>64</v>
      </c>
      <c r="E62" s="38" t="s">
        <v>16</v>
      </c>
      <c r="F62" s="39" t="s">
        <v>17</v>
      </c>
      <c r="G62" s="39" t="s">
        <v>18</v>
      </c>
      <c r="H62" s="39" t="s">
        <v>19</v>
      </c>
      <c r="I62" s="38"/>
      <c r="J62" s="38"/>
      <c r="K62" s="39" t="s">
        <v>20</v>
      </c>
      <c r="L62" s="42"/>
      <c r="M62" s="42"/>
      <c r="N62" s="42"/>
      <c r="O62" s="43">
        <v>1.182E8</v>
      </c>
      <c r="P62" s="44">
        <f t="shared" si="2"/>
        <v>118200000</v>
      </c>
      <c r="Q62" s="42"/>
      <c r="R62" s="5" t="str">
        <f t="shared" ref="R62:R69" si="7">IF(AND(D62="Venta",L62&gt;0),"Ventas Nominal en Negativo",IF(AND(D62="Outflow",P62&gt;0),"Outflows Value en Negativo",""))</f>
        <v/>
      </c>
      <c r="S62" s="19"/>
    </row>
    <row r="63" ht="15.75" customHeight="1">
      <c r="A63" s="10" t="str">
        <f t="shared" si="1"/>
        <v>S18J5</v>
      </c>
      <c r="B63" s="11">
        <v>45777.0</v>
      </c>
      <c r="C63" s="12" t="s">
        <v>14</v>
      </c>
      <c r="D63" s="12" t="s">
        <v>15</v>
      </c>
      <c r="E63" s="3" t="s">
        <v>16</v>
      </c>
      <c r="F63" s="13" t="s">
        <v>25</v>
      </c>
      <c r="G63" s="13" t="s">
        <v>18</v>
      </c>
      <c r="H63" s="13" t="s">
        <v>32</v>
      </c>
      <c r="I63" s="3"/>
      <c r="J63" s="3"/>
      <c r="K63" s="13" t="s">
        <v>38</v>
      </c>
      <c r="L63" s="14">
        <v>1.2E9</v>
      </c>
      <c r="M63" s="18">
        <v>1.4259</v>
      </c>
      <c r="P63" s="17" t="str">
        <f t="shared" si="2"/>
        <v/>
      </c>
      <c r="R63" s="5" t="str">
        <f t="shared" si="7"/>
        <v/>
      </c>
    </row>
    <row r="64" ht="15.75" customHeight="1">
      <c r="A64" s="10" t="str">
        <f t="shared" si="1"/>
        <v>6IST</v>
      </c>
      <c r="B64" s="11">
        <v>45782.0</v>
      </c>
      <c r="C64" s="12" t="s">
        <v>14</v>
      </c>
      <c r="D64" s="12" t="s">
        <v>40</v>
      </c>
      <c r="E64" s="13" t="s">
        <v>34</v>
      </c>
      <c r="F64" s="13" t="s">
        <v>25</v>
      </c>
      <c r="G64" s="13" t="s">
        <v>21</v>
      </c>
      <c r="H64" s="13" t="s">
        <v>34</v>
      </c>
      <c r="I64" s="3"/>
      <c r="J64" s="3"/>
      <c r="K64" s="13" t="s">
        <v>35</v>
      </c>
      <c r="L64" s="14">
        <v>-44739.0</v>
      </c>
      <c r="M64" s="24">
        <v>17350.23</v>
      </c>
      <c r="P64" s="17" t="str">
        <f t="shared" si="2"/>
        <v/>
      </c>
      <c r="R64" s="5" t="str">
        <f t="shared" si="7"/>
        <v/>
      </c>
    </row>
    <row r="65" ht="15.75" customHeight="1">
      <c r="A65" s="10" t="str">
        <f t="shared" si="1"/>
        <v>TPOS7</v>
      </c>
      <c r="B65" s="11">
        <v>45783.0</v>
      </c>
      <c r="C65" s="12" t="s">
        <v>14</v>
      </c>
      <c r="D65" s="12" t="s">
        <v>40</v>
      </c>
      <c r="E65" s="3" t="s">
        <v>16</v>
      </c>
      <c r="F65" s="13" t="s">
        <v>17</v>
      </c>
      <c r="G65" s="13" t="s">
        <v>18</v>
      </c>
      <c r="H65" s="13" t="s">
        <v>19</v>
      </c>
      <c r="I65" s="3"/>
      <c r="J65" s="3"/>
      <c r="K65" s="13" t="s">
        <v>20</v>
      </c>
      <c r="L65" s="14">
        <v>-3000000.0</v>
      </c>
      <c r="M65" s="15">
        <v>1202.3</v>
      </c>
      <c r="N65" s="16"/>
      <c r="O65" s="16"/>
      <c r="P65" s="17" t="str">
        <f t="shared" si="2"/>
        <v/>
      </c>
      <c r="R65" s="5" t="str">
        <f t="shared" si="7"/>
        <v/>
      </c>
    </row>
    <row r="66" ht="15.75" customHeight="1">
      <c r="A66" s="10" t="str">
        <f t="shared" si="1"/>
        <v>TTC9</v>
      </c>
      <c r="B66" s="11">
        <v>45784.0</v>
      </c>
      <c r="C66" s="12" t="s">
        <v>14</v>
      </c>
      <c r="D66" s="12" t="s">
        <v>40</v>
      </c>
      <c r="E66" s="3" t="s">
        <v>16</v>
      </c>
      <c r="F66" s="13" t="s">
        <v>17</v>
      </c>
      <c r="G66" s="13" t="s">
        <v>21</v>
      </c>
      <c r="H66" s="3" t="s">
        <v>22</v>
      </c>
      <c r="I66" s="3"/>
      <c r="J66" s="3"/>
      <c r="K66" s="13" t="s">
        <v>23</v>
      </c>
      <c r="L66" s="14">
        <v>-122292.0</v>
      </c>
      <c r="M66" s="18">
        <f>0.982*1189</f>
        <v>1167.598</v>
      </c>
      <c r="P66" s="17" t="str">
        <f t="shared" si="2"/>
        <v/>
      </c>
      <c r="R66" s="5" t="str">
        <f t="shared" si="7"/>
        <v/>
      </c>
      <c r="S66" s="17"/>
    </row>
    <row r="67" ht="15.75" customHeight="1">
      <c r="A67" s="10" t="str">
        <f t="shared" si="1"/>
        <v>TX26</v>
      </c>
      <c r="B67" s="25">
        <v>45785.0</v>
      </c>
      <c r="C67" s="26" t="s">
        <v>52</v>
      </c>
      <c r="D67" s="26" t="s">
        <v>53</v>
      </c>
      <c r="E67" s="27" t="s">
        <v>16</v>
      </c>
      <c r="F67" s="28" t="s">
        <v>25</v>
      </c>
      <c r="G67" s="28" t="s">
        <v>18</v>
      </c>
      <c r="H67" s="27" t="s">
        <v>26</v>
      </c>
      <c r="I67" s="27"/>
      <c r="J67" s="27"/>
      <c r="K67" s="28" t="s">
        <v>27</v>
      </c>
      <c r="L67" s="29"/>
      <c r="M67" s="29"/>
      <c r="N67" s="31">
        <v>0.2</v>
      </c>
      <c r="O67" s="46">
        <v>2.7669505E8</v>
      </c>
      <c r="P67" s="33">
        <f t="shared" si="2"/>
        <v>276695050</v>
      </c>
      <c r="Q67" s="34"/>
      <c r="R67" s="5" t="str">
        <f t="shared" si="7"/>
        <v/>
      </c>
    </row>
    <row r="68" ht="15.75" customHeight="1">
      <c r="A68" s="10" t="str">
        <f t="shared" si="1"/>
        <v>TTC9</v>
      </c>
      <c r="B68" s="11">
        <v>45785.0</v>
      </c>
      <c r="C68" s="12" t="s">
        <v>14</v>
      </c>
      <c r="D68" s="12" t="s">
        <v>40</v>
      </c>
      <c r="E68" s="3" t="s">
        <v>16</v>
      </c>
      <c r="F68" s="13" t="s">
        <v>17</v>
      </c>
      <c r="G68" s="13" t="s">
        <v>21</v>
      </c>
      <c r="H68" s="3" t="s">
        <v>22</v>
      </c>
      <c r="I68" s="3"/>
      <c r="J68" s="3"/>
      <c r="K68" s="13" t="s">
        <v>23</v>
      </c>
      <c r="L68" s="14">
        <v>-15869.0</v>
      </c>
      <c r="M68" s="18">
        <f>0.982*1142</f>
        <v>1121.444</v>
      </c>
      <c r="P68" s="17" t="str">
        <f t="shared" si="2"/>
        <v/>
      </c>
      <c r="R68" s="5" t="str">
        <f t="shared" si="7"/>
        <v/>
      </c>
    </row>
    <row r="69" ht="15.75" customHeight="1">
      <c r="A69" s="10" t="str">
        <f t="shared" si="1"/>
        <v>MELI</v>
      </c>
      <c r="B69" s="11">
        <v>45786.0</v>
      </c>
      <c r="C69" s="12" t="s">
        <v>14</v>
      </c>
      <c r="D69" s="12" t="s">
        <v>40</v>
      </c>
      <c r="E69" s="13" t="s">
        <v>34</v>
      </c>
      <c r="F69" s="13" t="s">
        <v>25</v>
      </c>
      <c r="G69" s="13" t="s">
        <v>43</v>
      </c>
      <c r="H69" s="13" t="s">
        <v>34</v>
      </c>
      <c r="I69" s="3"/>
      <c r="J69" s="3"/>
      <c r="K69" s="3" t="s">
        <v>44</v>
      </c>
      <c r="L69" s="14">
        <v>-18800.0</v>
      </c>
      <c r="M69" s="8">
        <v>23150.0</v>
      </c>
      <c r="P69" s="17" t="str">
        <f t="shared" si="2"/>
        <v/>
      </c>
      <c r="R69" s="5" t="str">
        <f t="shared" si="7"/>
        <v/>
      </c>
    </row>
    <row r="70" ht="15.75" customHeight="1">
      <c r="A70" s="10" t="str">
        <f t="shared" si="1"/>
        <v>TZXO5</v>
      </c>
      <c r="B70" s="11">
        <v>45786.0</v>
      </c>
      <c r="C70" s="12" t="s">
        <v>14</v>
      </c>
      <c r="D70" s="12" t="s">
        <v>40</v>
      </c>
      <c r="E70" s="3" t="s">
        <v>16</v>
      </c>
      <c r="F70" s="13" t="s">
        <v>25</v>
      </c>
      <c r="G70" s="13" t="s">
        <v>18</v>
      </c>
      <c r="H70" s="3" t="s">
        <v>26</v>
      </c>
      <c r="I70" s="3"/>
      <c r="J70" s="3"/>
      <c r="K70" s="13" t="s">
        <v>57</v>
      </c>
      <c r="L70" s="14">
        <f>-3364485981</f>
        <v>-3364485981</v>
      </c>
      <c r="M70" s="35">
        <v>1.1520003</v>
      </c>
      <c r="P70" s="17" t="str">
        <f t="shared" si="2"/>
        <v/>
      </c>
      <c r="R70" s="5"/>
    </row>
    <row r="71" ht="15.75" customHeight="1">
      <c r="A71" s="10" t="str">
        <f t="shared" si="1"/>
        <v>TZXM6</v>
      </c>
      <c r="B71" s="11">
        <v>45786.0</v>
      </c>
      <c r="C71" s="12" t="s">
        <v>14</v>
      </c>
      <c r="D71" s="12" t="s">
        <v>15</v>
      </c>
      <c r="E71" s="3" t="s">
        <v>16</v>
      </c>
      <c r="F71" s="13" t="s">
        <v>25</v>
      </c>
      <c r="G71" s="13" t="s">
        <v>18</v>
      </c>
      <c r="H71" s="3" t="s">
        <v>26</v>
      </c>
      <c r="I71" s="3"/>
      <c r="J71" s="3"/>
      <c r="K71" s="13" t="s">
        <v>31</v>
      </c>
      <c r="L71" s="14">
        <v>1.75E9</v>
      </c>
      <c r="M71" s="35">
        <v>1.57950002</v>
      </c>
      <c r="P71" s="17" t="str">
        <f t="shared" si="2"/>
        <v/>
      </c>
      <c r="R71" s="5"/>
    </row>
    <row r="72" ht="15.75" customHeight="1">
      <c r="A72" s="10" t="str">
        <f t="shared" si="1"/>
        <v>TTM26</v>
      </c>
      <c r="B72" s="11">
        <v>45786.0</v>
      </c>
      <c r="C72" s="12" t="s">
        <v>14</v>
      </c>
      <c r="D72" s="12" t="s">
        <v>15</v>
      </c>
      <c r="E72" s="3" t="s">
        <v>16</v>
      </c>
      <c r="F72" s="13" t="s">
        <v>25</v>
      </c>
      <c r="G72" s="13" t="s">
        <v>18</v>
      </c>
      <c r="H72" s="13" t="s">
        <v>32</v>
      </c>
      <c r="I72" s="3"/>
      <c r="J72" s="3"/>
      <c r="K72" s="13" t="s">
        <v>48</v>
      </c>
      <c r="L72" s="14">
        <v>1.0E9</v>
      </c>
      <c r="M72" s="18">
        <v>1.0805</v>
      </c>
      <c r="P72" s="17" t="str">
        <f t="shared" si="2"/>
        <v/>
      </c>
      <c r="R72" s="5"/>
    </row>
    <row r="73" ht="15.75" customHeight="1">
      <c r="A73" s="10" t="str">
        <f t="shared" si="1"/>
        <v>TTC9</v>
      </c>
      <c r="B73" s="11">
        <v>45786.0</v>
      </c>
      <c r="C73" s="12" t="s">
        <v>14</v>
      </c>
      <c r="D73" s="12" t="s">
        <v>40</v>
      </c>
      <c r="E73" s="3" t="s">
        <v>16</v>
      </c>
      <c r="F73" s="13" t="s">
        <v>17</v>
      </c>
      <c r="G73" s="13" t="s">
        <v>21</v>
      </c>
      <c r="H73" s="3" t="s">
        <v>22</v>
      </c>
      <c r="I73" s="3"/>
      <c r="J73" s="3"/>
      <c r="K73" s="13" t="s">
        <v>23</v>
      </c>
      <c r="L73" s="14">
        <v>-49418.0</v>
      </c>
      <c r="M73" s="18">
        <f>0.982316*1142</f>
        <v>1121.804872</v>
      </c>
      <c r="P73" s="17" t="str">
        <f t="shared" si="2"/>
        <v/>
      </c>
      <c r="R73" s="5"/>
    </row>
    <row r="74" ht="15.75" customHeight="1">
      <c r="A74" s="10" t="str">
        <f t="shared" si="1"/>
        <v>TTC9</v>
      </c>
      <c r="B74" s="11">
        <v>45786.0</v>
      </c>
      <c r="C74" s="12" t="s">
        <v>14</v>
      </c>
      <c r="D74" s="12" t="s">
        <v>40</v>
      </c>
      <c r="E74" s="3" t="s">
        <v>16</v>
      </c>
      <c r="F74" s="13" t="s">
        <v>17</v>
      </c>
      <c r="G74" s="13" t="s">
        <v>21</v>
      </c>
      <c r="H74" s="3" t="s">
        <v>22</v>
      </c>
      <c r="I74" s="3"/>
      <c r="J74" s="3"/>
      <c r="K74" s="13" t="s">
        <v>23</v>
      </c>
      <c r="L74" s="14">
        <v>-18777.0</v>
      </c>
      <c r="M74" s="18">
        <f>0.972381*1142</f>
        <v>1110.459102</v>
      </c>
      <c r="P74" s="17" t="str">
        <f t="shared" si="2"/>
        <v/>
      </c>
      <c r="R74" s="5"/>
    </row>
    <row r="75" ht="15.75" customHeight="1">
      <c r="A75" s="10" t="str">
        <f t="shared" si="1"/>
        <v>TMS</v>
      </c>
      <c r="B75" s="11">
        <v>45790.0</v>
      </c>
      <c r="C75" s="12" t="s">
        <v>14</v>
      </c>
      <c r="D75" s="12" t="s">
        <v>15</v>
      </c>
      <c r="E75" s="13" t="s">
        <v>34</v>
      </c>
      <c r="F75" s="13" t="s">
        <v>25</v>
      </c>
      <c r="G75" s="13" t="s">
        <v>41</v>
      </c>
      <c r="H75" s="13" t="s">
        <v>34</v>
      </c>
      <c r="I75" s="3"/>
      <c r="J75" s="3"/>
      <c r="K75" s="13" t="s">
        <v>59</v>
      </c>
      <c r="L75" s="14">
        <v>109500.0</v>
      </c>
      <c r="M75" s="24">
        <v>10972.996804</v>
      </c>
      <c r="P75" s="17" t="str">
        <f t="shared" si="2"/>
        <v/>
      </c>
      <c r="R75" s="5"/>
    </row>
    <row r="76" ht="15.75" customHeight="1">
      <c r="A76" s="10" t="str">
        <f t="shared" si="1"/>
        <v>GGSL</v>
      </c>
      <c r="B76" s="11">
        <v>45790.0</v>
      </c>
      <c r="C76" s="12" t="s">
        <v>14</v>
      </c>
      <c r="D76" s="12" t="s">
        <v>15</v>
      </c>
      <c r="E76" s="13" t="s">
        <v>34</v>
      </c>
      <c r="F76" s="13" t="s">
        <v>25</v>
      </c>
      <c r="G76" s="13" t="s">
        <v>41</v>
      </c>
      <c r="H76" s="13" t="s">
        <v>34</v>
      </c>
      <c r="I76" s="3"/>
      <c r="J76" s="3"/>
      <c r="K76" s="13" t="s">
        <v>42</v>
      </c>
      <c r="L76" s="14">
        <v>68600.0</v>
      </c>
      <c r="M76" s="24">
        <v>7277.210641</v>
      </c>
      <c r="P76" s="17" t="str">
        <f t="shared" si="2"/>
        <v/>
      </c>
      <c r="R76" s="5"/>
    </row>
    <row r="77" ht="15.75" customHeight="1">
      <c r="A77" s="10" t="str">
        <f t="shared" si="1"/>
        <v>GGSL</v>
      </c>
      <c r="B77" s="47">
        <v>45791.0</v>
      </c>
      <c r="C77" s="48" t="s">
        <v>52</v>
      </c>
      <c r="D77" s="48" t="s">
        <v>65</v>
      </c>
      <c r="E77" s="49" t="s">
        <v>34</v>
      </c>
      <c r="F77" s="49" t="s">
        <v>25</v>
      </c>
      <c r="G77" s="49" t="s">
        <v>41</v>
      </c>
      <c r="H77" s="49" t="s">
        <v>34</v>
      </c>
      <c r="I77" s="50"/>
      <c r="J77" s="50"/>
      <c r="K77" s="49" t="s">
        <v>42</v>
      </c>
      <c r="L77" s="51"/>
      <c r="M77" s="52"/>
      <c r="N77" s="53"/>
      <c r="O77" s="54">
        <v>7691935.0</v>
      </c>
      <c r="P77" s="55">
        <f t="shared" si="2"/>
        <v>7691935</v>
      </c>
      <c r="Q77" s="53"/>
      <c r="R77" s="5"/>
      <c r="T77" s="21"/>
      <c r="U77" s="20"/>
      <c r="V77" s="20"/>
      <c r="W77" s="20"/>
      <c r="X77" s="20"/>
      <c r="Y77" s="20"/>
    </row>
    <row r="78" ht="15.75" customHeight="1">
      <c r="A78" s="10" t="str">
        <f t="shared" si="1"/>
        <v>S18J5</v>
      </c>
      <c r="B78" s="11">
        <v>45793.0</v>
      </c>
      <c r="C78" s="12" t="s">
        <v>14</v>
      </c>
      <c r="D78" s="12" t="s">
        <v>40</v>
      </c>
      <c r="E78" s="3" t="s">
        <v>16</v>
      </c>
      <c r="F78" s="13" t="s">
        <v>25</v>
      </c>
      <c r="G78" s="13" t="s">
        <v>18</v>
      </c>
      <c r="H78" s="13" t="s">
        <v>32</v>
      </c>
      <c r="I78" s="3"/>
      <c r="J78" s="3"/>
      <c r="K78" s="13" t="s">
        <v>38</v>
      </c>
      <c r="L78" s="14">
        <v>-3.5E9</v>
      </c>
      <c r="M78" s="18">
        <v>1.4385</v>
      </c>
      <c r="P78" s="17" t="str">
        <f t="shared" si="2"/>
        <v/>
      </c>
      <c r="R78" s="5"/>
    </row>
    <row r="79" ht="15.75" customHeight="1">
      <c r="A79" s="10" t="str">
        <f t="shared" si="1"/>
        <v>S31L5</v>
      </c>
      <c r="B79" s="11">
        <v>45793.0</v>
      </c>
      <c r="C79" s="12" t="s">
        <v>14</v>
      </c>
      <c r="D79" s="12" t="s">
        <v>15</v>
      </c>
      <c r="E79" s="3" t="s">
        <v>16</v>
      </c>
      <c r="F79" s="13" t="s">
        <v>25</v>
      </c>
      <c r="G79" s="13" t="s">
        <v>18</v>
      </c>
      <c r="H79" s="13" t="s">
        <v>32</v>
      </c>
      <c r="I79" s="3"/>
      <c r="J79" s="3"/>
      <c r="K79" s="13" t="s">
        <v>60</v>
      </c>
      <c r="L79" s="14">
        <v>1.551661E8</v>
      </c>
      <c r="M79" s="18">
        <v>1.39045</v>
      </c>
      <c r="P79" s="17" t="str">
        <f t="shared" si="2"/>
        <v/>
      </c>
      <c r="R79" s="5"/>
      <c r="T79" s="21"/>
      <c r="U79" s="20"/>
      <c r="V79" s="17"/>
      <c r="W79" s="20"/>
      <c r="X79" s="20"/>
      <c r="Y79" s="20"/>
      <c r="Z79" s="20"/>
      <c r="AA79" s="20"/>
      <c r="AB79" s="21"/>
    </row>
    <row r="80" ht="15.75" customHeight="1">
      <c r="A80" s="10" t="str">
        <f t="shared" si="1"/>
        <v>TNC5</v>
      </c>
      <c r="B80" s="36">
        <v>45805.0</v>
      </c>
      <c r="C80" s="37" t="s">
        <v>52</v>
      </c>
      <c r="D80" s="37" t="s">
        <v>64</v>
      </c>
      <c r="E80" s="38" t="s">
        <v>16</v>
      </c>
      <c r="F80" s="39" t="s">
        <v>25</v>
      </c>
      <c r="G80" s="39" t="s">
        <v>41</v>
      </c>
      <c r="H80" s="38" t="s">
        <v>22</v>
      </c>
      <c r="I80" s="38"/>
      <c r="J80" s="38"/>
      <c r="K80" s="39" t="s">
        <v>56</v>
      </c>
      <c r="L80" s="40"/>
      <c r="M80" s="41"/>
      <c r="N80" s="42"/>
      <c r="O80" s="43">
        <v>8.2483493E7</v>
      </c>
      <c r="P80" s="44">
        <f t="shared" si="2"/>
        <v>82483493</v>
      </c>
      <c r="Q80" s="42"/>
      <c r="R80" s="5"/>
    </row>
    <row r="81" ht="15.75" customHeight="1">
      <c r="A81" s="10" t="str">
        <f t="shared" si="1"/>
        <v>S18J5</v>
      </c>
      <c r="B81" s="11">
        <v>45805.0</v>
      </c>
      <c r="C81" s="12" t="s">
        <v>14</v>
      </c>
      <c r="D81" s="12" t="s">
        <v>40</v>
      </c>
      <c r="E81" s="3" t="s">
        <v>16</v>
      </c>
      <c r="F81" s="13" t="s">
        <v>25</v>
      </c>
      <c r="G81" s="13" t="s">
        <v>18</v>
      </c>
      <c r="H81" s="13" t="s">
        <v>32</v>
      </c>
      <c r="I81" s="3"/>
      <c r="J81" s="3"/>
      <c r="K81" s="13" t="s">
        <v>38</v>
      </c>
      <c r="L81" s="14">
        <v>-6.872E8</v>
      </c>
      <c r="M81" s="18">
        <v>1.45379</v>
      </c>
      <c r="P81" s="17" t="str">
        <f t="shared" si="2"/>
        <v/>
      </c>
      <c r="R81" s="5"/>
    </row>
    <row r="82" ht="15.75" customHeight="1">
      <c r="A82" s="10" t="str">
        <f t="shared" si="1"/>
        <v>S18J5</v>
      </c>
      <c r="B82" s="11">
        <v>45805.0</v>
      </c>
      <c r="C82" s="12" t="s">
        <v>14</v>
      </c>
      <c r="D82" s="12" t="s">
        <v>40</v>
      </c>
      <c r="E82" s="3" t="s">
        <v>16</v>
      </c>
      <c r="F82" s="13" t="s">
        <v>25</v>
      </c>
      <c r="G82" s="13" t="s">
        <v>18</v>
      </c>
      <c r="H82" s="13" t="s">
        <v>32</v>
      </c>
      <c r="I82" s="3"/>
      <c r="J82" s="3"/>
      <c r="K82" s="13" t="s">
        <v>38</v>
      </c>
      <c r="L82" s="14">
        <v>-1.06436325E9</v>
      </c>
      <c r="M82" s="18">
        <v>1.452897</v>
      </c>
      <c r="P82" s="17" t="str">
        <f t="shared" si="2"/>
        <v/>
      </c>
      <c r="R82" s="5"/>
    </row>
    <row r="83" ht="15.75" customHeight="1">
      <c r="A83" s="10" t="str">
        <f t="shared" si="1"/>
        <v>T30J6</v>
      </c>
      <c r="B83" s="11">
        <v>45805.0</v>
      </c>
      <c r="C83" s="12" t="s">
        <v>14</v>
      </c>
      <c r="D83" s="12" t="s">
        <v>15</v>
      </c>
      <c r="E83" s="3" t="s">
        <v>16</v>
      </c>
      <c r="F83" s="13" t="s">
        <v>25</v>
      </c>
      <c r="G83" s="13" t="s">
        <v>18</v>
      </c>
      <c r="H83" s="13" t="s">
        <v>32</v>
      </c>
      <c r="I83" s="3"/>
      <c r="J83" s="3"/>
      <c r="K83" s="13" t="s">
        <v>45</v>
      </c>
      <c r="L83" s="14">
        <v>9.2718746E8</v>
      </c>
      <c r="M83" s="18">
        <v>1.0775</v>
      </c>
      <c r="P83" s="17" t="str">
        <f t="shared" si="2"/>
        <v/>
      </c>
      <c r="R83" s="5"/>
    </row>
    <row r="84" ht="15.75" customHeight="1">
      <c r="A84" s="10" t="str">
        <f t="shared" si="1"/>
        <v>S31L5</v>
      </c>
      <c r="B84" s="11">
        <v>45806.0</v>
      </c>
      <c r="C84" s="12" t="s">
        <v>14</v>
      </c>
      <c r="D84" s="12" t="s">
        <v>40</v>
      </c>
      <c r="E84" s="3" t="s">
        <v>16</v>
      </c>
      <c r="F84" s="13" t="s">
        <v>25</v>
      </c>
      <c r="G84" s="13" t="s">
        <v>18</v>
      </c>
      <c r="H84" s="13" t="s">
        <v>32</v>
      </c>
      <c r="I84" s="3"/>
      <c r="J84" s="3"/>
      <c r="K84" s="13" t="s">
        <v>60</v>
      </c>
      <c r="L84" s="14">
        <v>-6.86531033E8</v>
      </c>
      <c r="M84" s="18">
        <v>1.4049</v>
      </c>
      <c r="P84" s="17" t="str">
        <f t="shared" si="2"/>
        <v/>
      </c>
      <c r="R84" s="5"/>
    </row>
    <row r="85" ht="15.75" customHeight="1">
      <c r="A85" s="10" t="str">
        <f t="shared" si="1"/>
        <v>S18J5</v>
      </c>
      <c r="B85" s="11">
        <v>45806.0</v>
      </c>
      <c r="C85" s="12" t="s">
        <v>14</v>
      </c>
      <c r="D85" s="12" t="s">
        <v>40</v>
      </c>
      <c r="E85" s="3" t="s">
        <v>16</v>
      </c>
      <c r="F85" s="13" t="s">
        <v>25</v>
      </c>
      <c r="G85" s="13" t="s">
        <v>18</v>
      </c>
      <c r="H85" s="13" t="s">
        <v>32</v>
      </c>
      <c r="I85" s="3"/>
      <c r="J85" s="3"/>
      <c r="K85" s="13" t="s">
        <v>38</v>
      </c>
      <c r="L85" s="14">
        <v>-6.873E8</v>
      </c>
      <c r="M85" s="18">
        <v>1.4545</v>
      </c>
      <c r="P85" s="17" t="str">
        <f t="shared" si="2"/>
        <v/>
      </c>
      <c r="R85" s="5"/>
    </row>
    <row r="86" ht="15.75" customHeight="1">
      <c r="A86" s="10" t="str">
        <f t="shared" si="1"/>
        <v>S28N5</v>
      </c>
      <c r="B86" s="11">
        <v>45806.0</v>
      </c>
      <c r="C86" s="12" t="s">
        <v>14</v>
      </c>
      <c r="D86" s="12" t="s">
        <v>15</v>
      </c>
      <c r="E86" s="3" t="s">
        <v>16</v>
      </c>
      <c r="F86" s="13" t="s">
        <v>25</v>
      </c>
      <c r="G86" s="13" t="s">
        <v>18</v>
      </c>
      <c r="H86" s="13" t="s">
        <v>32</v>
      </c>
      <c r="I86" s="3"/>
      <c r="J86" s="3"/>
      <c r="K86" s="13" t="s">
        <v>66</v>
      </c>
      <c r="L86" s="14">
        <v>1.862E9</v>
      </c>
      <c r="M86" s="18">
        <v>1.074</v>
      </c>
      <c r="P86" s="17" t="str">
        <f t="shared" si="2"/>
        <v/>
      </c>
      <c r="R86" s="5"/>
    </row>
    <row r="87" ht="15.75" customHeight="1">
      <c r="A87" s="10" t="str">
        <f t="shared" si="1"/>
        <v>S18J5</v>
      </c>
      <c r="B87" s="11">
        <v>45813.0</v>
      </c>
      <c r="C87" s="12" t="s">
        <v>14</v>
      </c>
      <c r="D87" s="12" t="s">
        <v>40</v>
      </c>
      <c r="E87" s="3" t="s">
        <v>16</v>
      </c>
      <c r="F87" s="13" t="s">
        <v>25</v>
      </c>
      <c r="G87" s="13" t="s">
        <v>18</v>
      </c>
      <c r="H87" s="13" t="s">
        <v>32</v>
      </c>
      <c r="I87" s="3"/>
      <c r="J87" s="3"/>
      <c r="K87" s="13" t="s">
        <v>38</v>
      </c>
      <c r="L87" s="14">
        <v>-1.4E9</v>
      </c>
      <c r="M87" s="18">
        <v>1.46272</v>
      </c>
      <c r="P87" s="17" t="str">
        <f t="shared" si="2"/>
        <v/>
      </c>
      <c r="R87" s="5"/>
    </row>
    <row r="88" ht="15.75" customHeight="1">
      <c r="A88" s="10" t="str">
        <f t="shared" si="1"/>
        <v>T30E6</v>
      </c>
      <c r="B88" s="11">
        <v>45813.0</v>
      </c>
      <c r="C88" s="12" t="s">
        <v>14</v>
      </c>
      <c r="D88" s="12" t="s">
        <v>15</v>
      </c>
      <c r="E88" s="3" t="s">
        <v>16</v>
      </c>
      <c r="F88" s="13" t="s">
        <v>25</v>
      </c>
      <c r="G88" s="13" t="s">
        <v>18</v>
      </c>
      <c r="H88" s="13" t="s">
        <v>32</v>
      </c>
      <c r="I88" s="3"/>
      <c r="J88" s="3"/>
      <c r="K88" s="13" t="s">
        <v>67</v>
      </c>
      <c r="L88" s="14">
        <v>1.722294365E9</v>
      </c>
      <c r="M88" s="18">
        <v>1.189</v>
      </c>
      <c r="P88" s="17" t="str">
        <f t="shared" si="2"/>
        <v/>
      </c>
      <c r="R88" s="5"/>
    </row>
    <row r="89" ht="15.75" customHeight="1">
      <c r="A89" s="10" t="str">
        <f t="shared" si="1"/>
        <v>TZXD5</v>
      </c>
      <c r="B89" s="11">
        <v>45814.0</v>
      </c>
      <c r="C89" s="12" t="s">
        <v>14</v>
      </c>
      <c r="D89" s="12" t="s">
        <v>40</v>
      </c>
      <c r="E89" s="3" t="s">
        <v>16</v>
      </c>
      <c r="F89" s="13" t="s">
        <v>25</v>
      </c>
      <c r="G89" s="13" t="s">
        <v>18</v>
      </c>
      <c r="H89" s="3" t="s">
        <v>26</v>
      </c>
      <c r="I89" s="3"/>
      <c r="J89" s="3"/>
      <c r="K89" s="13" t="s">
        <v>30</v>
      </c>
      <c r="L89" s="14">
        <v>-1.0E9</v>
      </c>
      <c r="M89" s="18">
        <v>2.063</v>
      </c>
      <c r="P89" s="17" t="str">
        <f t="shared" si="2"/>
        <v/>
      </c>
      <c r="R89" s="5"/>
    </row>
    <row r="90" ht="15.75" customHeight="1">
      <c r="A90" s="10" t="str">
        <f t="shared" si="1"/>
        <v>T30E6</v>
      </c>
      <c r="B90" s="11">
        <v>45814.0</v>
      </c>
      <c r="C90" s="12" t="s">
        <v>14</v>
      </c>
      <c r="D90" s="12" t="s">
        <v>15</v>
      </c>
      <c r="E90" s="3" t="s">
        <v>16</v>
      </c>
      <c r="F90" s="13" t="s">
        <v>25</v>
      </c>
      <c r="G90" s="13" t="s">
        <v>18</v>
      </c>
      <c r="H90" s="13" t="s">
        <v>32</v>
      </c>
      <c r="I90" s="3"/>
      <c r="J90" s="3"/>
      <c r="K90" s="13" t="s">
        <v>67</v>
      </c>
      <c r="L90" s="14">
        <v>1.74E9</v>
      </c>
      <c r="M90" s="18">
        <v>1.19</v>
      </c>
      <c r="P90" s="17" t="str">
        <f t="shared" si="2"/>
        <v/>
      </c>
      <c r="R90" s="5"/>
    </row>
    <row r="91" ht="15.75" customHeight="1">
      <c r="A91" s="10" t="str">
        <f t="shared" si="1"/>
        <v>S18J5</v>
      </c>
      <c r="B91" s="11">
        <v>45817.0</v>
      </c>
      <c r="C91" s="12" t="s">
        <v>14</v>
      </c>
      <c r="D91" s="12" t="s">
        <v>40</v>
      </c>
      <c r="E91" s="3" t="s">
        <v>16</v>
      </c>
      <c r="F91" s="13" t="s">
        <v>25</v>
      </c>
      <c r="G91" s="13" t="s">
        <v>18</v>
      </c>
      <c r="H91" s="13" t="s">
        <v>32</v>
      </c>
      <c r="I91" s="3"/>
      <c r="J91" s="3"/>
      <c r="K91" s="13" t="s">
        <v>38</v>
      </c>
      <c r="L91" s="14">
        <v>-2.167195892E9</v>
      </c>
      <c r="M91" s="18">
        <v>1.46705</v>
      </c>
      <c r="P91" s="17" t="str">
        <f t="shared" si="2"/>
        <v/>
      </c>
      <c r="R91" s="5"/>
    </row>
    <row r="92" ht="15.75" customHeight="1">
      <c r="A92" s="10" t="str">
        <f t="shared" si="1"/>
        <v>T30J6</v>
      </c>
      <c r="B92" s="11">
        <v>45817.0</v>
      </c>
      <c r="C92" s="12" t="s">
        <v>14</v>
      </c>
      <c r="D92" s="12" t="s">
        <v>15</v>
      </c>
      <c r="E92" s="3" t="s">
        <v>16</v>
      </c>
      <c r="F92" s="13" t="s">
        <v>25</v>
      </c>
      <c r="G92" s="13" t="s">
        <v>18</v>
      </c>
      <c r="H92" s="13" t="s">
        <v>32</v>
      </c>
      <c r="I92" s="3"/>
      <c r="J92" s="3"/>
      <c r="K92" s="13" t="s">
        <v>45</v>
      </c>
      <c r="L92" s="14">
        <v>2.9E9</v>
      </c>
      <c r="M92" s="18">
        <v>1.0965</v>
      </c>
      <c r="P92" s="17" t="str">
        <f t="shared" si="2"/>
        <v/>
      </c>
      <c r="R92" s="5" t="str">
        <f t="shared" ref="R92:R93" si="8">IF(AND(D92="Venta",L92&gt;0),"Ventas Nominal en Negativo",IF(AND(D92="Outflow",P92&gt;0),"Outflows Value en Negativo",""))</f>
        <v/>
      </c>
    </row>
    <row r="93" ht="15.75" customHeight="1">
      <c r="A93" s="10" t="str">
        <f t="shared" si="1"/>
        <v>TZXD5</v>
      </c>
      <c r="B93" s="11">
        <v>45819.0</v>
      </c>
      <c r="C93" s="12" t="s">
        <v>14</v>
      </c>
      <c r="D93" s="12" t="s">
        <v>40</v>
      </c>
      <c r="E93" s="3" t="s">
        <v>16</v>
      </c>
      <c r="F93" s="13" t="s">
        <v>25</v>
      </c>
      <c r="G93" s="13" t="s">
        <v>18</v>
      </c>
      <c r="H93" s="3" t="s">
        <v>26</v>
      </c>
      <c r="I93" s="3"/>
      <c r="J93" s="3"/>
      <c r="K93" s="13" t="s">
        <v>30</v>
      </c>
      <c r="L93" s="14">
        <v>-1.726928732E9</v>
      </c>
      <c r="M93" s="35">
        <v>2.07</v>
      </c>
      <c r="P93" s="17" t="str">
        <f t="shared" si="2"/>
        <v/>
      </c>
      <c r="R93" s="5" t="str">
        <f t="shared" si="8"/>
        <v/>
      </c>
    </row>
    <row r="94" ht="15.75" customHeight="1">
      <c r="A94" s="10" t="str">
        <f t="shared" si="1"/>
        <v>T15D5</v>
      </c>
      <c r="B94" s="11">
        <v>45819.0</v>
      </c>
      <c r="C94" s="12" t="s">
        <v>14</v>
      </c>
      <c r="D94" s="12" t="s">
        <v>15</v>
      </c>
      <c r="E94" s="3" t="s">
        <v>16</v>
      </c>
      <c r="F94" s="13" t="s">
        <v>25</v>
      </c>
      <c r="G94" s="13" t="s">
        <v>18</v>
      </c>
      <c r="H94" s="13" t="s">
        <v>32</v>
      </c>
      <c r="I94" s="3"/>
      <c r="J94" s="3"/>
      <c r="K94" s="13" t="s">
        <v>68</v>
      </c>
      <c r="L94" s="14">
        <v>1.480313358E9</v>
      </c>
      <c r="M94" s="18">
        <v>1.47</v>
      </c>
      <c r="P94" s="17" t="str">
        <f t="shared" si="2"/>
        <v/>
      </c>
      <c r="T94" s="3"/>
      <c r="U94" s="3"/>
      <c r="V94" s="3"/>
      <c r="W94" s="3"/>
      <c r="X94" s="3"/>
      <c r="Y94" s="3"/>
      <c r="Z94" s="3"/>
      <c r="AA94" s="14"/>
      <c r="AB94" s="14"/>
      <c r="AD94" s="17"/>
      <c r="AE94" s="17"/>
      <c r="AG94" s="11"/>
      <c r="AJ94" s="3"/>
      <c r="AK94" s="3"/>
      <c r="AL94" s="3"/>
    </row>
    <row r="95" ht="15.75" customHeight="1">
      <c r="A95" s="10" t="str">
        <f t="shared" si="1"/>
        <v>MELI</v>
      </c>
      <c r="B95" s="11">
        <v>45819.0</v>
      </c>
      <c r="C95" s="12" t="s">
        <v>14</v>
      </c>
      <c r="D95" s="12" t="s">
        <v>15</v>
      </c>
      <c r="E95" s="13" t="s">
        <v>34</v>
      </c>
      <c r="F95" s="13" t="s">
        <v>25</v>
      </c>
      <c r="G95" s="13" t="s">
        <v>43</v>
      </c>
      <c r="H95" s="13" t="s">
        <v>34</v>
      </c>
      <c r="I95" s="3"/>
      <c r="J95" s="3"/>
      <c r="K95" s="3" t="s">
        <v>44</v>
      </c>
      <c r="L95" s="14">
        <f>165*120</f>
        <v>19800</v>
      </c>
      <c r="M95" s="24">
        <f>2414*1194/120</f>
        <v>24019.3</v>
      </c>
      <c r="P95" s="17" t="str">
        <f t="shared" si="2"/>
        <v/>
      </c>
      <c r="R95" s="5" t="str">
        <f>IF(AND(D95="Venta",L95&gt;0),"Ventas Nominal en Negativo",IF(AND(D95="Outflow",P95&gt;0),"Outflows Value en Negativo",""))</f>
        <v/>
      </c>
    </row>
    <row r="96" ht="15.75" customHeight="1">
      <c r="A96" s="10" t="str">
        <f t="shared" si="1"/>
        <v>TTSR</v>
      </c>
      <c r="B96" s="47">
        <v>45838.0</v>
      </c>
      <c r="C96" s="48" t="s">
        <v>52</v>
      </c>
      <c r="D96" s="48" t="s">
        <v>65</v>
      </c>
      <c r="E96" s="49" t="s">
        <v>34</v>
      </c>
      <c r="F96" s="49" t="s">
        <v>25</v>
      </c>
      <c r="G96" s="49" t="s">
        <v>41</v>
      </c>
      <c r="H96" s="49" t="s">
        <v>34</v>
      </c>
      <c r="I96" s="50"/>
      <c r="J96" s="50"/>
      <c r="K96" s="49" t="s">
        <v>54</v>
      </c>
      <c r="L96" s="51"/>
      <c r="M96" s="52"/>
      <c r="N96" s="53"/>
      <c r="O96" s="54">
        <v>940988.75</v>
      </c>
      <c r="P96" s="55">
        <f t="shared" si="2"/>
        <v>940988.75</v>
      </c>
      <c r="Q96" s="53"/>
      <c r="R96" s="5"/>
    </row>
    <row r="97" ht="15.75" customHeight="1">
      <c r="A97" s="10" t="str">
        <f t="shared" si="1"/>
        <v>TMS</v>
      </c>
      <c r="B97" s="47">
        <v>45838.0</v>
      </c>
      <c r="C97" s="48" t="s">
        <v>52</v>
      </c>
      <c r="D97" s="48" t="s">
        <v>65</v>
      </c>
      <c r="E97" s="49" t="s">
        <v>34</v>
      </c>
      <c r="F97" s="49" t="s">
        <v>25</v>
      </c>
      <c r="G97" s="49" t="s">
        <v>41</v>
      </c>
      <c r="H97" s="49" t="s">
        <v>34</v>
      </c>
      <c r="I97" s="50"/>
      <c r="J97" s="50"/>
      <c r="K97" s="49" t="s">
        <v>59</v>
      </c>
      <c r="L97" s="51"/>
      <c r="M97" s="52"/>
      <c r="N97" s="53"/>
      <c r="O97" s="54">
        <v>7299564.12</v>
      </c>
      <c r="P97" s="55">
        <f t="shared" si="2"/>
        <v>7299564.12</v>
      </c>
      <c r="Q97" s="53"/>
      <c r="R97" s="5"/>
    </row>
    <row r="98" ht="15.75" customHeight="1">
      <c r="A98" s="10" t="str">
        <f t="shared" si="1"/>
        <v>T30E6</v>
      </c>
      <c r="B98" s="11">
        <v>45840.0</v>
      </c>
      <c r="C98" s="12" t="s">
        <v>14</v>
      </c>
      <c r="D98" s="12" t="s">
        <v>15</v>
      </c>
      <c r="E98" s="3" t="s">
        <v>16</v>
      </c>
      <c r="F98" s="13" t="s">
        <v>25</v>
      </c>
      <c r="G98" s="13" t="s">
        <v>18</v>
      </c>
      <c r="H98" s="13" t="s">
        <v>32</v>
      </c>
      <c r="I98" s="3"/>
      <c r="J98" s="3"/>
      <c r="K98" s="13" t="s">
        <v>67</v>
      </c>
      <c r="L98" s="14">
        <v>1.687E9</v>
      </c>
      <c r="M98" s="18">
        <v>1.185</v>
      </c>
      <c r="P98" s="17" t="str">
        <f t="shared" si="2"/>
        <v/>
      </c>
      <c r="R98" s="5" t="str">
        <f t="shared" ref="R98:R113" si="9">IF(AND(D98="Venta",L98&gt;0),"Ventas Nominal en Negativo",IF(AND(D98="Outflow",P98&gt;0),"Outflows Value en Negativo",""))</f>
        <v/>
      </c>
    </row>
    <row r="99" ht="15.75" customHeight="1">
      <c r="A99" s="10" t="str">
        <f t="shared" si="1"/>
        <v>MELI</v>
      </c>
      <c r="B99" s="11">
        <v>45845.0</v>
      </c>
      <c r="C99" s="12" t="s">
        <v>14</v>
      </c>
      <c r="D99" s="12" t="s">
        <v>40</v>
      </c>
      <c r="E99" s="13" t="s">
        <v>34</v>
      </c>
      <c r="F99" s="13" t="s">
        <v>25</v>
      </c>
      <c r="G99" s="13" t="s">
        <v>43</v>
      </c>
      <c r="H99" s="13" t="s">
        <v>34</v>
      </c>
      <c r="I99" s="3"/>
      <c r="J99" s="3"/>
      <c r="K99" s="3" t="s">
        <v>44</v>
      </c>
      <c r="L99" s="14">
        <f>-165*120</f>
        <v>-19800</v>
      </c>
      <c r="M99" s="24">
        <f>2491*1260/120</f>
        <v>26155.5</v>
      </c>
      <c r="P99" s="17" t="str">
        <f t="shared" si="2"/>
        <v/>
      </c>
      <c r="R99" s="5" t="str">
        <f t="shared" si="9"/>
        <v/>
      </c>
    </row>
    <row r="100" ht="15.75" customHeight="1">
      <c r="A100" s="10" t="str">
        <f t="shared" si="1"/>
        <v>SL30</v>
      </c>
      <c r="B100" s="45">
        <v>45848.0</v>
      </c>
      <c r="C100" s="37" t="s">
        <v>52</v>
      </c>
      <c r="D100" s="37" t="s">
        <v>64</v>
      </c>
      <c r="E100" s="38" t="s">
        <v>16</v>
      </c>
      <c r="F100" s="39" t="s">
        <v>17</v>
      </c>
      <c r="G100" s="39" t="s">
        <v>18</v>
      </c>
      <c r="H100" s="39" t="s">
        <v>61</v>
      </c>
      <c r="I100" s="38"/>
      <c r="J100" s="38"/>
      <c r="K100" s="39" t="s">
        <v>62</v>
      </c>
      <c r="L100" s="42"/>
      <c r="M100" s="42"/>
      <c r="N100" s="42"/>
      <c r="O100" s="43">
        <v>3138660.0</v>
      </c>
      <c r="P100" s="44">
        <f t="shared" si="2"/>
        <v>3138660</v>
      </c>
      <c r="Q100" s="42"/>
      <c r="R100" s="5" t="str">
        <f t="shared" si="9"/>
        <v/>
      </c>
    </row>
    <row r="101" ht="15.75" customHeight="1">
      <c r="A101" s="10" t="str">
        <f t="shared" si="1"/>
        <v>T30E6</v>
      </c>
      <c r="B101" s="11">
        <v>45848.0</v>
      </c>
      <c r="C101" s="12" t="s">
        <v>14</v>
      </c>
      <c r="D101" s="12" t="s">
        <v>15</v>
      </c>
      <c r="E101" s="3" t="s">
        <v>16</v>
      </c>
      <c r="F101" s="13" t="s">
        <v>25</v>
      </c>
      <c r="G101" s="13" t="s">
        <v>18</v>
      </c>
      <c r="H101" s="13" t="s">
        <v>32</v>
      </c>
      <c r="I101" s="3"/>
      <c r="J101" s="3"/>
      <c r="K101" s="13" t="s">
        <v>67</v>
      </c>
      <c r="L101" s="14">
        <v>8.3E8</v>
      </c>
      <c r="M101" s="18">
        <v>1.2</v>
      </c>
      <c r="P101" s="17" t="str">
        <f t="shared" si="2"/>
        <v/>
      </c>
      <c r="R101" s="5" t="str">
        <f t="shared" si="9"/>
        <v/>
      </c>
    </row>
    <row r="102" ht="15.75" customHeight="1">
      <c r="A102" s="10" t="str">
        <f t="shared" si="1"/>
        <v>GGSL</v>
      </c>
      <c r="B102" s="47">
        <v>45849.0</v>
      </c>
      <c r="C102" s="48" t="s">
        <v>52</v>
      </c>
      <c r="D102" s="48" t="s">
        <v>65</v>
      </c>
      <c r="E102" s="49" t="s">
        <v>34</v>
      </c>
      <c r="F102" s="49" t="s">
        <v>25</v>
      </c>
      <c r="G102" s="49" t="s">
        <v>41</v>
      </c>
      <c r="H102" s="49" t="s">
        <v>34</v>
      </c>
      <c r="I102" s="50"/>
      <c r="J102" s="50"/>
      <c r="K102" s="49" t="s">
        <v>42</v>
      </c>
      <c r="L102" s="51"/>
      <c r="M102" s="52"/>
      <c r="N102" s="53"/>
      <c r="O102" s="54">
        <v>4416724.0</v>
      </c>
      <c r="P102" s="55">
        <f t="shared" si="2"/>
        <v>4416724</v>
      </c>
      <c r="Q102" s="53"/>
      <c r="R102" s="5" t="str">
        <f t="shared" si="9"/>
        <v/>
      </c>
    </row>
    <row r="103" ht="15.75" customHeight="1">
      <c r="A103" s="10" t="str">
        <f t="shared" si="1"/>
        <v>SL30</v>
      </c>
      <c r="B103" s="56">
        <v>45854.0</v>
      </c>
      <c r="C103" s="12" t="s">
        <v>14</v>
      </c>
      <c r="D103" s="12" t="s">
        <v>40</v>
      </c>
      <c r="E103" s="3" t="s">
        <v>16</v>
      </c>
      <c r="F103" s="13" t="s">
        <v>17</v>
      </c>
      <c r="G103" s="13" t="s">
        <v>18</v>
      </c>
      <c r="H103" s="13" t="s">
        <v>61</v>
      </c>
      <c r="I103" s="3"/>
      <c r="J103" s="3"/>
      <c r="K103" s="13" t="s">
        <v>62</v>
      </c>
      <c r="L103" s="35">
        <v>-755000.0</v>
      </c>
      <c r="M103" s="35">
        <v>750.43</v>
      </c>
      <c r="P103" s="17" t="str">
        <f t="shared" si="2"/>
        <v/>
      </c>
      <c r="R103" s="5" t="str">
        <f t="shared" si="9"/>
        <v/>
      </c>
    </row>
    <row r="104" ht="15.75" customHeight="1">
      <c r="A104" s="10" t="str">
        <f t="shared" si="1"/>
        <v>TZXD7</v>
      </c>
      <c r="B104" s="11">
        <v>45855.0</v>
      </c>
      <c r="C104" s="12" t="s">
        <v>14</v>
      </c>
      <c r="D104" s="12" t="s">
        <v>40</v>
      </c>
      <c r="E104" s="3" t="s">
        <v>16</v>
      </c>
      <c r="F104" s="13" t="s">
        <v>25</v>
      </c>
      <c r="G104" s="13" t="s">
        <v>18</v>
      </c>
      <c r="H104" s="3" t="s">
        <v>26</v>
      </c>
      <c r="I104" s="3"/>
      <c r="J104" s="3"/>
      <c r="K104" s="13" t="s">
        <v>55</v>
      </c>
      <c r="L104" s="14">
        <v>-6.0E8</v>
      </c>
      <c r="M104" s="35">
        <v>1.669</v>
      </c>
      <c r="P104" s="17" t="str">
        <f t="shared" si="2"/>
        <v/>
      </c>
      <c r="R104" s="5" t="str">
        <f t="shared" si="9"/>
        <v/>
      </c>
      <c r="S104" s="14"/>
    </row>
    <row r="105" ht="15.75" customHeight="1">
      <c r="A105" s="10" t="str">
        <f t="shared" si="1"/>
        <v>T17O5</v>
      </c>
      <c r="B105" s="11">
        <v>45855.0</v>
      </c>
      <c r="C105" s="12" t="s">
        <v>14</v>
      </c>
      <c r="D105" s="12" t="s">
        <v>15</v>
      </c>
      <c r="E105" s="3" t="s">
        <v>16</v>
      </c>
      <c r="F105" s="13" t="s">
        <v>25</v>
      </c>
      <c r="G105" s="13" t="s">
        <v>18</v>
      </c>
      <c r="H105" s="13" t="s">
        <v>32</v>
      </c>
      <c r="I105" s="3"/>
      <c r="J105" s="3"/>
      <c r="K105" s="13" t="s">
        <v>69</v>
      </c>
      <c r="L105" s="14">
        <f>342114266+342465753+343053173</f>
        <v>1027633192</v>
      </c>
      <c r="M105" s="18">
        <v>1.4568</v>
      </c>
      <c r="P105" s="17" t="str">
        <f t="shared" si="2"/>
        <v/>
      </c>
      <c r="R105" s="5" t="str">
        <f t="shared" si="9"/>
        <v/>
      </c>
    </row>
    <row r="106" ht="15.75" customHeight="1">
      <c r="A106" s="10" t="str">
        <f t="shared" si="1"/>
        <v>T15D5</v>
      </c>
      <c r="B106" s="11">
        <v>45855.0</v>
      </c>
      <c r="C106" s="12" t="s">
        <v>14</v>
      </c>
      <c r="D106" s="12" t="s">
        <v>40</v>
      </c>
      <c r="E106" s="3" t="s">
        <v>16</v>
      </c>
      <c r="F106" s="13" t="s">
        <v>25</v>
      </c>
      <c r="G106" s="13" t="s">
        <v>18</v>
      </c>
      <c r="H106" s="13" t="s">
        <v>32</v>
      </c>
      <c r="I106" s="3"/>
      <c r="J106" s="3"/>
      <c r="K106" s="13" t="s">
        <v>68</v>
      </c>
      <c r="L106" s="14">
        <v>-3.4E8</v>
      </c>
      <c r="M106" s="18">
        <v>1.472</v>
      </c>
      <c r="P106" s="17" t="str">
        <f t="shared" si="2"/>
        <v/>
      </c>
      <c r="R106" s="5" t="str">
        <f t="shared" si="9"/>
        <v/>
      </c>
    </row>
    <row r="107" ht="15.75" customHeight="1">
      <c r="A107" s="10" t="str">
        <f t="shared" si="1"/>
        <v>TNCT</v>
      </c>
      <c r="B107" s="36">
        <v>45860.0</v>
      </c>
      <c r="C107" s="37" t="s">
        <v>52</v>
      </c>
      <c r="D107" s="37" t="s">
        <v>64</v>
      </c>
      <c r="E107" s="38" t="s">
        <v>16</v>
      </c>
      <c r="F107" s="39" t="s">
        <v>25</v>
      </c>
      <c r="G107" s="39" t="s">
        <v>41</v>
      </c>
      <c r="H107" s="38" t="s">
        <v>22</v>
      </c>
      <c r="I107" s="38"/>
      <c r="J107" s="38"/>
      <c r="K107" s="39" t="s">
        <v>47</v>
      </c>
      <c r="L107" s="40"/>
      <c r="M107" s="41"/>
      <c r="N107" s="42"/>
      <c r="O107" s="43">
        <v>1.86487782E8</v>
      </c>
      <c r="P107" s="44">
        <f t="shared" si="2"/>
        <v>186487782</v>
      </c>
      <c r="Q107" s="42"/>
      <c r="R107" s="5" t="str">
        <f t="shared" si="9"/>
        <v/>
      </c>
    </row>
    <row r="108" ht="15.75" customHeight="1">
      <c r="A108" s="10" t="str">
        <f t="shared" si="1"/>
        <v>MELI</v>
      </c>
      <c r="B108" s="11">
        <v>45863.0</v>
      </c>
      <c r="C108" s="12" t="s">
        <v>14</v>
      </c>
      <c r="D108" s="12" t="s">
        <v>15</v>
      </c>
      <c r="E108" s="13" t="s">
        <v>34</v>
      </c>
      <c r="F108" s="13" t="s">
        <v>25</v>
      </c>
      <c r="G108" s="13" t="s">
        <v>43</v>
      </c>
      <c r="H108" s="13" t="s">
        <v>34</v>
      </c>
      <c r="I108" s="3"/>
      <c r="J108" s="3"/>
      <c r="K108" s="3" t="s">
        <v>44</v>
      </c>
      <c r="L108" s="14">
        <f>83*120</f>
        <v>9960</v>
      </c>
      <c r="M108" s="24">
        <v>25504.0</v>
      </c>
      <c r="P108" s="17" t="str">
        <f t="shared" si="2"/>
        <v/>
      </c>
      <c r="R108" s="5" t="str">
        <f t="shared" si="9"/>
        <v/>
      </c>
    </row>
    <row r="109" ht="15.75" customHeight="1">
      <c r="A109" s="10" t="str">
        <f t="shared" si="1"/>
        <v>T17O5</v>
      </c>
      <c r="B109" s="11">
        <v>45869.0</v>
      </c>
      <c r="C109" s="12" t="s">
        <v>14</v>
      </c>
      <c r="D109" s="12" t="s">
        <v>15</v>
      </c>
      <c r="E109" s="3" t="s">
        <v>16</v>
      </c>
      <c r="F109" s="13" t="s">
        <v>25</v>
      </c>
      <c r="G109" s="13" t="s">
        <v>18</v>
      </c>
      <c r="H109" s="13" t="s">
        <v>32</v>
      </c>
      <c r="I109" s="3"/>
      <c r="J109" s="3"/>
      <c r="K109" s="13" t="s">
        <v>69</v>
      </c>
      <c r="L109" s="14">
        <f>1438633192-1027633192</f>
        <v>411000000</v>
      </c>
      <c r="M109" s="18">
        <v>1.474</v>
      </c>
      <c r="P109" s="17" t="str">
        <f t="shared" si="2"/>
        <v/>
      </c>
      <c r="R109" s="5" t="str">
        <f t="shared" si="9"/>
        <v/>
      </c>
    </row>
    <row r="110" ht="15.75" customHeight="1">
      <c r="A110" s="10" t="str">
        <f t="shared" si="1"/>
        <v>TMS</v>
      </c>
      <c r="B110" s="47">
        <v>45869.0</v>
      </c>
      <c r="C110" s="48" t="s">
        <v>52</v>
      </c>
      <c r="D110" s="48" t="s">
        <v>65</v>
      </c>
      <c r="E110" s="49" t="s">
        <v>34</v>
      </c>
      <c r="F110" s="49" t="s">
        <v>25</v>
      </c>
      <c r="G110" s="49" t="s">
        <v>41</v>
      </c>
      <c r="H110" s="49" t="s">
        <v>34</v>
      </c>
      <c r="I110" s="50"/>
      <c r="J110" s="50"/>
      <c r="K110" s="49" t="s">
        <v>59</v>
      </c>
      <c r="L110" s="51"/>
      <c r="M110" s="52"/>
      <c r="N110" s="53"/>
      <c r="O110" s="54">
        <v>7417738.0</v>
      </c>
      <c r="P110" s="55">
        <f t="shared" si="2"/>
        <v>7417738</v>
      </c>
      <c r="Q110" s="53"/>
      <c r="R110" s="5" t="str">
        <f t="shared" si="9"/>
        <v/>
      </c>
    </row>
    <row r="111" ht="15.75" customHeight="1">
      <c r="A111" s="10" t="str">
        <f t="shared" si="1"/>
        <v>TTSR</v>
      </c>
      <c r="B111" s="47">
        <v>45869.0</v>
      </c>
      <c r="C111" s="48" t="s">
        <v>52</v>
      </c>
      <c r="D111" s="48" t="s">
        <v>65</v>
      </c>
      <c r="E111" s="49" t="s">
        <v>34</v>
      </c>
      <c r="F111" s="49" t="s">
        <v>25</v>
      </c>
      <c r="G111" s="49" t="s">
        <v>41</v>
      </c>
      <c r="H111" s="49" t="s">
        <v>34</v>
      </c>
      <c r="I111" s="50"/>
      <c r="J111" s="50"/>
      <c r="K111" s="49" t="s">
        <v>54</v>
      </c>
      <c r="L111" s="51"/>
      <c r="M111" s="52"/>
      <c r="N111" s="53"/>
      <c r="O111" s="54">
        <v>956222.0</v>
      </c>
      <c r="P111" s="55">
        <f t="shared" si="2"/>
        <v>956222</v>
      </c>
      <c r="Q111" s="53"/>
      <c r="R111" s="5" t="str">
        <f t="shared" si="9"/>
        <v/>
      </c>
    </row>
    <row r="112" ht="15.75" customHeight="1">
      <c r="A112" s="10" t="str">
        <f t="shared" si="1"/>
        <v>S15G5</v>
      </c>
      <c r="B112" s="11">
        <v>45877.0</v>
      </c>
      <c r="C112" s="12" t="s">
        <v>14</v>
      </c>
      <c r="D112" s="12" t="s">
        <v>15</v>
      </c>
      <c r="E112" s="3" t="s">
        <v>16</v>
      </c>
      <c r="F112" s="13" t="s">
        <v>25</v>
      </c>
      <c r="G112" s="13" t="s">
        <v>18</v>
      </c>
      <c r="H112" s="13" t="s">
        <v>32</v>
      </c>
      <c r="I112" s="3"/>
      <c r="J112" s="3"/>
      <c r="K112" s="13" t="s">
        <v>70</v>
      </c>
      <c r="L112" s="14">
        <f>276472214+413166230</f>
        <v>689638444</v>
      </c>
      <c r="M112" s="18">
        <v>1.4522</v>
      </c>
      <c r="P112" s="17" t="str">
        <f t="shared" si="2"/>
        <v/>
      </c>
      <c r="R112" s="5" t="str">
        <f t="shared" si="9"/>
        <v/>
      </c>
    </row>
    <row r="113" ht="15.75" customHeight="1">
      <c r="A113" s="10" t="str">
        <f t="shared" si="1"/>
        <v>GGSL</v>
      </c>
      <c r="B113" s="47">
        <v>45881.0</v>
      </c>
      <c r="C113" s="48" t="s">
        <v>52</v>
      </c>
      <c r="D113" s="48" t="s">
        <v>65</v>
      </c>
      <c r="E113" s="49" t="s">
        <v>34</v>
      </c>
      <c r="F113" s="49" t="s">
        <v>25</v>
      </c>
      <c r="G113" s="49" t="s">
        <v>41</v>
      </c>
      <c r="H113" s="49" t="s">
        <v>34</v>
      </c>
      <c r="I113" s="50"/>
      <c r="J113" s="50"/>
      <c r="K113" s="49" t="s">
        <v>42</v>
      </c>
      <c r="L113" s="51"/>
      <c r="M113" s="52"/>
      <c r="N113" s="53"/>
      <c r="O113" s="54">
        <v>4488227.0</v>
      </c>
      <c r="P113" s="55">
        <f t="shared" si="2"/>
        <v>4488227</v>
      </c>
      <c r="Q113" s="53"/>
      <c r="R113" s="5" t="str">
        <f t="shared" si="9"/>
        <v/>
      </c>
    </row>
    <row r="114" ht="15.75" customHeight="1">
      <c r="A114" s="10" t="str">
        <f t="shared" si="1"/>
        <v>S15G5</v>
      </c>
      <c r="B114" s="25">
        <v>45887.0</v>
      </c>
      <c r="C114" s="26" t="s">
        <v>52</v>
      </c>
      <c r="D114" s="26" t="s">
        <v>53</v>
      </c>
      <c r="E114" s="27" t="s">
        <v>16</v>
      </c>
      <c r="F114" s="28" t="s">
        <v>25</v>
      </c>
      <c r="G114" s="28" t="s">
        <v>18</v>
      </c>
      <c r="H114" s="28" t="s">
        <v>32</v>
      </c>
      <c r="I114" s="27"/>
      <c r="J114" s="27"/>
      <c r="K114" s="28" t="s">
        <v>70</v>
      </c>
      <c r="L114" s="29">
        <f>-L112</f>
        <v>-689638444</v>
      </c>
      <c r="M114" s="29">
        <f>689638444*1.46794</f>
        <v>1012347857</v>
      </c>
      <c r="N114" s="31">
        <v>1.0</v>
      </c>
      <c r="O114" s="46">
        <v>1.01234785748536E9</v>
      </c>
      <c r="P114" s="33">
        <f t="shared" si="2"/>
        <v>1012347857</v>
      </c>
      <c r="Q114" s="34"/>
      <c r="R114" s="5"/>
    </row>
    <row r="115" ht="15.75" customHeight="1">
      <c r="A115" s="10" t="str">
        <f t="shared" si="1"/>
        <v>TTSR</v>
      </c>
      <c r="B115" s="11">
        <v>45888.0</v>
      </c>
      <c r="C115" s="12" t="s">
        <v>14</v>
      </c>
      <c r="D115" s="12" t="s">
        <v>40</v>
      </c>
      <c r="E115" s="13" t="s">
        <v>34</v>
      </c>
      <c r="F115" s="13" t="s">
        <v>25</v>
      </c>
      <c r="G115" s="13" t="s">
        <v>43</v>
      </c>
      <c r="H115" s="13" t="s">
        <v>34</v>
      </c>
      <c r="I115" s="3"/>
      <c r="J115" s="3"/>
      <c r="K115" s="13" t="s">
        <v>54</v>
      </c>
      <c r="L115" s="14">
        <v>-56931.0</v>
      </c>
      <c r="M115" s="18">
        <v>6766.4943</v>
      </c>
      <c r="P115" s="17" t="str">
        <f t="shared" si="2"/>
        <v/>
      </c>
      <c r="R115" s="5" t="str">
        <f t="shared" ref="R115:R140" si="10">IF(AND(D115="Venta",L115&gt;0),"Ventas Nominal en Negativo",IF(AND(D115="Outflow",P115&gt;0),"Outflows Value en Negativo",""))</f>
        <v/>
      </c>
    </row>
    <row r="116" ht="15.75" customHeight="1">
      <c r="A116" s="10" t="str">
        <f t="shared" si="1"/>
        <v>S31O5</v>
      </c>
      <c r="B116" s="11">
        <v>45890.0</v>
      </c>
      <c r="C116" s="12" t="s">
        <v>14</v>
      </c>
      <c r="D116" s="12" t="s">
        <v>15</v>
      </c>
      <c r="E116" s="3" t="s">
        <v>16</v>
      </c>
      <c r="F116" s="13" t="s">
        <v>25</v>
      </c>
      <c r="G116" s="13" t="s">
        <v>18</v>
      </c>
      <c r="H116" s="13" t="s">
        <v>32</v>
      </c>
      <c r="I116" s="3"/>
      <c r="J116" s="3"/>
      <c r="K116" s="13" t="s">
        <v>71</v>
      </c>
      <c r="L116" s="14">
        <v>7.45E8</v>
      </c>
      <c r="M116" s="18">
        <v>1.21</v>
      </c>
      <c r="P116" s="17" t="str">
        <f t="shared" si="2"/>
        <v/>
      </c>
      <c r="R116" s="5" t="str">
        <f t="shared" si="10"/>
        <v/>
      </c>
    </row>
    <row r="117" ht="15.75" customHeight="1">
      <c r="A117" s="10" t="str">
        <f t="shared" si="1"/>
        <v>TMS</v>
      </c>
      <c r="B117" s="11">
        <v>45891.0</v>
      </c>
      <c r="C117" s="12" t="s">
        <v>14</v>
      </c>
      <c r="D117" s="12" t="s">
        <v>40</v>
      </c>
      <c r="E117" s="13" t="s">
        <v>34</v>
      </c>
      <c r="F117" s="13" t="s">
        <v>25</v>
      </c>
      <c r="G117" s="13" t="s">
        <v>43</v>
      </c>
      <c r="H117" s="13" t="s">
        <v>34</v>
      </c>
      <c r="I117" s="3"/>
      <c r="J117" s="3"/>
      <c r="K117" s="13" t="s">
        <v>59</v>
      </c>
      <c r="L117" s="14">
        <v>-68750.0</v>
      </c>
      <c r="M117" s="18">
        <v>8894.71</v>
      </c>
      <c r="P117" s="17" t="str">
        <f t="shared" si="2"/>
        <v/>
      </c>
      <c r="R117" s="5" t="str">
        <f t="shared" si="10"/>
        <v/>
      </c>
    </row>
    <row r="118" ht="15.75" customHeight="1">
      <c r="A118" s="10" t="str">
        <f t="shared" si="1"/>
        <v>T30J6</v>
      </c>
      <c r="B118" s="11">
        <v>45891.0</v>
      </c>
      <c r="C118" s="12" t="s">
        <v>14</v>
      </c>
      <c r="D118" s="12" t="s">
        <v>40</v>
      </c>
      <c r="E118" s="3" t="s">
        <v>16</v>
      </c>
      <c r="F118" s="13" t="s">
        <v>25</v>
      </c>
      <c r="G118" s="13" t="s">
        <v>18</v>
      </c>
      <c r="H118" s="13" t="s">
        <v>32</v>
      </c>
      <c r="I118" s="3"/>
      <c r="J118" s="3"/>
      <c r="K118" s="13" t="s">
        <v>45</v>
      </c>
      <c r="L118" s="14">
        <v>-3.0E9</v>
      </c>
      <c r="M118" s="18">
        <v>1.015</v>
      </c>
      <c r="P118" s="17" t="str">
        <f t="shared" si="2"/>
        <v/>
      </c>
      <c r="R118" s="5" t="str">
        <f t="shared" si="10"/>
        <v/>
      </c>
    </row>
    <row r="119" ht="15.75" customHeight="1">
      <c r="A119" s="10" t="str">
        <f t="shared" si="1"/>
        <v>S31O5</v>
      </c>
      <c r="B119" s="11">
        <v>45891.0</v>
      </c>
      <c r="C119" s="12" t="s">
        <v>14</v>
      </c>
      <c r="D119" s="12" t="s">
        <v>15</v>
      </c>
      <c r="E119" s="3" t="s">
        <v>16</v>
      </c>
      <c r="F119" s="13" t="s">
        <v>25</v>
      </c>
      <c r="G119" s="13" t="s">
        <v>18</v>
      </c>
      <c r="H119" s="13" t="s">
        <v>32</v>
      </c>
      <c r="I119" s="3"/>
      <c r="J119" s="3"/>
      <c r="K119" s="13" t="s">
        <v>71</v>
      </c>
      <c r="L119" s="14">
        <v>2.93E9</v>
      </c>
      <c r="M119" s="18">
        <v>1.2168243</v>
      </c>
      <c r="P119" s="17" t="str">
        <f t="shared" si="2"/>
        <v/>
      </c>
      <c r="R119" s="5" t="str">
        <f t="shared" si="10"/>
        <v/>
      </c>
    </row>
    <row r="120" ht="15.75" customHeight="1">
      <c r="A120" s="10" t="str">
        <f t="shared" si="1"/>
        <v>TZXD7</v>
      </c>
      <c r="B120" s="11">
        <v>45891.0</v>
      </c>
      <c r="C120" s="12" t="s">
        <v>14</v>
      </c>
      <c r="D120" s="12" t="s">
        <v>40</v>
      </c>
      <c r="E120" s="3" t="s">
        <v>16</v>
      </c>
      <c r="F120" s="13" t="s">
        <v>25</v>
      </c>
      <c r="G120" s="13" t="s">
        <v>18</v>
      </c>
      <c r="H120" s="3" t="s">
        <v>26</v>
      </c>
      <c r="I120" s="3"/>
      <c r="J120" s="3"/>
      <c r="K120" s="13" t="s">
        <v>55</v>
      </c>
      <c r="L120" s="14">
        <v>-1.5E9</v>
      </c>
      <c r="M120" s="35">
        <v>1.5725</v>
      </c>
      <c r="P120" s="17" t="str">
        <f t="shared" si="2"/>
        <v/>
      </c>
      <c r="R120" s="5" t="str">
        <f t="shared" si="10"/>
        <v/>
      </c>
    </row>
    <row r="121" ht="15.75" customHeight="1">
      <c r="A121" s="10" t="str">
        <f t="shared" si="1"/>
        <v>TX26</v>
      </c>
      <c r="B121" s="11">
        <v>45891.0</v>
      </c>
      <c r="C121" s="12" t="s">
        <v>14</v>
      </c>
      <c r="D121" s="12" t="s">
        <v>40</v>
      </c>
      <c r="E121" s="3" t="s">
        <v>16</v>
      </c>
      <c r="F121" s="13" t="s">
        <v>25</v>
      </c>
      <c r="G121" s="13" t="s">
        <v>18</v>
      </c>
      <c r="H121" s="3" t="s">
        <v>26</v>
      </c>
      <c r="I121" s="3"/>
      <c r="J121" s="3"/>
      <c r="K121" s="13" t="s">
        <v>27</v>
      </c>
      <c r="L121" s="14">
        <v>-5.535901E7</v>
      </c>
      <c r="M121" s="35">
        <v>14.120549</v>
      </c>
      <c r="P121" s="17" t="str">
        <f t="shared" si="2"/>
        <v/>
      </c>
      <c r="R121" s="5" t="str">
        <f t="shared" si="10"/>
        <v/>
      </c>
    </row>
    <row r="122" ht="15.75" customHeight="1">
      <c r="A122" s="10" t="str">
        <f t="shared" si="1"/>
        <v>T30E6</v>
      </c>
      <c r="B122" s="11">
        <v>45891.0</v>
      </c>
      <c r="C122" s="12" t="s">
        <v>14</v>
      </c>
      <c r="D122" s="12" t="s">
        <v>15</v>
      </c>
      <c r="E122" s="3" t="s">
        <v>16</v>
      </c>
      <c r="F122" s="13" t="s">
        <v>25</v>
      </c>
      <c r="G122" s="13" t="s">
        <v>18</v>
      </c>
      <c r="H122" s="13" t="s">
        <v>32</v>
      </c>
      <c r="I122" s="3"/>
      <c r="J122" s="3"/>
      <c r="K122" s="13" t="s">
        <v>67</v>
      </c>
      <c r="L122" s="14">
        <v>2.0E9</v>
      </c>
      <c r="M122" s="18">
        <v>1.17</v>
      </c>
      <c r="P122" s="17" t="str">
        <f t="shared" si="2"/>
        <v/>
      </c>
      <c r="R122" s="5" t="str">
        <f t="shared" si="10"/>
        <v/>
      </c>
    </row>
    <row r="123" ht="15.75" customHeight="1">
      <c r="A123" s="10" t="str">
        <f t="shared" si="1"/>
        <v>S28N5</v>
      </c>
      <c r="B123" s="11">
        <v>45891.0</v>
      </c>
      <c r="C123" s="12" t="s">
        <v>14</v>
      </c>
      <c r="D123" s="12" t="s">
        <v>15</v>
      </c>
      <c r="E123" s="3" t="s">
        <v>16</v>
      </c>
      <c r="F123" s="13" t="s">
        <v>25</v>
      </c>
      <c r="G123" s="13" t="s">
        <v>18</v>
      </c>
      <c r="H123" s="13" t="s">
        <v>32</v>
      </c>
      <c r="I123" s="3"/>
      <c r="J123" s="3"/>
      <c r="K123" s="13" t="s">
        <v>66</v>
      </c>
      <c r="L123" s="14">
        <v>8.13E8</v>
      </c>
      <c r="M123" s="18">
        <v>1.0945</v>
      </c>
      <c r="P123" s="17" t="str">
        <f t="shared" si="2"/>
        <v/>
      </c>
      <c r="R123" s="5" t="str">
        <f t="shared" si="10"/>
        <v/>
      </c>
    </row>
    <row r="124" ht="15.75" customHeight="1">
      <c r="A124" s="10" t="str">
        <f t="shared" si="1"/>
        <v>TNC5</v>
      </c>
      <c r="B124" s="36">
        <v>45891.0</v>
      </c>
      <c r="C124" s="37" t="s">
        <v>52</v>
      </c>
      <c r="D124" s="37" t="s">
        <v>64</v>
      </c>
      <c r="E124" s="38" t="s">
        <v>16</v>
      </c>
      <c r="F124" s="39" t="s">
        <v>25</v>
      </c>
      <c r="G124" s="39" t="s">
        <v>41</v>
      </c>
      <c r="H124" s="38" t="s">
        <v>22</v>
      </c>
      <c r="I124" s="38"/>
      <c r="J124" s="38"/>
      <c r="K124" s="39" t="s">
        <v>56</v>
      </c>
      <c r="L124" s="40"/>
      <c r="M124" s="41"/>
      <c r="N124" s="42"/>
      <c r="O124" s="43">
        <v>9.1792608E7</v>
      </c>
      <c r="P124" s="44">
        <f t="shared" si="2"/>
        <v>91792608</v>
      </c>
      <c r="Q124" s="42"/>
      <c r="R124" s="5" t="str">
        <f t="shared" si="10"/>
        <v/>
      </c>
    </row>
    <row r="125" ht="15.75" customHeight="1">
      <c r="A125" s="10" t="str">
        <f t="shared" si="1"/>
        <v>S12S5</v>
      </c>
      <c r="B125" s="11">
        <v>45891.0</v>
      </c>
      <c r="C125" s="12" t="s">
        <v>14</v>
      </c>
      <c r="D125" s="12" t="s">
        <v>15</v>
      </c>
      <c r="E125" s="3" t="s">
        <v>16</v>
      </c>
      <c r="F125" s="13" t="s">
        <v>25</v>
      </c>
      <c r="G125" s="13" t="s">
        <v>18</v>
      </c>
      <c r="H125" s="13" t="s">
        <v>32</v>
      </c>
      <c r="I125" s="3"/>
      <c r="J125" s="3"/>
      <c r="K125" s="13" t="s">
        <v>72</v>
      </c>
      <c r="L125" s="14">
        <v>2.32E8</v>
      </c>
      <c r="M125" s="18">
        <v>1.535</v>
      </c>
      <c r="P125" s="17" t="str">
        <f t="shared" si="2"/>
        <v/>
      </c>
      <c r="R125" s="5" t="str">
        <f t="shared" si="10"/>
        <v/>
      </c>
    </row>
    <row r="126" ht="15.75" customHeight="1">
      <c r="A126" s="10" t="str">
        <f t="shared" si="1"/>
        <v>S30S5</v>
      </c>
      <c r="B126" s="11">
        <v>45894.0</v>
      </c>
      <c r="C126" s="12" t="s">
        <v>14</v>
      </c>
      <c r="D126" s="12" t="s">
        <v>15</v>
      </c>
      <c r="E126" s="3" t="s">
        <v>16</v>
      </c>
      <c r="F126" s="13" t="s">
        <v>25</v>
      </c>
      <c r="G126" s="13" t="s">
        <v>18</v>
      </c>
      <c r="H126" s="13" t="s">
        <v>32</v>
      </c>
      <c r="I126" s="3"/>
      <c r="J126" s="3"/>
      <c r="K126" s="13" t="s">
        <v>73</v>
      </c>
      <c r="L126" s="14">
        <v>4.63392029E8</v>
      </c>
      <c r="M126" s="18">
        <v>1.5105</v>
      </c>
      <c r="P126" s="17" t="str">
        <f t="shared" si="2"/>
        <v/>
      </c>
      <c r="R126" s="5" t="str">
        <f t="shared" si="10"/>
        <v/>
      </c>
    </row>
    <row r="127" ht="15.75" customHeight="1">
      <c r="A127" s="10" t="str">
        <f t="shared" si="1"/>
        <v>T30J6</v>
      </c>
      <c r="B127" s="11">
        <v>45895.0</v>
      </c>
      <c r="C127" s="12" t="s">
        <v>14</v>
      </c>
      <c r="D127" s="12" t="s">
        <v>40</v>
      </c>
      <c r="E127" s="3" t="s">
        <v>16</v>
      </c>
      <c r="F127" s="13" t="s">
        <v>25</v>
      </c>
      <c r="G127" s="13" t="s">
        <v>18</v>
      </c>
      <c r="H127" s="13" t="s">
        <v>32</v>
      </c>
      <c r="I127" s="3"/>
      <c r="J127" s="3"/>
      <c r="K127" s="13" t="s">
        <v>45</v>
      </c>
      <c r="L127" s="14">
        <v>-3.82718746E9</v>
      </c>
      <c r="M127" s="18">
        <v>1.01195485</v>
      </c>
      <c r="P127" s="17" t="str">
        <f t="shared" si="2"/>
        <v/>
      </c>
      <c r="R127" s="5" t="str">
        <f t="shared" si="10"/>
        <v/>
      </c>
    </row>
    <row r="128" ht="15.75" customHeight="1">
      <c r="A128" s="10" t="str">
        <f t="shared" si="1"/>
        <v>S31O5</v>
      </c>
      <c r="B128" s="11">
        <v>45895.0</v>
      </c>
      <c r="C128" s="12" t="s">
        <v>14</v>
      </c>
      <c r="D128" s="12" t="s">
        <v>15</v>
      </c>
      <c r="E128" s="3" t="s">
        <v>16</v>
      </c>
      <c r="F128" s="13" t="s">
        <v>25</v>
      </c>
      <c r="G128" s="13" t="s">
        <v>18</v>
      </c>
      <c r="H128" s="13" t="s">
        <v>32</v>
      </c>
      <c r="I128" s="3"/>
      <c r="J128" s="3"/>
      <c r="K128" s="13" t="s">
        <v>71</v>
      </c>
      <c r="L128" s="14">
        <v>1.504936811E9</v>
      </c>
      <c r="M128" s="18">
        <v>1.2003</v>
      </c>
      <c r="P128" s="17" t="str">
        <f t="shared" si="2"/>
        <v/>
      </c>
      <c r="R128" s="5" t="str">
        <f t="shared" si="10"/>
        <v/>
      </c>
    </row>
    <row r="129" ht="15.75" customHeight="1">
      <c r="A129" s="10" t="str">
        <f t="shared" si="1"/>
        <v>T15D5</v>
      </c>
      <c r="B129" s="11">
        <v>45895.0</v>
      </c>
      <c r="C129" s="12" t="s">
        <v>14</v>
      </c>
      <c r="D129" s="12" t="s">
        <v>15</v>
      </c>
      <c r="E129" s="3" t="s">
        <v>16</v>
      </c>
      <c r="F129" s="13" t="s">
        <v>25</v>
      </c>
      <c r="G129" s="13" t="s">
        <v>18</v>
      </c>
      <c r="H129" s="13" t="s">
        <v>32</v>
      </c>
      <c r="I129" s="3"/>
      <c r="J129" s="3"/>
      <c r="K129" s="13" t="s">
        <v>68</v>
      </c>
      <c r="L129" s="14">
        <v>5.89965364E8</v>
      </c>
      <c r="M129" s="18">
        <v>1.471</v>
      </c>
      <c r="P129" s="17" t="str">
        <f t="shared" si="2"/>
        <v/>
      </c>
      <c r="R129" s="5" t="str">
        <f t="shared" si="10"/>
        <v/>
      </c>
    </row>
    <row r="130" ht="15.75" customHeight="1">
      <c r="A130" s="10" t="str">
        <f t="shared" si="1"/>
        <v>T15D5</v>
      </c>
      <c r="B130" s="11">
        <v>45896.0</v>
      </c>
      <c r="C130" s="12" t="s">
        <v>14</v>
      </c>
      <c r="D130" s="12" t="s">
        <v>15</v>
      </c>
      <c r="E130" s="3" t="s">
        <v>16</v>
      </c>
      <c r="F130" s="13" t="s">
        <v>25</v>
      </c>
      <c r="G130" s="13" t="s">
        <v>18</v>
      </c>
      <c r="H130" s="13" t="s">
        <v>32</v>
      </c>
      <c r="I130" s="3"/>
      <c r="J130" s="3"/>
      <c r="K130" s="13" t="s">
        <v>68</v>
      </c>
      <c r="L130" s="14">
        <v>6.95E8</v>
      </c>
      <c r="M130" s="18">
        <v>1.46702</v>
      </c>
      <c r="P130" s="17" t="str">
        <f t="shared" si="2"/>
        <v/>
      </c>
      <c r="R130" s="5" t="str">
        <f t="shared" si="10"/>
        <v/>
      </c>
    </row>
    <row r="131" ht="15.75" customHeight="1">
      <c r="A131" s="10" t="str">
        <f t="shared" si="1"/>
        <v>TZXD7</v>
      </c>
      <c r="B131" s="11">
        <v>45896.0</v>
      </c>
      <c r="C131" s="12" t="s">
        <v>14</v>
      </c>
      <c r="D131" s="12" t="s">
        <v>40</v>
      </c>
      <c r="E131" s="3" t="s">
        <v>16</v>
      </c>
      <c r="F131" s="13" t="s">
        <v>25</v>
      </c>
      <c r="G131" s="13" t="s">
        <v>18</v>
      </c>
      <c r="H131" s="3" t="s">
        <v>26</v>
      </c>
      <c r="I131" s="3"/>
      <c r="J131" s="3"/>
      <c r="K131" s="13" t="s">
        <v>55</v>
      </c>
      <c r="L131" s="14">
        <v>-6.44096107E8</v>
      </c>
      <c r="M131" s="35">
        <v>1.5725</v>
      </c>
      <c r="P131" s="17" t="str">
        <f t="shared" si="2"/>
        <v/>
      </c>
      <c r="R131" s="5" t="str">
        <f t="shared" si="10"/>
        <v/>
      </c>
    </row>
    <row r="132" ht="15.75" customHeight="1">
      <c r="A132" s="10" t="str">
        <f t="shared" si="1"/>
        <v>T15D5</v>
      </c>
      <c r="B132" s="11">
        <v>45896.0</v>
      </c>
      <c r="C132" s="12" t="s">
        <v>14</v>
      </c>
      <c r="D132" s="12" t="s">
        <v>15</v>
      </c>
      <c r="E132" s="3" t="s">
        <v>16</v>
      </c>
      <c r="F132" s="13" t="s">
        <v>25</v>
      </c>
      <c r="G132" s="13" t="s">
        <v>18</v>
      </c>
      <c r="H132" s="13" t="s">
        <v>32</v>
      </c>
      <c r="I132" s="3"/>
      <c r="J132" s="3"/>
      <c r="K132" s="13" t="s">
        <v>68</v>
      </c>
      <c r="L132" s="14">
        <v>8.11E8</v>
      </c>
      <c r="M132" s="18">
        <v>1.4715001</v>
      </c>
      <c r="P132" s="17" t="str">
        <f t="shared" si="2"/>
        <v/>
      </c>
      <c r="R132" s="5" t="str">
        <f t="shared" si="10"/>
        <v/>
      </c>
    </row>
    <row r="133" ht="15.75" customHeight="1">
      <c r="A133" s="10" t="str">
        <f t="shared" si="1"/>
        <v>S12S5</v>
      </c>
      <c r="B133" s="11">
        <v>45897.0</v>
      </c>
      <c r="C133" s="12" t="s">
        <v>14</v>
      </c>
      <c r="D133" s="12" t="s">
        <v>40</v>
      </c>
      <c r="E133" s="3" t="s">
        <v>16</v>
      </c>
      <c r="F133" s="13" t="s">
        <v>25</v>
      </c>
      <c r="G133" s="13" t="s">
        <v>18</v>
      </c>
      <c r="H133" s="13" t="s">
        <v>32</v>
      </c>
      <c r="I133" s="3"/>
      <c r="J133" s="3"/>
      <c r="K133" s="13" t="s">
        <v>72</v>
      </c>
      <c r="L133" s="14">
        <v>-2.32E8</v>
      </c>
      <c r="M133" s="18">
        <v>1.559</v>
      </c>
      <c r="P133" s="17" t="str">
        <f t="shared" si="2"/>
        <v/>
      </c>
      <c r="R133" s="5" t="str">
        <f t="shared" si="10"/>
        <v/>
      </c>
    </row>
    <row r="134" ht="15.75" customHeight="1">
      <c r="A134" s="10" t="str">
        <f t="shared" si="1"/>
        <v>TMS</v>
      </c>
      <c r="B134" s="47">
        <v>45897.0</v>
      </c>
      <c r="C134" s="48" t="s">
        <v>52</v>
      </c>
      <c r="D134" s="48" t="s">
        <v>65</v>
      </c>
      <c r="E134" s="49" t="s">
        <v>34</v>
      </c>
      <c r="F134" s="49" t="s">
        <v>25</v>
      </c>
      <c r="G134" s="49" t="s">
        <v>41</v>
      </c>
      <c r="H134" s="49" t="s">
        <v>34</v>
      </c>
      <c r="I134" s="50"/>
      <c r="J134" s="50"/>
      <c r="K134" s="49" t="s">
        <v>59</v>
      </c>
      <c r="L134" s="51"/>
      <c r="M134" s="52"/>
      <c r="N134" s="53"/>
      <c r="O134" s="54">
        <v>3779400.0</v>
      </c>
      <c r="P134" s="55">
        <f t="shared" si="2"/>
        <v>3779400</v>
      </c>
      <c r="Q134" s="53"/>
      <c r="R134" s="5" t="str">
        <f t="shared" si="10"/>
        <v/>
      </c>
    </row>
    <row r="135" ht="15.75" customHeight="1">
      <c r="A135" s="10" t="str">
        <f t="shared" si="1"/>
        <v>T17O5</v>
      </c>
      <c r="B135" s="11">
        <v>45898.0</v>
      </c>
      <c r="C135" s="12" t="s">
        <v>14</v>
      </c>
      <c r="D135" s="12" t="s">
        <v>40</v>
      </c>
      <c r="E135" s="3" t="s">
        <v>16</v>
      </c>
      <c r="F135" s="13" t="s">
        <v>25</v>
      </c>
      <c r="G135" s="13" t="s">
        <v>18</v>
      </c>
      <c r="H135" s="13" t="s">
        <v>32</v>
      </c>
      <c r="I135" s="3"/>
      <c r="J135" s="3"/>
      <c r="K135" s="13" t="s">
        <v>69</v>
      </c>
      <c r="L135" s="14">
        <v>-2.0342922E7</v>
      </c>
      <c r="M135" s="18">
        <v>1.499435</v>
      </c>
      <c r="P135" s="17" t="str">
        <f t="shared" si="2"/>
        <v/>
      </c>
      <c r="R135" s="5" t="str">
        <f t="shared" si="10"/>
        <v/>
      </c>
    </row>
    <row r="136" ht="15.75" customHeight="1">
      <c r="A136" s="10" t="str">
        <f t="shared" si="1"/>
        <v>S31O5</v>
      </c>
      <c r="B136" s="11">
        <v>45898.0</v>
      </c>
      <c r="C136" s="12" t="s">
        <v>14</v>
      </c>
      <c r="D136" s="12" t="s">
        <v>40</v>
      </c>
      <c r="E136" s="3" t="s">
        <v>16</v>
      </c>
      <c r="F136" s="13" t="s">
        <v>25</v>
      </c>
      <c r="G136" s="13" t="s">
        <v>18</v>
      </c>
      <c r="H136" s="13" t="s">
        <v>32</v>
      </c>
      <c r="I136" s="3"/>
      <c r="J136" s="3"/>
      <c r="K136" s="13" t="s">
        <v>71</v>
      </c>
      <c r="L136" s="14">
        <v>-2.3955E7</v>
      </c>
      <c r="M136" s="18">
        <v>1.2315</v>
      </c>
      <c r="P136" s="17" t="str">
        <f t="shared" si="2"/>
        <v/>
      </c>
      <c r="R136" s="5" t="str">
        <f t="shared" si="10"/>
        <v/>
      </c>
    </row>
    <row r="137" ht="15.75" customHeight="1">
      <c r="A137" s="10" t="str">
        <f t="shared" si="1"/>
        <v>TZXD6</v>
      </c>
      <c r="B137" s="11">
        <v>45905.0</v>
      </c>
      <c r="C137" s="12" t="s">
        <v>14</v>
      </c>
      <c r="D137" s="12" t="s">
        <v>40</v>
      </c>
      <c r="E137" s="3" t="s">
        <v>16</v>
      </c>
      <c r="F137" s="13" t="s">
        <v>25</v>
      </c>
      <c r="G137" s="13" t="s">
        <v>18</v>
      </c>
      <c r="H137" s="3" t="s">
        <v>26</v>
      </c>
      <c r="I137" s="3"/>
      <c r="J137" s="3"/>
      <c r="K137" s="13" t="s">
        <v>63</v>
      </c>
      <c r="L137" s="14">
        <v>-1.1E9</v>
      </c>
      <c r="M137" s="35">
        <v>1.8345</v>
      </c>
      <c r="P137" s="17" t="str">
        <f t="shared" si="2"/>
        <v/>
      </c>
      <c r="R137" s="5" t="str">
        <f t="shared" si="10"/>
        <v/>
      </c>
    </row>
    <row r="138" ht="15.75" customHeight="1">
      <c r="A138" s="10" t="str">
        <f t="shared" si="1"/>
        <v>S28N5</v>
      </c>
      <c r="B138" s="11">
        <v>45905.0</v>
      </c>
      <c r="C138" s="12" t="s">
        <v>14</v>
      </c>
      <c r="D138" s="12" t="s">
        <v>15</v>
      </c>
      <c r="E138" s="3" t="s">
        <v>16</v>
      </c>
      <c r="F138" s="13" t="s">
        <v>25</v>
      </c>
      <c r="G138" s="13" t="s">
        <v>18</v>
      </c>
      <c r="H138" s="13" t="s">
        <v>32</v>
      </c>
      <c r="I138" s="3"/>
      <c r="J138" s="3"/>
      <c r="K138" s="13" t="s">
        <v>66</v>
      </c>
      <c r="L138" s="14">
        <v>1.788182297E9</v>
      </c>
      <c r="M138" s="18">
        <v>1.1</v>
      </c>
      <c r="P138" s="17" t="str">
        <f t="shared" si="2"/>
        <v/>
      </c>
      <c r="R138" s="5" t="str">
        <f t="shared" si="10"/>
        <v/>
      </c>
    </row>
    <row r="139" ht="15.75" customHeight="1">
      <c r="A139" s="10" t="str">
        <f t="shared" si="1"/>
        <v>S12S5</v>
      </c>
      <c r="B139" s="11">
        <v>45905.0</v>
      </c>
      <c r="C139" s="12" t="s">
        <v>14</v>
      </c>
      <c r="D139" s="12" t="s">
        <v>15</v>
      </c>
      <c r="E139" s="3" t="s">
        <v>16</v>
      </c>
      <c r="F139" s="13" t="s">
        <v>25</v>
      </c>
      <c r="G139" s="13" t="s">
        <v>18</v>
      </c>
      <c r="H139" s="13" t="s">
        <v>32</v>
      </c>
      <c r="I139" s="3"/>
      <c r="J139" s="3"/>
      <c r="K139" s="13" t="s">
        <v>72</v>
      </c>
      <c r="L139" s="14">
        <v>3.8E8</v>
      </c>
      <c r="M139" s="18">
        <v>1.5805</v>
      </c>
      <c r="P139" s="17" t="str">
        <f t="shared" si="2"/>
        <v/>
      </c>
      <c r="R139" s="5" t="str">
        <f t="shared" si="10"/>
        <v/>
      </c>
    </row>
    <row r="140" ht="15.75" customHeight="1">
      <c r="A140" s="10" t="str">
        <f t="shared" si="1"/>
        <v>GGSL</v>
      </c>
      <c r="B140" s="11">
        <v>45908.0</v>
      </c>
      <c r="C140" s="12" t="s">
        <v>14</v>
      </c>
      <c r="D140" s="12" t="s">
        <v>40</v>
      </c>
      <c r="E140" s="13" t="s">
        <v>34</v>
      </c>
      <c r="F140" s="13" t="s">
        <v>25</v>
      </c>
      <c r="G140" s="13" t="s">
        <v>43</v>
      </c>
      <c r="H140" s="13" t="s">
        <v>34</v>
      </c>
      <c r="I140" s="3"/>
      <c r="J140" s="3"/>
      <c r="K140" s="13" t="s">
        <v>42</v>
      </c>
      <c r="L140" s="14">
        <v>-50000.0</v>
      </c>
      <c r="M140" s="18">
        <v>4680.0</v>
      </c>
      <c r="P140" s="17" t="str">
        <f t="shared" si="2"/>
        <v/>
      </c>
      <c r="R140" s="5" t="str">
        <f t="shared" si="10"/>
        <v/>
      </c>
    </row>
    <row r="141" ht="15.75" customHeight="1">
      <c r="A141" s="10" t="str">
        <f t="shared" si="1"/>
        <v>TMS</v>
      </c>
      <c r="B141" s="11">
        <v>45908.0</v>
      </c>
      <c r="C141" s="12" t="s">
        <v>14</v>
      </c>
      <c r="D141" s="12" t="s">
        <v>40</v>
      </c>
      <c r="E141" s="13" t="s">
        <v>34</v>
      </c>
      <c r="F141" s="13" t="s">
        <v>25</v>
      </c>
      <c r="G141" s="13" t="s">
        <v>43</v>
      </c>
      <c r="H141" s="13" t="s">
        <v>34</v>
      </c>
      <c r="I141" s="3"/>
      <c r="J141" s="3"/>
      <c r="K141" s="13" t="s">
        <v>59</v>
      </c>
      <c r="L141" s="14">
        <v>-20000.0</v>
      </c>
      <c r="M141" s="18">
        <v>6700.0</v>
      </c>
      <c r="P141" s="17" t="str">
        <f t="shared" si="2"/>
        <v/>
      </c>
      <c r="R141" s="5" t="str">
        <f t="shared" ref="R141:R189" si="11">IF(AND(C141="Venta",L141&gt;0),"Ventas Nominal en Negativo",IF(AND(C141="Outflow",P141&gt;0),"Outflows Value en Negativo",""))</f>
        <v/>
      </c>
    </row>
    <row r="142" ht="15.75" customHeight="1">
      <c r="A142" s="10" t="str">
        <f t="shared" si="1"/>
        <v>S12S5</v>
      </c>
      <c r="B142" s="11">
        <v>45908.0</v>
      </c>
      <c r="C142" s="12" t="s">
        <v>14</v>
      </c>
      <c r="D142" s="12" t="s">
        <v>15</v>
      </c>
      <c r="E142" s="3" t="s">
        <v>16</v>
      </c>
      <c r="F142" s="13" t="s">
        <v>25</v>
      </c>
      <c r="G142" s="13" t="s">
        <v>18</v>
      </c>
      <c r="H142" s="13" t="s">
        <v>32</v>
      </c>
      <c r="I142" s="3"/>
      <c r="J142" s="3"/>
      <c r="K142" s="13" t="s">
        <v>72</v>
      </c>
      <c r="L142" s="14">
        <v>2.338E8</v>
      </c>
      <c r="M142" s="18">
        <v>1.582</v>
      </c>
      <c r="P142" s="17" t="str">
        <f t="shared" si="2"/>
        <v/>
      </c>
      <c r="R142" s="5" t="str">
        <f t="shared" si="11"/>
        <v/>
      </c>
    </row>
    <row r="143" ht="15.75" customHeight="1">
      <c r="A143" s="10" t="str">
        <f t="shared" si="1"/>
        <v>GGSL</v>
      </c>
      <c r="B143" s="11">
        <v>45909.0</v>
      </c>
      <c r="C143" s="12" t="s">
        <v>14</v>
      </c>
      <c r="D143" s="12" t="s">
        <v>40</v>
      </c>
      <c r="E143" s="13" t="s">
        <v>34</v>
      </c>
      <c r="F143" s="13" t="s">
        <v>25</v>
      </c>
      <c r="G143" s="13" t="s">
        <v>43</v>
      </c>
      <c r="H143" s="13" t="s">
        <v>34</v>
      </c>
      <c r="I143" s="3"/>
      <c r="J143" s="3"/>
      <c r="K143" s="13" t="s">
        <v>42</v>
      </c>
      <c r="L143" s="14">
        <v>-159000.0</v>
      </c>
      <c r="M143" s="18">
        <v>4471.4103</v>
      </c>
      <c r="P143" s="17" t="str">
        <f t="shared" si="2"/>
        <v/>
      </c>
      <c r="R143" s="5" t="str">
        <f t="shared" si="11"/>
        <v/>
      </c>
    </row>
    <row r="144" ht="15.75" customHeight="1">
      <c r="A144" s="10" t="str">
        <f t="shared" si="1"/>
        <v>TMS</v>
      </c>
      <c r="B144" s="11">
        <v>45909.0</v>
      </c>
      <c r="C144" s="12" t="s">
        <v>14</v>
      </c>
      <c r="D144" s="12" t="s">
        <v>40</v>
      </c>
      <c r="E144" s="13" t="s">
        <v>34</v>
      </c>
      <c r="F144" s="13" t="s">
        <v>25</v>
      </c>
      <c r="G144" s="13" t="s">
        <v>43</v>
      </c>
      <c r="H144" s="13" t="s">
        <v>34</v>
      </c>
      <c r="I144" s="3"/>
      <c r="J144" s="3"/>
      <c r="K144" s="13" t="s">
        <v>59</v>
      </c>
      <c r="L144" s="14">
        <v>-48750.0</v>
      </c>
      <c r="M144" s="18">
        <v>6504.038667</v>
      </c>
      <c r="P144" s="17" t="str">
        <f t="shared" si="2"/>
        <v/>
      </c>
      <c r="R144" s="5" t="str">
        <f t="shared" si="11"/>
        <v/>
      </c>
    </row>
    <row r="145" ht="15.75" customHeight="1">
      <c r="A145" s="10" t="str">
        <f t="shared" si="1"/>
        <v>T17O5</v>
      </c>
      <c r="B145" s="11">
        <v>45909.0</v>
      </c>
      <c r="C145" s="12" t="s">
        <v>14</v>
      </c>
      <c r="D145" s="12" t="s">
        <v>15</v>
      </c>
      <c r="E145" s="3" t="s">
        <v>16</v>
      </c>
      <c r="F145" s="13" t="s">
        <v>25</v>
      </c>
      <c r="G145" s="13" t="s">
        <v>18</v>
      </c>
      <c r="H145" s="13" t="s">
        <v>32</v>
      </c>
      <c r="I145" s="3"/>
      <c r="J145" s="3"/>
      <c r="K145" s="13" t="s">
        <v>69</v>
      </c>
      <c r="L145" s="14">
        <v>2.64026402E8</v>
      </c>
      <c r="M145" s="18">
        <v>1.515407</v>
      </c>
      <c r="P145" s="17" t="str">
        <f t="shared" si="2"/>
        <v/>
      </c>
      <c r="R145" s="5" t="str">
        <f t="shared" si="11"/>
        <v/>
      </c>
    </row>
    <row r="146" ht="15.75" customHeight="1">
      <c r="A146" s="10" t="str">
        <f t="shared" si="1"/>
        <v>GGSL</v>
      </c>
      <c r="B146" s="47">
        <v>45910.0</v>
      </c>
      <c r="C146" s="48" t="s">
        <v>52</v>
      </c>
      <c r="D146" s="48" t="s">
        <v>65</v>
      </c>
      <c r="E146" s="49" t="s">
        <v>34</v>
      </c>
      <c r="F146" s="49" t="s">
        <v>25</v>
      </c>
      <c r="G146" s="49" t="s">
        <v>41</v>
      </c>
      <c r="H146" s="49" t="s">
        <v>34</v>
      </c>
      <c r="I146" s="50"/>
      <c r="J146" s="50"/>
      <c r="K146" s="49" t="s">
        <v>42</v>
      </c>
      <c r="L146" s="51"/>
      <c r="M146" s="52"/>
      <c r="N146" s="53"/>
      <c r="O146" s="54">
        <v>4578157.92</v>
      </c>
      <c r="P146" s="55">
        <f t="shared" si="2"/>
        <v>4578157.92</v>
      </c>
      <c r="Q146" s="53"/>
      <c r="R146" s="5" t="str">
        <f t="shared" si="11"/>
        <v/>
      </c>
    </row>
    <row r="147" ht="15.75" customHeight="1">
      <c r="A147" s="10" t="str">
        <f t="shared" si="1"/>
        <v>S12S5</v>
      </c>
      <c r="B147" s="25">
        <v>45912.0</v>
      </c>
      <c r="C147" s="26" t="s">
        <v>52</v>
      </c>
      <c r="D147" s="26" t="s">
        <v>53</v>
      </c>
      <c r="E147" s="27" t="s">
        <v>16</v>
      </c>
      <c r="F147" s="28" t="s">
        <v>25</v>
      </c>
      <c r="G147" s="28" t="s">
        <v>18</v>
      </c>
      <c r="H147" s="28" t="s">
        <v>32</v>
      </c>
      <c r="I147" s="27"/>
      <c r="J147" s="27"/>
      <c r="K147" s="28" t="s">
        <v>72</v>
      </c>
      <c r="L147" s="29">
        <v>-6.138E8</v>
      </c>
      <c r="M147" s="30">
        <v>1.589766</v>
      </c>
      <c r="N147" s="31">
        <v>1.0</v>
      </c>
      <c r="O147" s="46">
        <v>9.757983708E8</v>
      </c>
      <c r="P147" s="33">
        <f t="shared" si="2"/>
        <v>975798370.8</v>
      </c>
      <c r="Q147" s="34"/>
      <c r="R147" s="5" t="str">
        <f t="shared" si="11"/>
        <v/>
      </c>
    </row>
    <row r="148" ht="15.75" customHeight="1">
      <c r="A148" s="10" t="str">
        <f t="shared" si="1"/>
        <v>S30S5</v>
      </c>
      <c r="B148" s="11">
        <v>45919.0</v>
      </c>
      <c r="C148" s="12" t="s">
        <v>14</v>
      </c>
      <c r="D148" s="12" t="s">
        <v>15</v>
      </c>
      <c r="E148" s="3" t="s">
        <v>16</v>
      </c>
      <c r="F148" s="13" t="s">
        <v>25</v>
      </c>
      <c r="G148" s="13" t="s">
        <v>18</v>
      </c>
      <c r="H148" s="13" t="s">
        <v>32</v>
      </c>
      <c r="I148" s="3"/>
      <c r="J148" s="3"/>
      <c r="K148" s="13" t="s">
        <v>73</v>
      </c>
      <c r="L148" s="14">
        <v>3.166434215E9</v>
      </c>
      <c r="M148" s="18">
        <v>1.572</v>
      </c>
      <c r="P148" s="17" t="str">
        <f t="shared" si="2"/>
        <v/>
      </c>
      <c r="R148" s="5" t="str">
        <f t="shared" si="11"/>
        <v/>
      </c>
    </row>
    <row r="149" ht="15.75" customHeight="1">
      <c r="A149" s="10" t="str">
        <f t="shared" si="1"/>
        <v>T17O5</v>
      </c>
      <c r="B149" s="11">
        <v>45919.0</v>
      </c>
      <c r="C149" s="12" t="s">
        <v>14</v>
      </c>
      <c r="D149" s="12" t="s">
        <v>40</v>
      </c>
      <c r="E149" s="3" t="s">
        <v>16</v>
      </c>
      <c r="F149" s="13" t="s">
        <v>25</v>
      </c>
      <c r="G149" s="13" t="s">
        <v>18</v>
      </c>
      <c r="H149" s="13" t="s">
        <v>32</v>
      </c>
      <c r="I149" s="3"/>
      <c r="J149" s="3"/>
      <c r="K149" s="13" t="s">
        <v>69</v>
      </c>
      <c r="L149" s="14">
        <v>-1.1E9</v>
      </c>
      <c r="M149" s="18">
        <v>1.532</v>
      </c>
      <c r="P149" s="17" t="str">
        <f t="shared" si="2"/>
        <v/>
      </c>
      <c r="R149" s="5" t="str">
        <f t="shared" si="11"/>
        <v/>
      </c>
    </row>
    <row r="150" ht="15.75" customHeight="1">
      <c r="A150" s="10" t="str">
        <f t="shared" si="1"/>
        <v>TY30P</v>
      </c>
      <c r="B150" s="11">
        <v>45919.0</v>
      </c>
      <c r="C150" s="12" t="s">
        <v>14</v>
      </c>
      <c r="D150" s="12" t="s">
        <v>15</v>
      </c>
      <c r="E150" s="3" t="s">
        <v>16</v>
      </c>
      <c r="F150" s="13" t="s">
        <v>25</v>
      </c>
      <c r="G150" s="13" t="s">
        <v>18</v>
      </c>
      <c r="H150" s="13" t="s">
        <v>32</v>
      </c>
      <c r="I150" s="3"/>
      <c r="J150" s="3"/>
      <c r="K150" s="13" t="s">
        <v>74</v>
      </c>
      <c r="L150" s="14">
        <v>2.0E9</v>
      </c>
      <c r="M150" s="18">
        <v>0.805</v>
      </c>
      <c r="P150" s="17" t="str">
        <f t="shared" si="2"/>
        <v/>
      </c>
      <c r="R150" s="5" t="str">
        <f t="shared" si="11"/>
        <v/>
      </c>
    </row>
    <row r="151" ht="15.75" customHeight="1">
      <c r="A151" s="10" t="str">
        <f t="shared" si="1"/>
        <v>S30S5</v>
      </c>
      <c r="B151" s="11">
        <v>45922.0</v>
      </c>
      <c r="C151" s="12" t="s">
        <v>14</v>
      </c>
      <c r="D151" s="12" t="s">
        <v>40</v>
      </c>
      <c r="E151" s="3" t="s">
        <v>16</v>
      </c>
      <c r="F151" s="13" t="s">
        <v>25</v>
      </c>
      <c r="G151" s="13" t="s">
        <v>18</v>
      </c>
      <c r="H151" s="13" t="s">
        <v>32</v>
      </c>
      <c r="I151" s="3"/>
      <c r="J151" s="3"/>
      <c r="K151" s="13" t="s">
        <v>73</v>
      </c>
      <c r="L151" s="14">
        <v>-3.166434215E9</v>
      </c>
      <c r="M151" s="18">
        <v>1.585412</v>
      </c>
      <c r="P151" s="17" t="str">
        <f t="shared" si="2"/>
        <v/>
      </c>
      <c r="R151" s="5" t="str">
        <f t="shared" si="11"/>
        <v/>
      </c>
    </row>
    <row r="152" ht="15.75" customHeight="1">
      <c r="A152" s="10" t="str">
        <f t="shared" si="1"/>
        <v>TY30P</v>
      </c>
      <c r="B152" s="11">
        <v>45924.0</v>
      </c>
      <c r="C152" s="12" t="s">
        <v>14</v>
      </c>
      <c r="D152" s="12" t="s">
        <v>15</v>
      </c>
      <c r="E152" s="3" t="s">
        <v>16</v>
      </c>
      <c r="F152" s="13" t="s">
        <v>25</v>
      </c>
      <c r="G152" s="13" t="s">
        <v>18</v>
      </c>
      <c r="H152" s="13" t="s">
        <v>32</v>
      </c>
      <c r="I152" s="3"/>
      <c r="J152" s="3"/>
      <c r="K152" s="13" t="s">
        <v>74</v>
      </c>
      <c r="L152" s="14">
        <v>1.0E9</v>
      </c>
      <c r="M152" s="18">
        <v>0.949</v>
      </c>
      <c r="P152" s="17" t="str">
        <f t="shared" si="2"/>
        <v/>
      </c>
      <c r="R152" s="5" t="str">
        <f t="shared" si="11"/>
        <v/>
      </c>
    </row>
    <row r="153" ht="15.75" customHeight="1">
      <c r="A153" s="10" t="str">
        <f t="shared" si="1"/>
        <v>T17O5</v>
      </c>
      <c r="B153" s="11">
        <v>45924.0</v>
      </c>
      <c r="C153" s="12" t="s">
        <v>14</v>
      </c>
      <c r="D153" s="12" t="s">
        <v>40</v>
      </c>
      <c r="E153" s="3" t="s">
        <v>16</v>
      </c>
      <c r="F153" s="13" t="s">
        <v>25</v>
      </c>
      <c r="G153" s="13" t="s">
        <v>18</v>
      </c>
      <c r="H153" s="13" t="s">
        <v>32</v>
      </c>
      <c r="I153" s="3"/>
      <c r="J153" s="3"/>
      <c r="K153" s="13" t="s">
        <v>69</v>
      </c>
      <c r="L153" s="14">
        <v>-5.82316672E8</v>
      </c>
      <c r="M153" s="18">
        <v>1.5591</v>
      </c>
      <c r="P153" s="17" t="str">
        <f t="shared" si="2"/>
        <v/>
      </c>
      <c r="R153" s="5" t="str">
        <f t="shared" si="11"/>
        <v/>
      </c>
    </row>
    <row r="154" ht="15.75" customHeight="1">
      <c r="A154" s="10" t="str">
        <f t="shared" si="1"/>
        <v>S31O5</v>
      </c>
      <c r="B154" s="11">
        <v>45925.0</v>
      </c>
      <c r="C154" s="12" t="s">
        <v>14</v>
      </c>
      <c r="D154" s="12" t="s">
        <v>15</v>
      </c>
      <c r="E154" s="3" t="s">
        <v>16</v>
      </c>
      <c r="F154" s="13" t="s">
        <v>25</v>
      </c>
      <c r="G154" s="13" t="s">
        <v>18</v>
      </c>
      <c r="H154" s="13" t="s">
        <v>32</v>
      </c>
      <c r="I154" s="3"/>
      <c r="J154" s="3"/>
      <c r="K154" s="13" t="s">
        <v>71</v>
      </c>
      <c r="L154" s="14">
        <v>3.908692933E9</v>
      </c>
      <c r="M154" s="18">
        <v>1.279124</v>
      </c>
      <c r="P154" s="17" t="str">
        <f t="shared" si="2"/>
        <v/>
      </c>
      <c r="R154" s="5" t="str">
        <f t="shared" si="11"/>
        <v/>
      </c>
    </row>
    <row r="155" ht="15.75" customHeight="1">
      <c r="A155" s="10" t="str">
        <f t="shared" si="1"/>
        <v>TY30P</v>
      </c>
      <c r="B155" s="11">
        <v>45926.0</v>
      </c>
      <c r="C155" s="12" t="s">
        <v>14</v>
      </c>
      <c r="D155" s="12" t="s">
        <v>40</v>
      </c>
      <c r="E155" s="3" t="s">
        <v>16</v>
      </c>
      <c r="F155" s="13" t="s">
        <v>25</v>
      </c>
      <c r="G155" s="13" t="s">
        <v>18</v>
      </c>
      <c r="H155" s="13" t="s">
        <v>32</v>
      </c>
      <c r="I155" s="3"/>
      <c r="J155" s="3"/>
      <c r="K155" s="13" t="s">
        <v>74</v>
      </c>
      <c r="L155" s="14">
        <v>-3.0E9</v>
      </c>
      <c r="M155" s="18">
        <v>0.87</v>
      </c>
      <c r="P155" s="17" t="str">
        <f t="shared" si="2"/>
        <v/>
      </c>
      <c r="R155" s="5" t="str">
        <f t="shared" si="11"/>
        <v/>
      </c>
    </row>
    <row r="156" ht="15.75" customHeight="1">
      <c r="A156" s="10" t="str">
        <f t="shared" si="1"/>
        <v>S31O5</v>
      </c>
      <c r="B156" s="11">
        <v>45929.0</v>
      </c>
      <c r="C156" s="12" t="s">
        <v>14</v>
      </c>
      <c r="D156" s="12" t="s">
        <v>40</v>
      </c>
      <c r="E156" s="3" t="s">
        <v>16</v>
      </c>
      <c r="F156" s="13" t="s">
        <v>25</v>
      </c>
      <c r="G156" s="13" t="s">
        <v>18</v>
      </c>
      <c r="H156" s="13" t="s">
        <v>32</v>
      </c>
      <c r="I156" s="3"/>
      <c r="J156" s="3"/>
      <c r="K156" s="13" t="s">
        <v>71</v>
      </c>
      <c r="L156" s="14">
        <v>-3.755028522E9</v>
      </c>
      <c r="M156" s="18">
        <v>1.288892</v>
      </c>
      <c r="P156" s="17" t="str">
        <f t="shared" si="2"/>
        <v/>
      </c>
      <c r="R156" s="5" t="str">
        <f t="shared" si="11"/>
        <v/>
      </c>
    </row>
    <row r="157" ht="15.75" customHeight="1">
      <c r="A157" s="10" t="str">
        <f t="shared" si="1"/>
        <v>T30E6</v>
      </c>
      <c r="B157" s="11">
        <v>45929.0</v>
      </c>
      <c r="C157" s="12" t="s">
        <v>14</v>
      </c>
      <c r="D157" s="12" t="s">
        <v>15</v>
      </c>
      <c r="E157" s="3" t="s">
        <v>16</v>
      </c>
      <c r="F157" s="13" t="s">
        <v>25</v>
      </c>
      <c r="G157" s="13" t="s">
        <v>18</v>
      </c>
      <c r="H157" s="13" t="s">
        <v>32</v>
      </c>
      <c r="I157" s="3"/>
      <c r="J157" s="3"/>
      <c r="K157" s="13" t="s">
        <v>67</v>
      </c>
      <c r="L157" s="14">
        <v>2.5464E7</v>
      </c>
      <c r="M157" s="18">
        <v>1.203</v>
      </c>
      <c r="P157" s="17" t="str">
        <f t="shared" si="2"/>
        <v/>
      </c>
      <c r="R157" s="5" t="str">
        <f t="shared" si="11"/>
        <v/>
      </c>
    </row>
    <row r="158" ht="15.75" customHeight="1">
      <c r="A158" s="10" t="str">
        <f t="shared" si="1"/>
        <v>T15D5</v>
      </c>
      <c r="B158" s="11">
        <v>45929.0</v>
      </c>
      <c r="C158" s="12" t="s">
        <v>14</v>
      </c>
      <c r="D158" s="12" t="s">
        <v>15</v>
      </c>
      <c r="E158" s="3" t="s">
        <v>16</v>
      </c>
      <c r="F158" s="13" t="s">
        <v>25</v>
      </c>
      <c r="G158" s="13" t="s">
        <v>18</v>
      </c>
      <c r="H158" s="13" t="s">
        <v>32</v>
      </c>
      <c r="I158" s="3"/>
      <c r="J158" s="3"/>
      <c r="K158" s="13" t="s">
        <v>68</v>
      </c>
      <c r="L158" s="14">
        <v>3.106669433E9</v>
      </c>
      <c r="M158" s="57">
        <v>1.557877</v>
      </c>
      <c r="P158" s="17" t="str">
        <f t="shared" si="2"/>
        <v/>
      </c>
      <c r="R158" s="5" t="str">
        <f t="shared" si="11"/>
        <v/>
      </c>
    </row>
    <row r="159" ht="15.75" customHeight="1">
      <c r="A159" s="10" t="str">
        <f t="shared" si="1"/>
        <v>S31O5</v>
      </c>
      <c r="B159" s="11">
        <v>45930.0</v>
      </c>
      <c r="C159" s="12" t="s">
        <v>14</v>
      </c>
      <c r="D159" s="12" t="s">
        <v>40</v>
      </c>
      <c r="E159" s="3" t="s">
        <v>16</v>
      </c>
      <c r="F159" s="13" t="s">
        <v>25</v>
      </c>
      <c r="G159" s="13" t="s">
        <v>18</v>
      </c>
      <c r="H159" s="13" t="s">
        <v>32</v>
      </c>
      <c r="I159" s="3"/>
      <c r="J159" s="3"/>
      <c r="K159" s="13" t="s">
        <v>71</v>
      </c>
      <c r="L159" s="14">
        <v>-4.70948268E9</v>
      </c>
      <c r="M159" s="57">
        <v>1.290136</v>
      </c>
      <c r="P159" s="17" t="str">
        <f t="shared" si="2"/>
        <v/>
      </c>
      <c r="R159" s="5" t="str">
        <f t="shared" si="11"/>
        <v/>
      </c>
    </row>
    <row r="160" ht="15.75" customHeight="1">
      <c r="A160" s="10" t="str">
        <f t="shared" si="1"/>
        <v>D31O5</v>
      </c>
      <c r="B160" s="11">
        <v>45930.0</v>
      </c>
      <c r="C160" s="12" t="s">
        <v>14</v>
      </c>
      <c r="D160" s="12" t="s">
        <v>15</v>
      </c>
      <c r="E160" s="3" t="s">
        <v>16</v>
      </c>
      <c r="F160" s="13" t="s">
        <v>25</v>
      </c>
      <c r="G160" s="13" t="s">
        <v>18</v>
      </c>
      <c r="H160" s="13" t="s">
        <v>75</v>
      </c>
      <c r="I160" s="3"/>
      <c r="J160" s="3"/>
      <c r="K160" s="13" t="s">
        <v>76</v>
      </c>
      <c r="L160" s="14">
        <v>1805367.0</v>
      </c>
      <c r="M160" s="57">
        <v>1384.7413</v>
      </c>
      <c r="P160" s="17" t="str">
        <f t="shared" si="2"/>
        <v/>
      </c>
      <c r="R160" s="5" t="str">
        <f t="shared" si="11"/>
        <v/>
      </c>
    </row>
    <row r="161" ht="15.75" customHeight="1">
      <c r="A161" s="10" t="str">
        <f t="shared" si="1"/>
        <v>T15D5</v>
      </c>
      <c r="B161" s="11">
        <v>45930.0</v>
      </c>
      <c r="C161" s="12" t="s">
        <v>14</v>
      </c>
      <c r="D161" s="12" t="s">
        <v>40</v>
      </c>
      <c r="E161" s="3" t="s">
        <v>16</v>
      </c>
      <c r="F161" s="13" t="s">
        <v>25</v>
      </c>
      <c r="G161" s="13" t="s">
        <v>18</v>
      </c>
      <c r="H161" s="13" t="s">
        <v>32</v>
      </c>
      <c r="I161" s="3"/>
      <c r="J161" s="3"/>
      <c r="K161" s="13" t="s">
        <v>68</v>
      </c>
      <c r="L161" s="14">
        <v>-1.786283891E9</v>
      </c>
      <c r="M161" s="57">
        <v>1.5675</v>
      </c>
      <c r="P161" s="17" t="str">
        <f t="shared" si="2"/>
        <v/>
      </c>
      <c r="R161" s="5" t="str">
        <f t="shared" si="11"/>
        <v/>
      </c>
    </row>
    <row r="162" ht="15.75" customHeight="1">
      <c r="A162" s="10" t="str">
        <f t="shared" si="1"/>
        <v>T15D5</v>
      </c>
      <c r="B162" s="11">
        <v>45930.0</v>
      </c>
      <c r="C162" s="12" t="s">
        <v>14</v>
      </c>
      <c r="D162" s="12" t="s">
        <v>15</v>
      </c>
      <c r="E162" s="3" t="s">
        <v>16</v>
      </c>
      <c r="F162" s="13" t="s">
        <v>25</v>
      </c>
      <c r="G162" s="13" t="s">
        <v>18</v>
      </c>
      <c r="H162" s="13" t="s">
        <v>32</v>
      </c>
      <c r="I162" s="3"/>
      <c r="J162" s="3"/>
      <c r="K162" s="13" t="s">
        <v>68</v>
      </c>
      <c r="L162" s="14">
        <v>5.686283891E9</v>
      </c>
      <c r="M162" s="57">
        <v>1.558227</v>
      </c>
      <c r="P162" s="17" t="str">
        <f t="shared" si="2"/>
        <v/>
      </c>
      <c r="R162" s="5" t="str">
        <f t="shared" si="11"/>
        <v/>
      </c>
    </row>
    <row r="163" ht="15.75" customHeight="1">
      <c r="A163" s="10" t="str">
        <f t="shared" si="1"/>
        <v>TZXM6</v>
      </c>
      <c r="B163" s="11">
        <v>45930.0</v>
      </c>
      <c r="C163" s="12" t="s">
        <v>14</v>
      </c>
      <c r="D163" s="12" t="s">
        <v>15</v>
      </c>
      <c r="E163" s="3" t="s">
        <v>16</v>
      </c>
      <c r="F163" s="13" t="s">
        <v>25</v>
      </c>
      <c r="G163" s="13" t="s">
        <v>18</v>
      </c>
      <c r="H163" s="3" t="s">
        <v>26</v>
      </c>
      <c r="I163" s="3"/>
      <c r="J163" s="3"/>
      <c r="K163" s="13" t="s">
        <v>31</v>
      </c>
      <c r="L163" s="14">
        <v>5.0E8</v>
      </c>
      <c r="M163" s="57">
        <v>1.605</v>
      </c>
      <c r="P163" s="17" t="str">
        <f t="shared" si="2"/>
        <v/>
      </c>
      <c r="R163" s="5" t="str">
        <f t="shared" si="11"/>
        <v/>
      </c>
    </row>
    <row r="164" ht="15.75" customHeight="1">
      <c r="A164" s="10" t="str">
        <f t="shared" si="1"/>
        <v>TTM26</v>
      </c>
      <c r="B164" s="11">
        <v>45932.0</v>
      </c>
      <c r="C164" s="12" t="s">
        <v>14</v>
      </c>
      <c r="D164" s="12" t="s">
        <v>40</v>
      </c>
      <c r="E164" s="3" t="s">
        <v>16</v>
      </c>
      <c r="F164" s="13" t="s">
        <v>25</v>
      </c>
      <c r="G164" s="13" t="s">
        <v>18</v>
      </c>
      <c r="H164" s="13" t="s">
        <v>32</v>
      </c>
      <c r="I164" s="3"/>
      <c r="J164" s="3"/>
      <c r="K164" s="13" t="s">
        <v>48</v>
      </c>
      <c r="L164" s="14">
        <v>-1.550054845E9</v>
      </c>
      <c r="M164" s="57">
        <v>1.12713</v>
      </c>
      <c r="P164" s="17" t="str">
        <f t="shared" si="2"/>
        <v/>
      </c>
      <c r="R164" s="5" t="str">
        <f t="shared" si="11"/>
        <v/>
      </c>
    </row>
    <row r="165" ht="15.75" customHeight="1">
      <c r="A165" s="10" t="str">
        <f t="shared" si="1"/>
        <v>S31O5</v>
      </c>
      <c r="B165" s="11">
        <v>45932.0</v>
      </c>
      <c r="C165" s="12" t="s">
        <v>14</v>
      </c>
      <c r="D165" s="12" t="s">
        <v>40</v>
      </c>
      <c r="E165" s="3" t="s">
        <v>16</v>
      </c>
      <c r="F165" s="13" t="s">
        <v>25</v>
      </c>
      <c r="G165" s="13" t="s">
        <v>18</v>
      </c>
      <c r="H165" s="13" t="s">
        <v>32</v>
      </c>
      <c r="I165" s="3"/>
      <c r="J165" s="3"/>
      <c r="K165" s="13" t="s">
        <v>71</v>
      </c>
      <c r="L165" s="14">
        <v>-6.00163542E8</v>
      </c>
      <c r="M165" s="57">
        <v>1.281</v>
      </c>
      <c r="P165" s="17" t="str">
        <f t="shared" si="2"/>
        <v/>
      </c>
      <c r="R165" s="5" t="str">
        <f t="shared" si="11"/>
        <v/>
      </c>
    </row>
    <row r="166" ht="15.75" customHeight="1">
      <c r="A166" s="10" t="str">
        <f t="shared" si="1"/>
        <v>D31O5</v>
      </c>
      <c r="B166" s="11">
        <v>45932.0</v>
      </c>
      <c r="C166" s="12" t="s">
        <v>14</v>
      </c>
      <c r="D166" s="12" t="s">
        <v>15</v>
      </c>
      <c r="E166" s="3" t="s">
        <v>16</v>
      </c>
      <c r="F166" s="13" t="s">
        <v>25</v>
      </c>
      <c r="G166" s="13" t="s">
        <v>18</v>
      </c>
      <c r="H166" s="13" t="s">
        <v>75</v>
      </c>
      <c r="I166" s="3"/>
      <c r="J166" s="3"/>
      <c r="K166" s="13" t="s">
        <v>76</v>
      </c>
      <c r="L166" s="14">
        <v>1795000.0</v>
      </c>
      <c r="M166" s="57">
        <v>1401.600165</v>
      </c>
      <c r="P166" s="17" t="str">
        <f t="shared" si="2"/>
        <v/>
      </c>
      <c r="R166" s="5" t="str">
        <f t="shared" si="11"/>
        <v/>
      </c>
    </row>
    <row r="167" ht="15.75" customHeight="1">
      <c r="A167" s="10" t="str">
        <f t="shared" si="1"/>
        <v>S30S5</v>
      </c>
      <c r="B167" s="11">
        <v>45943.0</v>
      </c>
      <c r="C167" s="12" t="s">
        <v>14</v>
      </c>
      <c r="D167" s="12" t="s">
        <v>40</v>
      </c>
      <c r="E167" s="3" t="s">
        <v>16</v>
      </c>
      <c r="F167" s="13" t="s">
        <v>25</v>
      </c>
      <c r="G167" s="13" t="s">
        <v>18</v>
      </c>
      <c r="H167" s="13" t="s">
        <v>32</v>
      </c>
      <c r="I167" s="3"/>
      <c r="J167" s="3"/>
      <c r="K167" s="13" t="s">
        <v>73</v>
      </c>
      <c r="L167" s="35">
        <v>-4.63392029E8</v>
      </c>
      <c r="M167" s="57">
        <v>1.5973414</v>
      </c>
      <c r="P167" s="17" t="str">
        <f t="shared" si="2"/>
        <v/>
      </c>
      <c r="R167" s="5" t="str">
        <f t="shared" si="11"/>
        <v/>
      </c>
    </row>
    <row r="168" ht="15.75" customHeight="1">
      <c r="A168" s="10" t="str">
        <f t="shared" si="1"/>
        <v>T15D5</v>
      </c>
      <c r="B168" s="11">
        <v>45943.0</v>
      </c>
      <c r="C168" s="12" t="s">
        <v>14</v>
      </c>
      <c r="D168" s="12" t="s">
        <v>40</v>
      </c>
      <c r="E168" s="3" t="s">
        <v>16</v>
      </c>
      <c r="F168" s="13" t="s">
        <v>25</v>
      </c>
      <c r="G168" s="13" t="s">
        <v>18</v>
      </c>
      <c r="H168" s="13" t="s">
        <v>32</v>
      </c>
      <c r="I168" s="3"/>
      <c r="J168" s="3"/>
      <c r="K168" s="13" t="s">
        <v>68</v>
      </c>
      <c r="L168" s="35">
        <v>-3.4173852E7</v>
      </c>
      <c r="M168" s="57">
        <v>1.571</v>
      </c>
      <c r="P168" s="17" t="str">
        <f t="shared" si="2"/>
        <v/>
      </c>
      <c r="R168" s="5" t="str">
        <f t="shared" si="11"/>
        <v/>
      </c>
    </row>
    <row r="169" ht="15.75" customHeight="1">
      <c r="A169" s="10" t="str">
        <f t="shared" si="1"/>
        <v>S28N5</v>
      </c>
      <c r="B169" s="11">
        <v>45943.0</v>
      </c>
      <c r="C169" s="12" t="s">
        <v>14</v>
      </c>
      <c r="D169" s="12" t="s">
        <v>40</v>
      </c>
      <c r="E169" s="3" t="s">
        <v>16</v>
      </c>
      <c r="F169" s="13" t="s">
        <v>25</v>
      </c>
      <c r="G169" s="13" t="s">
        <v>18</v>
      </c>
      <c r="H169" s="13" t="s">
        <v>32</v>
      </c>
      <c r="I169" s="3"/>
      <c r="J169" s="3"/>
      <c r="K169" s="13" t="s">
        <v>66</v>
      </c>
      <c r="L169" s="35">
        <v>-2.24796135E8</v>
      </c>
      <c r="M169" s="57">
        <v>1.156</v>
      </c>
      <c r="P169" s="17" t="str">
        <f t="shared" si="2"/>
        <v/>
      </c>
      <c r="R169" s="5" t="str">
        <f t="shared" si="11"/>
        <v/>
      </c>
    </row>
    <row r="170" ht="15.75" customHeight="1">
      <c r="A170" s="10" t="str">
        <f t="shared" si="1"/>
        <v>S28N5</v>
      </c>
      <c r="B170" s="11">
        <v>45943.0</v>
      </c>
      <c r="C170" s="12" t="s">
        <v>14</v>
      </c>
      <c r="D170" s="12" t="s">
        <v>40</v>
      </c>
      <c r="E170" s="3" t="s">
        <v>16</v>
      </c>
      <c r="F170" s="13" t="s">
        <v>25</v>
      </c>
      <c r="G170" s="13" t="s">
        <v>18</v>
      </c>
      <c r="H170" s="13" t="s">
        <v>32</v>
      </c>
      <c r="I170" s="3"/>
      <c r="J170" s="3"/>
      <c r="K170" s="13" t="s">
        <v>66</v>
      </c>
      <c r="L170" s="35">
        <v>-7.87400823E8</v>
      </c>
      <c r="M170" s="57">
        <v>1.161</v>
      </c>
      <c r="P170" s="17" t="str">
        <f t="shared" si="2"/>
        <v/>
      </c>
      <c r="R170" s="5" t="str">
        <f t="shared" si="11"/>
        <v/>
      </c>
    </row>
    <row r="171" ht="15.75" customHeight="1">
      <c r="A171" s="10" t="str">
        <f t="shared" si="1"/>
        <v>S28N5</v>
      </c>
      <c r="B171" s="11">
        <v>45944.0</v>
      </c>
      <c r="C171" s="12" t="s">
        <v>14</v>
      </c>
      <c r="D171" s="12" t="s">
        <v>40</v>
      </c>
      <c r="E171" s="3" t="s">
        <v>16</v>
      </c>
      <c r="F171" s="13" t="s">
        <v>25</v>
      </c>
      <c r="G171" s="13" t="s">
        <v>18</v>
      </c>
      <c r="H171" s="13" t="s">
        <v>32</v>
      </c>
      <c r="I171" s="3"/>
      <c r="J171" s="3"/>
      <c r="K171" s="13" t="s">
        <v>66</v>
      </c>
      <c r="L171" s="35">
        <v>-6161296.0</v>
      </c>
      <c r="M171" s="57">
        <v>1.15</v>
      </c>
      <c r="P171" s="17" t="str">
        <f t="shared" si="2"/>
        <v/>
      </c>
      <c r="R171" s="5" t="str">
        <f t="shared" si="11"/>
        <v/>
      </c>
    </row>
    <row r="172" ht="15.75" customHeight="1">
      <c r="A172" s="10" t="str">
        <f t="shared" si="1"/>
        <v>T30E6</v>
      </c>
      <c r="B172" s="11">
        <v>45945.0</v>
      </c>
      <c r="C172" s="12" t="s">
        <v>14</v>
      </c>
      <c r="D172" s="12" t="s">
        <v>40</v>
      </c>
      <c r="E172" s="3" t="s">
        <v>16</v>
      </c>
      <c r="F172" s="13" t="s">
        <v>25</v>
      </c>
      <c r="G172" s="13" t="s">
        <v>18</v>
      </c>
      <c r="H172" s="13" t="s">
        <v>32</v>
      </c>
      <c r="I172" s="3"/>
      <c r="J172" s="3"/>
      <c r="K172" s="13" t="s">
        <v>67</v>
      </c>
      <c r="L172" s="35">
        <v>-3.0E9</v>
      </c>
      <c r="M172" s="57">
        <v>1.235</v>
      </c>
      <c r="P172" s="17" t="str">
        <f t="shared" si="2"/>
        <v/>
      </c>
      <c r="R172" s="5" t="str">
        <f t="shared" si="11"/>
        <v/>
      </c>
    </row>
    <row r="173" ht="15.75" customHeight="1">
      <c r="A173" s="10" t="str">
        <f t="shared" si="1"/>
        <v>D31O5</v>
      </c>
      <c r="B173" s="11">
        <v>45950.0</v>
      </c>
      <c r="C173" s="12" t="s">
        <v>14</v>
      </c>
      <c r="D173" s="12" t="s">
        <v>40</v>
      </c>
      <c r="E173" s="3" t="s">
        <v>16</v>
      </c>
      <c r="F173" s="13" t="s">
        <v>25</v>
      </c>
      <c r="G173" s="13" t="s">
        <v>18</v>
      </c>
      <c r="H173" s="13" t="s">
        <v>75</v>
      </c>
      <c r="I173" s="3"/>
      <c r="J173" s="3"/>
      <c r="K173" s="13" t="s">
        <v>76</v>
      </c>
      <c r="L173" s="14">
        <v>-3600367.0</v>
      </c>
      <c r="M173" s="57">
        <v>1371.448052</v>
      </c>
      <c r="P173" s="17" t="str">
        <f t="shared" si="2"/>
        <v/>
      </c>
      <c r="R173" s="5" t="str">
        <f t="shared" si="11"/>
        <v/>
      </c>
    </row>
    <row r="174" ht="15.75" customHeight="1">
      <c r="A174" s="10" t="str">
        <f t="shared" si="1"/>
        <v>S10N5</v>
      </c>
      <c r="B174" s="11">
        <v>45950.0</v>
      </c>
      <c r="C174" s="12" t="s">
        <v>14</v>
      </c>
      <c r="D174" s="12" t="s">
        <v>15</v>
      </c>
      <c r="E174" s="3" t="s">
        <v>16</v>
      </c>
      <c r="F174" s="13" t="s">
        <v>25</v>
      </c>
      <c r="G174" s="13" t="s">
        <v>18</v>
      </c>
      <c r="H174" s="13" t="s">
        <v>32</v>
      </c>
      <c r="I174" s="3"/>
      <c r="J174" s="3"/>
      <c r="K174" s="13" t="s">
        <v>77</v>
      </c>
      <c r="L174" s="35">
        <v>2.5E9</v>
      </c>
      <c r="M174" s="57">
        <v>1.1704</v>
      </c>
      <c r="P174" s="17" t="str">
        <f t="shared" si="2"/>
        <v/>
      </c>
      <c r="R174" s="5" t="str">
        <f t="shared" si="11"/>
        <v/>
      </c>
    </row>
    <row r="175" ht="15.75" customHeight="1">
      <c r="A175" s="10" t="str">
        <f t="shared" si="1"/>
        <v>S31O5</v>
      </c>
      <c r="B175" s="11">
        <v>45950.0</v>
      </c>
      <c r="C175" s="12" t="s">
        <v>14</v>
      </c>
      <c r="D175" s="12" t="s">
        <v>15</v>
      </c>
      <c r="E175" s="3" t="s">
        <v>16</v>
      </c>
      <c r="F175" s="13" t="s">
        <v>25</v>
      </c>
      <c r="G175" s="13" t="s">
        <v>18</v>
      </c>
      <c r="H175" s="13" t="s">
        <v>32</v>
      </c>
      <c r="I175" s="3"/>
      <c r="J175" s="3"/>
      <c r="K175" s="13" t="s">
        <v>71</v>
      </c>
      <c r="L175" s="35">
        <v>1.145038167E9</v>
      </c>
      <c r="M175" s="57">
        <v>1.310132</v>
      </c>
      <c r="P175" s="17" t="str">
        <f t="shared" si="2"/>
        <v/>
      </c>
      <c r="R175" s="5" t="str">
        <f t="shared" si="11"/>
        <v/>
      </c>
    </row>
    <row r="176" ht="15.75" customHeight="1">
      <c r="A176" s="10" t="str">
        <f t="shared" si="1"/>
        <v>S10N5</v>
      </c>
      <c r="B176" s="11">
        <v>45952.0</v>
      </c>
      <c r="C176" s="12" t="s">
        <v>14</v>
      </c>
      <c r="D176" s="12" t="s">
        <v>15</v>
      </c>
      <c r="E176" s="3" t="s">
        <v>16</v>
      </c>
      <c r="F176" s="13" t="s">
        <v>25</v>
      </c>
      <c r="G176" s="13" t="s">
        <v>18</v>
      </c>
      <c r="H176" s="13" t="s">
        <v>32</v>
      </c>
      <c r="I176" s="3"/>
      <c r="J176" s="3"/>
      <c r="K176" s="13" t="s">
        <v>77</v>
      </c>
      <c r="L176" s="35">
        <f>671140939+1006838108</f>
        <v>1677979047</v>
      </c>
      <c r="M176" s="57">
        <v>1.19185</v>
      </c>
      <c r="P176" s="17" t="str">
        <f t="shared" si="2"/>
        <v/>
      </c>
      <c r="R176" s="5" t="str">
        <f t="shared" si="11"/>
        <v/>
      </c>
    </row>
    <row r="177" ht="15.75" customHeight="1">
      <c r="A177" s="10" t="str">
        <f t="shared" si="1"/>
        <v>S31O5</v>
      </c>
      <c r="B177" s="11">
        <v>45958.0</v>
      </c>
      <c r="C177" s="12" t="s">
        <v>14</v>
      </c>
      <c r="D177" s="12" t="s">
        <v>40</v>
      </c>
      <c r="E177" s="3" t="s">
        <v>16</v>
      </c>
      <c r="F177" s="13" t="s">
        <v>25</v>
      </c>
      <c r="G177" s="13" t="s">
        <v>18</v>
      </c>
      <c r="H177" s="13" t="s">
        <v>32</v>
      </c>
      <c r="I177" s="3"/>
      <c r="J177" s="3"/>
      <c r="K177" s="13" t="s">
        <v>71</v>
      </c>
      <c r="L177" s="35">
        <v>-1.145038167E9</v>
      </c>
      <c r="M177" s="57">
        <v>1.321816</v>
      </c>
      <c r="P177" s="17" t="str">
        <f t="shared" si="2"/>
        <v/>
      </c>
      <c r="R177" s="5" t="str">
        <f t="shared" si="11"/>
        <v/>
      </c>
    </row>
    <row r="178" ht="15.75" customHeight="1">
      <c r="A178" s="10" t="str">
        <f t="shared" si="1"/>
        <v>S10N5</v>
      </c>
      <c r="B178" s="11">
        <v>45958.0</v>
      </c>
      <c r="C178" s="12" t="s">
        <v>14</v>
      </c>
      <c r="D178" s="12" t="s">
        <v>40</v>
      </c>
      <c r="E178" s="3" t="s">
        <v>16</v>
      </c>
      <c r="F178" s="13" t="s">
        <v>25</v>
      </c>
      <c r="G178" s="13" t="s">
        <v>18</v>
      </c>
      <c r="H178" s="13" t="s">
        <v>32</v>
      </c>
      <c r="I178" s="3"/>
      <c r="J178" s="3"/>
      <c r="K178" s="13" t="s">
        <v>77</v>
      </c>
      <c r="L178" s="35">
        <v>-3.731765973E9</v>
      </c>
      <c r="M178" s="57">
        <v>1.205949</v>
      </c>
      <c r="P178" s="17" t="str">
        <f t="shared" si="2"/>
        <v/>
      </c>
      <c r="R178" s="5" t="str">
        <f t="shared" si="11"/>
        <v/>
      </c>
    </row>
    <row r="179" ht="15.75" customHeight="1">
      <c r="A179" s="10" t="str">
        <f t="shared" si="1"/>
        <v>D31O5</v>
      </c>
      <c r="B179" s="11">
        <v>45958.0</v>
      </c>
      <c r="C179" s="12" t="s">
        <v>14</v>
      </c>
      <c r="D179" s="12" t="s">
        <v>15</v>
      </c>
      <c r="E179" s="3" t="s">
        <v>16</v>
      </c>
      <c r="F179" s="13" t="s">
        <v>25</v>
      </c>
      <c r="G179" s="13" t="s">
        <v>18</v>
      </c>
      <c r="H179" s="13" t="s">
        <v>75</v>
      </c>
      <c r="I179" s="3"/>
      <c r="J179" s="3"/>
      <c r="K179" s="13" t="s">
        <v>76</v>
      </c>
      <c r="L179" s="14">
        <v>6556482.0</v>
      </c>
      <c r="M179" s="57">
        <v>1453.02</v>
      </c>
      <c r="P179" s="17" t="str">
        <f t="shared" si="2"/>
        <v/>
      </c>
      <c r="R179" s="5" t="str">
        <f t="shared" si="11"/>
        <v/>
      </c>
    </row>
    <row r="180" ht="15.75" customHeight="1">
      <c r="A180" s="10" t="str">
        <f t="shared" si="1"/>
        <v>D31O5</v>
      </c>
      <c r="B180" s="11">
        <v>45959.0</v>
      </c>
      <c r="C180" s="12" t="s">
        <v>14</v>
      </c>
      <c r="D180" s="12" t="s">
        <v>40</v>
      </c>
      <c r="E180" s="3" t="s">
        <v>16</v>
      </c>
      <c r="F180" s="13" t="s">
        <v>25</v>
      </c>
      <c r="G180" s="13" t="s">
        <v>18</v>
      </c>
      <c r="H180" s="13" t="s">
        <v>75</v>
      </c>
      <c r="I180" s="3"/>
      <c r="J180" s="3"/>
      <c r="K180" s="13" t="s">
        <v>76</v>
      </c>
      <c r="L180" s="14">
        <v>-6556482.0</v>
      </c>
      <c r="M180" s="57">
        <v>1468.01</v>
      </c>
      <c r="P180" s="17" t="str">
        <f t="shared" si="2"/>
        <v/>
      </c>
      <c r="R180" s="5" t="str">
        <f t="shared" si="11"/>
        <v/>
      </c>
    </row>
    <row r="181" ht="15.75" customHeight="1">
      <c r="A181" s="10" t="str">
        <f t="shared" si="1"/>
        <v>TZXD6</v>
      </c>
      <c r="B181" s="11">
        <v>45959.0</v>
      </c>
      <c r="C181" s="12" t="s">
        <v>14</v>
      </c>
      <c r="D181" s="12" t="s">
        <v>15</v>
      </c>
      <c r="E181" s="3" t="s">
        <v>16</v>
      </c>
      <c r="F181" s="13" t="s">
        <v>25</v>
      </c>
      <c r="G181" s="13" t="s">
        <v>18</v>
      </c>
      <c r="H181" s="3" t="s">
        <v>26</v>
      </c>
      <c r="I181" s="3"/>
      <c r="J181" s="3"/>
      <c r="K181" s="13" t="s">
        <v>63</v>
      </c>
      <c r="L181" s="14">
        <v>2.287364367E9</v>
      </c>
      <c r="M181" s="57">
        <v>2.10395</v>
      </c>
      <c r="P181" s="17" t="str">
        <f t="shared" si="2"/>
        <v/>
      </c>
      <c r="R181" s="5" t="str">
        <f t="shared" si="11"/>
        <v/>
      </c>
    </row>
    <row r="182" ht="15.75" customHeight="1">
      <c r="A182" s="10" t="str">
        <f t="shared" si="1"/>
        <v>TZX26</v>
      </c>
      <c r="B182" s="11">
        <v>45959.0</v>
      </c>
      <c r="C182" s="12" t="s">
        <v>14</v>
      </c>
      <c r="D182" s="12" t="s">
        <v>15</v>
      </c>
      <c r="E182" s="3" t="s">
        <v>16</v>
      </c>
      <c r="F182" s="13" t="s">
        <v>25</v>
      </c>
      <c r="G182" s="13" t="s">
        <v>18</v>
      </c>
      <c r="H182" s="3" t="s">
        <v>26</v>
      </c>
      <c r="I182" s="3"/>
      <c r="J182" s="3"/>
      <c r="K182" s="13" t="s">
        <v>78</v>
      </c>
      <c r="L182" s="14">
        <v>4.45392087E8</v>
      </c>
      <c r="M182" s="57">
        <v>2.962</v>
      </c>
      <c r="P182" s="17" t="str">
        <f t="shared" si="2"/>
        <v/>
      </c>
      <c r="R182" s="5" t="str">
        <f t="shared" si="11"/>
        <v/>
      </c>
    </row>
    <row r="183" ht="15.75" customHeight="1">
      <c r="A183" s="10" t="str">
        <f t="shared" si="1"/>
        <v>T30J6</v>
      </c>
      <c r="B183" s="11">
        <v>45959.0</v>
      </c>
      <c r="C183" s="12" t="s">
        <v>14</v>
      </c>
      <c r="D183" s="12" t="s">
        <v>15</v>
      </c>
      <c r="E183" s="3" t="s">
        <v>16</v>
      </c>
      <c r="F183" s="13" t="s">
        <v>25</v>
      </c>
      <c r="G183" s="13" t="s">
        <v>18</v>
      </c>
      <c r="H183" s="13" t="s">
        <v>32</v>
      </c>
      <c r="I183" s="3"/>
      <c r="J183" s="3"/>
      <c r="K183" s="13" t="s">
        <v>45</v>
      </c>
      <c r="L183" s="14">
        <v>2.950119688E9</v>
      </c>
      <c r="M183" s="57">
        <v>1.184104</v>
      </c>
      <c r="P183" s="17" t="str">
        <f t="shared" si="2"/>
        <v/>
      </c>
      <c r="R183" s="5" t="str">
        <f t="shared" si="11"/>
        <v/>
      </c>
    </row>
    <row r="184" ht="15.75" customHeight="1">
      <c r="A184" s="10" t="str">
        <f t="shared" si="1"/>
        <v>S10N5</v>
      </c>
      <c r="B184" s="11">
        <v>45960.0</v>
      </c>
      <c r="C184" s="12" t="s">
        <v>14</v>
      </c>
      <c r="D184" s="12" t="s">
        <v>40</v>
      </c>
      <c r="E184" s="3" t="s">
        <v>16</v>
      </c>
      <c r="F184" s="13" t="s">
        <v>25</v>
      </c>
      <c r="G184" s="13" t="s">
        <v>18</v>
      </c>
      <c r="H184" s="13" t="s">
        <v>32</v>
      </c>
      <c r="I184" s="3"/>
      <c r="J184" s="3"/>
      <c r="K184" s="13" t="s">
        <v>77</v>
      </c>
      <c r="L184" s="35">
        <v>-4.46213074E8</v>
      </c>
      <c r="M184" s="57">
        <v>1.212438</v>
      </c>
      <c r="P184" s="17" t="str">
        <f t="shared" si="2"/>
        <v/>
      </c>
      <c r="R184" s="5" t="str">
        <f t="shared" si="11"/>
        <v/>
      </c>
    </row>
    <row r="185" ht="15.75" customHeight="1">
      <c r="A185" s="10" t="str">
        <f t="shared" si="1"/>
        <v>S28N5</v>
      </c>
      <c r="B185" s="11">
        <v>45960.0</v>
      </c>
      <c r="C185" s="12" t="s">
        <v>14</v>
      </c>
      <c r="D185" s="12" t="s">
        <v>40</v>
      </c>
      <c r="E185" s="3" t="s">
        <v>16</v>
      </c>
      <c r="F185" s="13" t="s">
        <v>25</v>
      </c>
      <c r="G185" s="13" t="s">
        <v>18</v>
      </c>
      <c r="H185" s="13" t="s">
        <v>32</v>
      </c>
      <c r="I185" s="3"/>
      <c r="J185" s="3"/>
      <c r="K185" s="13" t="s">
        <v>66</v>
      </c>
      <c r="L185" s="35">
        <v>-2.201464043E9</v>
      </c>
      <c r="M185" s="57">
        <v>1.205905</v>
      </c>
      <c r="P185" s="17" t="str">
        <f t="shared" si="2"/>
        <v/>
      </c>
      <c r="R185" s="5" t="str">
        <f t="shared" si="11"/>
        <v/>
      </c>
    </row>
    <row r="186" ht="15.75" customHeight="1">
      <c r="A186" s="10" t="str">
        <f t="shared" si="1"/>
        <v>TTM26</v>
      </c>
      <c r="B186" s="11">
        <v>45960.0</v>
      </c>
      <c r="C186" s="12" t="s">
        <v>14</v>
      </c>
      <c r="D186" s="12" t="s">
        <v>15</v>
      </c>
      <c r="E186" s="3" t="s">
        <v>16</v>
      </c>
      <c r="F186" s="13" t="s">
        <v>25</v>
      </c>
      <c r="G186" s="13" t="s">
        <v>18</v>
      </c>
      <c r="H186" s="13" t="s">
        <v>32</v>
      </c>
      <c r="I186" s="3"/>
      <c r="J186" s="3"/>
      <c r="K186" s="13" t="s">
        <v>48</v>
      </c>
      <c r="L186" s="35">
        <v>2.408729E9</v>
      </c>
      <c r="M186" s="57">
        <v>1.33</v>
      </c>
      <c r="P186" s="17" t="str">
        <f t="shared" si="2"/>
        <v/>
      </c>
      <c r="R186" s="5" t="str">
        <f t="shared" si="11"/>
        <v/>
      </c>
    </row>
    <row r="187" ht="15.75" customHeight="1">
      <c r="A187" s="10" t="str">
        <f t="shared" si="1"/>
        <v>T15D5</v>
      </c>
      <c r="B187" s="11">
        <v>45961.0</v>
      </c>
      <c r="C187" s="12" t="s">
        <v>14</v>
      </c>
      <c r="D187" s="12" t="s">
        <v>40</v>
      </c>
      <c r="E187" s="3" t="s">
        <v>16</v>
      </c>
      <c r="F187" s="13" t="s">
        <v>25</v>
      </c>
      <c r="G187" s="13" t="s">
        <v>18</v>
      </c>
      <c r="H187" s="13" t="s">
        <v>32</v>
      </c>
      <c r="I187" s="3"/>
      <c r="J187" s="3"/>
      <c r="K187" s="13" t="s">
        <v>68</v>
      </c>
      <c r="L187" s="35">
        <v>-1.72529465E9</v>
      </c>
      <c r="M187" s="57">
        <v>1.654588</v>
      </c>
      <c r="P187" s="17" t="str">
        <f t="shared" si="2"/>
        <v/>
      </c>
      <c r="R187" s="5" t="str">
        <f t="shared" si="11"/>
        <v/>
      </c>
      <c r="S187" s="16"/>
    </row>
    <row r="188" ht="15.75" customHeight="1">
      <c r="A188" s="10" t="str">
        <f t="shared" si="1"/>
        <v>S28N5</v>
      </c>
      <c r="B188" s="11">
        <v>45978.0</v>
      </c>
      <c r="C188" s="12" t="s">
        <v>14</v>
      </c>
      <c r="D188" s="12" t="s">
        <v>40</v>
      </c>
      <c r="E188" s="3" t="s">
        <v>16</v>
      </c>
      <c r="F188" s="13" t="s">
        <v>25</v>
      </c>
      <c r="G188" s="13" t="s">
        <v>18</v>
      </c>
      <c r="H188" s="13" t="s">
        <v>32</v>
      </c>
      <c r="I188" s="3"/>
      <c r="J188" s="3"/>
      <c r="K188" s="13" t="s">
        <v>66</v>
      </c>
      <c r="L188" s="35">
        <v>-3.0157856E8</v>
      </c>
      <c r="M188" s="57">
        <v>1.226878</v>
      </c>
      <c r="P188" s="17" t="str">
        <f t="shared" si="2"/>
        <v/>
      </c>
      <c r="R188" s="5" t="str">
        <f t="shared" si="11"/>
        <v/>
      </c>
      <c r="S188" s="20"/>
    </row>
    <row r="189" ht="15.75" customHeight="1">
      <c r="A189" s="10" t="str">
        <f t="shared" si="1"/>
        <v>S28N5</v>
      </c>
      <c r="B189" s="25">
        <v>45989.0</v>
      </c>
      <c r="C189" s="26" t="s">
        <v>52</v>
      </c>
      <c r="D189" s="26" t="s">
        <v>53</v>
      </c>
      <c r="E189" s="27" t="s">
        <v>16</v>
      </c>
      <c r="F189" s="28" t="s">
        <v>25</v>
      </c>
      <c r="G189" s="28" t="s">
        <v>18</v>
      </c>
      <c r="H189" s="28" t="s">
        <v>32</v>
      </c>
      <c r="I189" s="27"/>
      <c r="J189" s="27"/>
      <c r="K189" s="28" t="s">
        <v>66</v>
      </c>
      <c r="L189" s="34">
        <v>-9.4178144E8</v>
      </c>
      <c r="M189" s="58">
        <v>1.23561</v>
      </c>
      <c r="N189" s="31">
        <v>1.0</v>
      </c>
      <c r="O189" s="46">
        <f t="shared" ref="O189:O191" si="12">-L189*M189*N189</f>
        <v>1163674565</v>
      </c>
      <c r="P189" s="32">
        <f t="shared" si="2"/>
        <v>1163674565</v>
      </c>
      <c r="Q189" s="34"/>
      <c r="R189" s="5" t="str">
        <f t="shared" si="11"/>
        <v/>
      </c>
      <c r="S189" s="20"/>
    </row>
    <row r="190" ht="15.75" customHeight="1">
      <c r="A190" s="10" t="str">
        <f t="shared" si="1"/>
        <v>T15D5</v>
      </c>
      <c r="B190" s="25">
        <v>46006.0</v>
      </c>
      <c r="C190" s="26" t="s">
        <v>52</v>
      </c>
      <c r="D190" s="26" t="s">
        <v>53</v>
      </c>
      <c r="E190" s="27" t="s">
        <v>16</v>
      </c>
      <c r="F190" s="28" t="s">
        <v>25</v>
      </c>
      <c r="G190" s="28" t="s">
        <v>18</v>
      </c>
      <c r="H190" s="28" t="s">
        <v>32</v>
      </c>
      <c r="I190" s="27"/>
      <c r="J190" s="27"/>
      <c r="K190" s="28" t="s">
        <v>68</v>
      </c>
      <c r="L190" s="34">
        <v>-8.483479653E9</v>
      </c>
      <c r="M190" s="58">
        <v>1.708382</v>
      </c>
      <c r="N190" s="31">
        <v>1.0</v>
      </c>
      <c r="O190" s="46">
        <f t="shared" si="12"/>
        <v>14493023937</v>
      </c>
      <c r="P190" s="32">
        <f t="shared" si="2"/>
        <v>14493023937</v>
      </c>
      <c r="Q190" s="34"/>
      <c r="R190" s="5"/>
      <c r="S190" s="20"/>
    </row>
    <row r="191" ht="15.75" customHeight="1">
      <c r="A191" s="10" t="str">
        <f t="shared" si="1"/>
        <v>TZXD5</v>
      </c>
      <c r="B191" s="25">
        <v>46006.0</v>
      </c>
      <c r="C191" s="26" t="s">
        <v>52</v>
      </c>
      <c r="D191" s="26" t="s">
        <v>53</v>
      </c>
      <c r="E191" s="27" t="s">
        <v>16</v>
      </c>
      <c r="F191" s="28" t="s">
        <v>25</v>
      </c>
      <c r="G191" s="28" t="s">
        <v>18</v>
      </c>
      <c r="H191" s="27" t="s">
        <v>26</v>
      </c>
      <c r="I191" s="27"/>
      <c r="J191" s="27"/>
      <c r="K191" s="28" t="s">
        <v>30</v>
      </c>
      <c r="L191" s="34">
        <v>-3.545759204E9</v>
      </c>
      <c r="M191" s="58">
        <v>2.4338</v>
      </c>
      <c r="N191" s="31">
        <v>1.0</v>
      </c>
      <c r="O191" s="46">
        <f t="shared" si="12"/>
        <v>8629668751</v>
      </c>
      <c r="P191" s="32">
        <f t="shared" si="2"/>
        <v>8629668751</v>
      </c>
      <c r="Q191" s="34"/>
      <c r="R191" s="5" t="str">
        <f t="shared" ref="R191:R197" si="13">IF(AND(C191="Venta",L191&gt;0),"Ventas Nominal en Negativo",IF(AND(C191="Outflow",P191&gt;0),"Outflows Value en Negativo",""))</f>
        <v/>
      </c>
      <c r="S191" s="59"/>
    </row>
    <row r="192" ht="15.75" customHeight="1">
      <c r="A192" s="10" t="str">
        <f t="shared" si="1"/>
        <v>X29Y6</v>
      </c>
      <c r="B192" s="11">
        <v>46006.0</v>
      </c>
      <c r="C192" s="12" t="s">
        <v>14</v>
      </c>
      <c r="D192" s="12" t="s">
        <v>15</v>
      </c>
      <c r="E192" s="3" t="s">
        <v>16</v>
      </c>
      <c r="F192" s="13" t="s">
        <v>25</v>
      </c>
      <c r="G192" s="13" t="s">
        <v>18</v>
      </c>
      <c r="H192" s="3" t="s">
        <v>26</v>
      </c>
      <c r="I192" s="3"/>
      <c r="J192" s="3"/>
      <c r="K192" s="13" t="s">
        <v>79</v>
      </c>
      <c r="L192" s="14">
        <v>4.69273743E9</v>
      </c>
      <c r="M192" s="57">
        <v>0.984</v>
      </c>
      <c r="P192" s="17" t="str">
        <f t="shared" si="2"/>
        <v/>
      </c>
      <c r="R192" s="5" t="str">
        <f t="shared" si="13"/>
        <v/>
      </c>
    </row>
    <row r="193" ht="15.75" customHeight="1">
      <c r="A193" s="10" t="str">
        <f t="shared" si="1"/>
        <v>S29Y6</v>
      </c>
      <c r="B193" s="11">
        <v>46006.0</v>
      </c>
      <c r="C193" s="12" t="s">
        <v>14</v>
      </c>
      <c r="D193" s="12" t="s">
        <v>15</v>
      </c>
      <c r="E193" s="3" t="s">
        <v>16</v>
      </c>
      <c r="F193" s="13" t="s">
        <v>25</v>
      </c>
      <c r="G193" s="13" t="s">
        <v>18</v>
      </c>
      <c r="H193" s="13" t="s">
        <v>32</v>
      </c>
      <c r="I193" s="3"/>
      <c r="J193" s="3"/>
      <c r="K193" s="13" t="s">
        <v>80</v>
      </c>
      <c r="L193" s="14">
        <v>3.972484953E9</v>
      </c>
      <c r="M193" s="57">
        <v>1.16532</v>
      </c>
      <c r="P193" s="17" t="str">
        <f t="shared" si="2"/>
        <v/>
      </c>
      <c r="R193" s="5" t="str">
        <f t="shared" si="13"/>
        <v/>
      </c>
    </row>
    <row r="194" ht="15.75" customHeight="1">
      <c r="A194" s="10" t="str">
        <f t="shared" si="1"/>
        <v>S17S6</v>
      </c>
      <c r="B194" s="11">
        <v>46006.0</v>
      </c>
      <c r="C194" s="12" t="s">
        <v>14</v>
      </c>
      <c r="D194" s="12" t="s">
        <v>15</v>
      </c>
      <c r="E194" s="3" t="s">
        <v>16</v>
      </c>
      <c r="F194" s="13" t="s">
        <v>25</v>
      </c>
      <c r="G194" s="13" t="s">
        <v>18</v>
      </c>
      <c r="H194" s="13" t="s">
        <v>32</v>
      </c>
      <c r="I194" s="3"/>
      <c r="J194" s="3"/>
      <c r="K194" s="13" t="s">
        <v>81</v>
      </c>
      <c r="L194" s="14">
        <v>1.386E10</v>
      </c>
      <c r="M194" s="57">
        <v>1.0</v>
      </c>
      <c r="P194" s="17" t="str">
        <f t="shared" si="2"/>
        <v/>
      </c>
      <c r="R194" s="5" t="str">
        <f t="shared" si="13"/>
        <v/>
      </c>
    </row>
    <row r="195" ht="15.75" customHeight="1">
      <c r="A195" s="10" t="str">
        <f t="shared" si="1"/>
        <v>T30E6</v>
      </c>
      <c r="B195" s="11">
        <v>46027.0</v>
      </c>
      <c r="C195" s="12" t="s">
        <v>14</v>
      </c>
      <c r="D195" s="12" t="s">
        <v>40</v>
      </c>
      <c r="E195" s="3" t="s">
        <v>16</v>
      </c>
      <c r="F195" s="13" t="s">
        <v>25</v>
      </c>
      <c r="G195" s="13" t="s">
        <v>18</v>
      </c>
      <c r="H195" s="13" t="s">
        <v>32</v>
      </c>
      <c r="I195" s="3"/>
      <c r="J195" s="3"/>
      <c r="K195" s="13" t="s">
        <v>67</v>
      </c>
      <c r="L195" s="14">
        <v>-5.004758365E9</v>
      </c>
      <c r="M195" s="57">
        <v>1.39584344</v>
      </c>
      <c r="P195" s="17" t="str">
        <f t="shared" si="2"/>
        <v/>
      </c>
      <c r="R195" s="5" t="str">
        <f t="shared" si="13"/>
        <v/>
      </c>
    </row>
    <row r="196" ht="15.75" customHeight="1">
      <c r="A196" s="10" t="str">
        <f t="shared" si="1"/>
        <v>T30S7</v>
      </c>
      <c r="B196" s="11">
        <v>46027.0</v>
      </c>
      <c r="C196" s="12" t="s">
        <v>14</v>
      </c>
      <c r="D196" s="12" t="s">
        <v>15</v>
      </c>
      <c r="E196" s="3" t="s">
        <v>16</v>
      </c>
      <c r="F196" s="13" t="s">
        <v>25</v>
      </c>
      <c r="G196" s="13" t="s">
        <v>18</v>
      </c>
      <c r="H196" s="13" t="s">
        <v>32</v>
      </c>
      <c r="I196" s="3"/>
      <c r="J196" s="3"/>
      <c r="K196" s="13" t="s">
        <v>82</v>
      </c>
      <c r="L196" s="14">
        <v>3.7298089E9</v>
      </c>
      <c r="M196" s="57">
        <v>1.06878122</v>
      </c>
      <c r="P196" s="17" t="str">
        <f t="shared" si="2"/>
        <v/>
      </c>
      <c r="R196" s="5" t="str">
        <f t="shared" si="13"/>
        <v/>
      </c>
    </row>
    <row r="197" ht="15.75" customHeight="1">
      <c r="A197" s="10" t="str">
        <f t="shared" si="1"/>
        <v>TZXD6</v>
      </c>
      <c r="B197" s="11">
        <v>46027.0</v>
      </c>
      <c r="C197" s="12" t="s">
        <v>14</v>
      </c>
      <c r="D197" s="12" t="s">
        <v>15</v>
      </c>
      <c r="E197" s="3" t="s">
        <v>16</v>
      </c>
      <c r="F197" s="13" t="s">
        <v>25</v>
      </c>
      <c r="G197" s="13" t="s">
        <v>18</v>
      </c>
      <c r="H197" s="3" t="s">
        <v>26</v>
      </c>
      <c r="I197" s="3"/>
      <c r="J197" s="3"/>
      <c r="K197" s="13" t="s">
        <v>63</v>
      </c>
      <c r="L197" s="14">
        <v>1.290101379E9</v>
      </c>
      <c r="M197" s="57">
        <v>2.32539865</v>
      </c>
      <c r="P197" s="17" t="str">
        <f t="shared" si="2"/>
        <v/>
      </c>
      <c r="R197" s="5" t="str">
        <f t="shared" si="13"/>
        <v/>
      </c>
    </row>
    <row r="198" ht="15.75" customHeight="1">
      <c r="A198" s="10" t="str">
        <f t="shared" si="1"/>
        <v>TZXM6</v>
      </c>
      <c r="B198" s="11">
        <v>46030.0</v>
      </c>
      <c r="C198" s="12" t="s">
        <v>14</v>
      </c>
      <c r="D198" s="12" t="s">
        <v>40</v>
      </c>
      <c r="E198" s="3" t="s">
        <v>16</v>
      </c>
      <c r="F198" s="13" t="s">
        <v>25</v>
      </c>
      <c r="G198" s="13" t="s">
        <v>18</v>
      </c>
      <c r="H198" s="3" t="s">
        <v>26</v>
      </c>
      <c r="I198" s="3"/>
      <c r="J198" s="3"/>
      <c r="K198" s="13" t="s">
        <v>31</v>
      </c>
      <c r="L198" s="14">
        <v>-3.528152849E9</v>
      </c>
      <c r="M198" s="57">
        <v>1.978</v>
      </c>
      <c r="P198" s="17" t="str">
        <f t="shared" si="2"/>
        <v/>
      </c>
      <c r="R198" s="5"/>
    </row>
    <row r="199" ht="15.75" customHeight="1">
      <c r="A199" s="10" t="str">
        <f t="shared" si="1"/>
        <v>X30N6</v>
      </c>
      <c r="B199" s="11">
        <v>46038.0</v>
      </c>
      <c r="C199" s="12" t="s">
        <v>14</v>
      </c>
      <c r="D199" s="12" t="s">
        <v>15</v>
      </c>
      <c r="E199" s="3" t="s">
        <v>16</v>
      </c>
      <c r="F199" s="13" t="s">
        <v>25</v>
      </c>
      <c r="G199" s="13" t="s">
        <v>18</v>
      </c>
      <c r="H199" s="3" t="s">
        <v>26</v>
      </c>
      <c r="I199" s="3"/>
      <c r="J199" s="3"/>
      <c r="K199" s="13" t="s">
        <v>83</v>
      </c>
      <c r="L199" s="14">
        <f>1546391753+1026167265</f>
        <v>2572559018</v>
      </c>
      <c r="M199" s="57">
        <v>0.9682</v>
      </c>
      <c r="P199" s="17" t="str">
        <f t="shared" si="2"/>
        <v/>
      </c>
      <c r="R199" s="5"/>
    </row>
    <row r="200" ht="15.75" customHeight="1">
      <c r="A200" s="10" t="str">
        <f t="shared" si="1"/>
        <v>T13F6</v>
      </c>
      <c r="B200" s="11">
        <v>46041.0</v>
      </c>
      <c r="C200" s="12" t="s">
        <v>14</v>
      </c>
      <c r="D200" s="12" t="s">
        <v>40</v>
      </c>
      <c r="E200" s="3" t="s">
        <v>16</v>
      </c>
      <c r="F200" s="13" t="s">
        <v>25</v>
      </c>
      <c r="G200" s="13" t="s">
        <v>18</v>
      </c>
      <c r="H200" s="13" t="s">
        <v>32</v>
      </c>
      <c r="I200" s="3"/>
      <c r="J200" s="3"/>
      <c r="K200" s="13" t="s">
        <v>46</v>
      </c>
      <c r="L200" s="14">
        <v>-1.3E9</v>
      </c>
      <c r="M200" s="57">
        <v>1.42</v>
      </c>
      <c r="P200" s="17" t="str">
        <f t="shared" si="2"/>
        <v/>
      </c>
      <c r="R200" s="5"/>
    </row>
    <row r="201" ht="15.75" customHeight="1">
      <c r="A201" s="10" t="str">
        <f t="shared" si="1"/>
        <v>TTD26</v>
      </c>
      <c r="B201" s="11">
        <v>46041.0</v>
      </c>
      <c r="C201" s="12" t="s">
        <v>14</v>
      </c>
      <c r="D201" s="12" t="s">
        <v>15</v>
      </c>
      <c r="E201" s="3" t="s">
        <v>16</v>
      </c>
      <c r="F201" s="13" t="s">
        <v>25</v>
      </c>
      <c r="G201" s="13" t="s">
        <v>18</v>
      </c>
      <c r="H201" s="13" t="s">
        <v>32</v>
      </c>
      <c r="I201" s="3"/>
      <c r="J201" s="3"/>
      <c r="K201" s="13" t="s">
        <v>51</v>
      </c>
      <c r="L201" s="14">
        <v>1.106921739E9</v>
      </c>
      <c r="M201" s="57">
        <v>1.36498</v>
      </c>
      <c r="P201" s="17" t="str">
        <f t="shared" si="2"/>
        <v/>
      </c>
      <c r="R201" s="60"/>
    </row>
    <row r="202" ht="15.75" customHeight="1">
      <c r="A202" s="10" t="str">
        <f t="shared" si="1"/>
        <v>TTD26</v>
      </c>
      <c r="B202" s="11">
        <v>46042.0</v>
      </c>
      <c r="C202" s="12" t="s">
        <v>14</v>
      </c>
      <c r="D202" s="12" t="s">
        <v>15</v>
      </c>
      <c r="E202" s="3" t="s">
        <v>16</v>
      </c>
      <c r="F202" s="13" t="s">
        <v>25</v>
      </c>
      <c r="G202" s="13" t="s">
        <v>18</v>
      </c>
      <c r="H202" s="13" t="s">
        <v>32</v>
      </c>
      <c r="I202" s="3"/>
      <c r="J202" s="3"/>
      <c r="K202" s="13" t="s">
        <v>51</v>
      </c>
      <c r="L202" s="14">
        <v>3.663E8</v>
      </c>
      <c r="M202" s="57">
        <v>1.365</v>
      </c>
      <c r="P202" s="17" t="str">
        <f t="shared" si="2"/>
        <v/>
      </c>
      <c r="R202" s="5"/>
    </row>
    <row r="203" ht="15.75" customHeight="1">
      <c r="A203" s="10" t="str">
        <f t="shared" si="1"/>
        <v>TZXD6</v>
      </c>
      <c r="B203" s="11">
        <v>46043.0</v>
      </c>
      <c r="C203" s="12" t="s">
        <v>14</v>
      </c>
      <c r="D203" s="12" t="s">
        <v>15</v>
      </c>
      <c r="E203" s="3" t="s">
        <v>16</v>
      </c>
      <c r="F203" s="13" t="s">
        <v>25</v>
      </c>
      <c r="G203" s="13" t="s">
        <v>18</v>
      </c>
      <c r="H203" s="3" t="s">
        <v>26</v>
      </c>
      <c r="I203" s="3"/>
      <c r="J203" s="3"/>
      <c r="K203" s="13" t="s">
        <v>63</v>
      </c>
      <c r="L203" s="14">
        <v>2.05600179E8</v>
      </c>
      <c r="M203" s="57">
        <v>2.3215</v>
      </c>
      <c r="P203" s="17" t="str">
        <f t="shared" si="2"/>
        <v/>
      </c>
      <c r="R203" s="5" t="str">
        <f t="shared" ref="R203:R204" si="14">IF(AND(C203="Venta",L203&gt;0),"Ventas Nominal en Negativo",IF(AND(C203="Outflow",P203&gt;0),"Outflows Value en Negativo",""))</f>
        <v/>
      </c>
    </row>
    <row r="204" ht="15.75" customHeight="1">
      <c r="A204" s="10" t="str">
        <f t="shared" si="1"/>
        <v>S27F6</v>
      </c>
      <c r="B204" s="11">
        <v>46044.0</v>
      </c>
      <c r="C204" s="12" t="s">
        <v>14</v>
      </c>
      <c r="D204" s="12" t="s">
        <v>15</v>
      </c>
      <c r="E204" s="3" t="s">
        <v>16</v>
      </c>
      <c r="F204" s="13" t="s">
        <v>25</v>
      </c>
      <c r="G204" s="13" t="s">
        <v>18</v>
      </c>
      <c r="H204" s="13" t="s">
        <v>32</v>
      </c>
      <c r="I204" s="3"/>
      <c r="J204" s="3"/>
      <c r="K204" s="13" t="s">
        <v>84</v>
      </c>
      <c r="L204" s="14">
        <v>1.6E9</v>
      </c>
      <c r="M204" s="57">
        <v>1.215269</v>
      </c>
      <c r="P204" s="17" t="str">
        <f t="shared" si="2"/>
        <v/>
      </c>
      <c r="R204" s="5" t="str">
        <f t="shared" si="14"/>
        <v/>
      </c>
    </row>
    <row r="205" ht="15.75" customHeight="1">
      <c r="A205" s="10" t="str">
        <f t="shared" si="1"/>
        <v>TNCT</v>
      </c>
      <c r="B205" s="25">
        <v>46044.0</v>
      </c>
      <c r="C205" s="26" t="s">
        <v>52</v>
      </c>
      <c r="D205" s="26" t="s">
        <v>53</v>
      </c>
      <c r="E205" s="27" t="s">
        <v>16</v>
      </c>
      <c r="F205" s="28" t="s">
        <v>25</v>
      </c>
      <c r="G205" s="28" t="s">
        <v>18</v>
      </c>
      <c r="H205" s="27" t="s">
        <v>22</v>
      </c>
      <c r="I205" s="27"/>
      <c r="J205" s="27"/>
      <c r="K205" s="28" t="s">
        <v>47</v>
      </c>
      <c r="L205" s="34">
        <v>-2.09E9</v>
      </c>
      <c r="M205" s="58">
        <v>1.08</v>
      </c>
      <c r="N205" s="31">
        <v>1.0</v>
      </c>
      <c r="O205" s="46">
        <f>-L205*M205*N205</f>
        <v>2257200000</v>
      </c>
      <c r="P205" s="32">
        <f t="shared" si="2"/>
        <v>2257200000</v>
      </c>
      <c r="R205" s="5"/>
      <c r="S205" s="20"/>
    </row>
    <row r="206" ht="15.75" customHeight="1">
      <c r="A206" s="10" t="str">
        <f t="shared" si="1"/>
        <v>S27F6</v>
      </c>
      <c r="B206" s="11">
        <v>46066.0</v>
      </c>
      <c r="C206" s="12" t="s">
        <v>14</v>
      </c>
      <c r="D206" s="12" t="s">
        <v>40</v>
      </c>
      <c r="E206" s="3" t="s">
        <v>16</v>
      </c>
      <c r="F206" s="13" t="s">
        <v>25</v>
      </c>
      <c r="G206" s="13" t="s">
        <v>18</v>
      </c>
      <c r="H206" s="13" t="s">
        <v>32</v>
      </c>
      <c r="I206" s="3"/>
      <c r="J206" s="3"/>
      <c r="K206" s="13" t="s">
        <v>84</v>
      </c>
      <c r="L206" s="14">
        <v>-1.6E9</v>
      </c>
      <c r="M206" s="57">
        <v>1.2483</v>
      </c>
      <c r="P206" s="17" t="str">
        <f t="shared" si="2"/>
        <v/>
      </c>
      <c r="R206" s="5" t="str">
        <f t="shared" ref="R206:R306" si="15">IF(AND(C206="Venta",L206&gt;0),"Ventas Nominal en Negativo",IF(AND(C206="Outflow",P206&gt;0),"Outflows Value en Negativo",""))</f>
        <v/>
      </c>
    </row>
    <row r="207" ht="15.75" customHeight="1">
      <c r="A207" s="10" t="str">
        <f t="shared" si="1"/>
        <v>T30S7</v>
      </c>
      <c r="B207" s="11">
        <v>46066.0</v>
      </c>
      <c r="C207" s="12" t="s">
        <v>14</v>
      </c>
      <c r="D207" s="12" t="s">
        <v>15</v>
      </c>
      <c r="E207" s="3" t="s">
        <v>16</v>
      </c>
      <c r="F207" s="13" t="s">
        <v>25</v>
      </c>
      <c r="G207" s="13" t="s">
        <v>18</v>
      </c>
      <c r="H207" s="13" t="s">
        <v>32</v>
      </c>
      <c r="I207" s="3"/>
      <c r="J207" s="3"/>
      <c r="K207" s="13" t="s">
        <v>82</v>
      </c>
      <c r="L207" s="14">
        <v>1.82E9</v>
      </c>
      <c r="M207" s="57">
        <v>1.0975</v>
      </c>
      <c r="P207" s="17" t="str">
        <f t="shared" si="2"/>
        <v/>
      </c>
      <c r="R207" s="5" t="str">
        <f t="shared" si="15"/>
        <v/>
      </c>
    </row>
    <row r="208" ht="15.75" customHeight="1">
      <c r="A208" s="10" t="str">
        <f t="shared" si="1"/>
        <v>TMS</v>
      </c>
      <c r="B208" s="11">
        <v>46066.0</v>
      </c>
      <c r="C208" s="12" t="s">
        <v>14</v>
      </c>
      <c r="D208" s="12" t="s">
        <v>15</v>
      </c>
      <c r="E208" s="13" t="s">
        <v>34</v>
      </c>
      <c r="F208" s="13" t="s">
        <v>25</v>
      </c>
      <c r="G208" s="13" t="s">
        <v>41</v>
      </c>
      <c r="H208" s="13" t="s">
        <v>34</v>
      </c>
      <c r="I208" s="3"/>
      <c r="J208" s="3"/>
      <c r="K208" s="13" t="s">
        <v>59</v>
      </c>
      <c r="L208" s="14">
        <v>38900.0</v>
      </c>
      <c r="M208" s="61">
        <v>12846.753985</v>
      </c>
      <c r="P208" s="17" t="str">
        <f t="shared" si="2"/>
        <v/>
      </c>
      <c r="R208" s="5" t="str">
        <f t="shared" si="15"/>
        <v/>
      </c>
    </row>
    <row r="209" ht="15.75" customHeight="1">
      <c r="A209" s="10" t="str">
        <f t="shared" si="1"/>
        <v>TNC5</v>
      </c>
      <c r="B209" s="56">
        <v>46076.0</v>
      </c>
      <c r="C209" s="12" t="s">
        <v>52</v>
      </c>
      <c r="D209" s="12" t="s">
        <v>53</v>
      </c>
      <c r="E209" s="3" t="s">
        <v>85</v>
      </c>
      <c r="F209" s="13" t="s">
        <v>25</v>
      </c>
      <c r="G209" s="13" t="s">
        <v>41</v>
      </c>
      <c r="H209" s="3" t="s">
        <v>22</v>
      </c>
      <c r="I209" s="3"/>
      <c r="J209" s="3"/>
      <c r="K209" s="13" t="s">
        <v>56</v>
      </c>
      <c r="L209" s="14">
        <v>-1.0E9</v>
      </c>
      <c r="M209" s="57">
        <v>1.076</v>
      </c>
      <c r="N209" s="31">
        <v>1.0</v>
      </c>
      <c r="O209" s="46">
        <f>-L209*M209*N209</f>
        <v>1076000000</v>
      </c>
      <c r="P209" s="17">
        <f t="shared" si="2"/>
        <v>1076000000</v>
      </c>
      <c r="R209" s="5" t="str">
        <f t="shared" si="15"/>
        <v/>
      </c>
    </row>
    <row r="210" ht="15.75" customHeight="1">
      <c r="A210" s="10" t="str">
        <f t="shared" si="1"/>
        <v>PSMP</v>
      </c>
      <c r="B210" s="56">
        <v>46076.0</v>
      </c>
      <c r="C210" s="12" t="s">
        <v>14</v>
      </c>
      <c r="D210" s="12" t="s">
        <v>15</v>
      </c>
      <c r="E210" s="13" t="s">
        <v>34</v>
      </c>
      <c r="F210" s="13" t="s">
        <v>25</v>
      </c>
      <c r="G210" s="13" t="s">
        <v>21</v>
      </c>
      <c r="H210" s="13" t="s">
        <v>34</v>
      </c>
      <c r="I210" s="3"/>
      <c r="J210" s="3"/>
      <c r="K210" s="13" t="s">
        <v>86</v>
      </c>
      <c r="L210" s="14">
        <v>54230.0</v>
      </c>
      <c r="M210" s="57">
        <v>4609.97865</v>
      </c>
      <c r="O210" s="4"/>
      <c r="P210" s="17" t="str">
        <f t="shared" si="2"/>
        <v/>
      </c>
      <c r="R210" s="5" t="str">
        <f t="shared" si="15"/>
        <v/>
      </c>
    </row>
    <row r="211" ht="15.75" customHeight="1">
      <c r="A211" s="10" t="str">
        <f t="shared" si="1"/>
        <v>6IST</v>
      </c>
      <c r="B211" s="56">
        <v>46076.0</v>
      </c>
      <c r="C211" s="12" t="s">
        <v>14</v>
      </c>
      <c r="D211" s="12" t="s">
        <v>15</v>
      </c>
      <c r="E211" s="13" t="s">
        <v>34</v>
      </c>
      <c r="F211" s="13" t="s">
        <v>25</v>
      </c>
      <c r="G211" s="13" t="s">
        <v>21</v>
      </c>
      <c r="H211" s="13" t="s">
        <v>34</v>
      </c>
      <c r="I211" s="3"/>
      <c r="J211" s="3"/>
      <c r="K211" s="13" t="s">
        <v>35</v>
      </c>
      <c r="L211" s="14">
        <v>9067.0</v>
      </c>
      <c r="M211" s="57">
        <v>27571.333407</v>
      </c>
      <c r="O211" s="4"/>
      <c r="P211" s="17" t="str">
        <f t="shared" si="2"/>
        <v/>
      </c>
      <c r="R211" s="5" t="str">
        <f t="shared" si="15"/>
        <v/>
      </c>
    </row>
    <row r="212" ht="15.75" customHeight="1">
      <c r="A212" s="10" t="str">
        <f t="shared" si="1"/>
        <v>X31L6</v>
      </c>
      <c r="B212" s="56">
        <v>46079.0</v>
      </c>
      <c r="C212" s="12" t="s">
        <v>14</v>
      </c>
      <c r="D212" s="12" t="s">
        <v>15</v>
      </c>
      <c r="E212" s="3" t="s">
        <v>85</v>
      </c>
      <c r="F212" s="13" t="s">
        <v>25</v>
      </c>
      <c r="G212" s="13" t="s">
        <v>18</v>
      </c>
      <c r="H212" s="3" t="s">
        <v>26</v>
      </c>
      <c r="I212" s="3"/>
      <c r="J212" s="3"/>
      <c r="K212" s="13" t="s">
        <v>87</v>
      </c>
      <c r="L212" s="14">
        <v>5.0E8</v>
      </c>
      <c r="M212" s="57">
        <v>1.004</v>
      </c>
      <c r="O212" s="4"/>
      <c r="P212" s="17" t="str">
        <f t="shared" si="2"/>
        <v/>
      </c>
      <c r="R212" s="5" t="str">
        <f t="shared" si="15"/>
        <v/>
      </c>
    </row>
    <row r="213" ht="15.75" customHeight="1">
      <c r="A213" s="10" t="str">
        <f t="shared" si="1"/>
        <v>X31L6</v>
      </c>
      <c r="B213" s="56">
        <v>46084.0</v>
      </c>
      <c r="C213" s="12" t="s">
        <v>14</v>
      </c>
      <c r="D213" s="12" t="s">
        <v>15</v>
      </c>
      <c r="E213" s="3" t="s">
        <v>85</v>
      </c>
      <c r="F213" s="13" t="s">
        <v>25</v>
      </c>
      <c r="G213" s="13" t="s">
        <v>18</v>
      </c>
      <c r="H213" s="3" t="s">
        <v>26</v>
      </c>
      <c r="I213" s="3"/>
      <c r="J213" s="3"/>
      <c r="K213" s="13" t="s">
        <v>87</v>
      </c>
      <c r="L213" s="14">
        <v>5.0E8</v>
      </c>
      <c r="M213" s="57">
        <v>1.016</v>
      </c>
      <c r="O213" s="4"/>
      <c r="P213" s="17" t="str">
        <f t="shared" si="2"/>
        <v/>
      </c>
      <c r="R213" s="5" t="str">
        <f t="shared" si="15"/>
        <v/>
      </c>
    </row>
    <row r="214" ht="15.75" customHeight="1">
      <c r="A214" s="10" t="str">
        <f t="shared" si="1"/>
        <v>TZXD6</v>
      </c>
      <c r="B214" s="56">
        <v>46084.0</v>
      </c>
      <c r="C214" s="12" t="s">
        <v>14</v>
      </c>
      <c r="D214" s="12" t="s">
        <v>15</v>
      </c>
      <c r="E214" s="3" t="s">
        <v>85</v>
      </c>
      <c r="F214" s="13" t="s">
        <v>25</v>
      </c>
      <c r="G214" s="13" t="s">
        <v>18</v>
      </c>
      <c r="H214" s="3" t="s">
        <v>26</v>
      </c>
      <c r="I214" s="3"/>
      <c r="J214" s="3"/>
      <c r="K214" s="13" t="s">
        <v>63</v>
      </c>
      <c r="L214" s="14">
        <v>6.00344203E8</v>
      </c>
      <c r="M214" s="57">
        <v>2.475668</v>
      </c>
      <c r="O214" s="4"/>
      <c r="P214" s="17" t="str">
        <f t="shared" si="2"/>
        <v/>
      </c>
      <c r="R214" s="5" t="str">
        <f t="shared" si="15"/>
        <v/>
      </c>
    </row>
    <row r="215" ht="15.75" customHeight="1">
      <c r="A215" s="10" t="str">
        <f t="shared" si="1"/>
        <v>S17S6</v>
      </c>
      <c r="B215" s="56">
        <v>46084.0</v>
      </c>
      <c r="C215" s="12" t="s">
        <v>14</v>
      </c>
      <c r="D215" s="12" t="s">
        <v>40</v>
      </c>
      <c r="E215" s="3" t="s">
        <v>85</v>
      </c>
      <c r="F215" s="13" t="s">
        <v>25</v>
      </c>
      <c r="G215" s="13" t="s">
        <v>18</v>
      </c>
      <c r="H215" s="13" t="s">
        <v>32</v>
      </c>
      <c r="I215" s="3"/>
      <c r="J215" s="3"/>
      <c r="K215" s="13" t="s">
        <v>81</v>
      </c>
      <c r="L215" s="14">
        <v>-2.0E9</v>
      </c>
      <c r="M215" s="57">
        <v>1.06119</v>
      </c>
      <c r="O215" s="4"/>
      <c r="P215" s="17" t="str">
        <f t="shared" si="2"/>
        <v/>
      </c>
      <c r="R215" s="5" t="str">
        <f t="shared" si="15"/>
        <v/>
      </c>
    </row>
    <row r="216" ht="15.75" customHeight="1">
      <c r="A216" s="10" t="str">
        <f t="shared" si="1"/>
        <v>S17S6</v>
      </c>
      <c r="B216" s="56">
        <v>46084.0</v>
      </c>
      <c r="C216" s="12" t="s">
        <v>14</v>
      </c>
      <c r="D216" s="12" t="s">
        <v>40</v>
      </c>
      <c r="E216" s="3" t="s">
        <v>85</v>
      </c>
      <c r="F216" s="13" t="s">
        <v>25</v>
      </c>
      <c r="G216" s="13" t="s">
        <v>18</v>
      </c>
      <c r="H216" s="13" t="s">
        <v>32</v>
      </c>
      <c r="I216" s="3"/>
      <c r="J216" s="3"/>
      <c r="K216" s="13" t="s">
        <v>81</v>
      </c>
      <c r="L216" s="14">
        <v>-2.35E8</v>
      </c>
      <c r="M216" s="57">
        <v>1.060057</v>
      </c>
      <c r="O216" s="4"/>
      <c r="P216" s="17" t="str">
        <f t="shared" si="2"/>
        <v/>
      </c>
      <c r="R216" s="5" t="str">
        <f t="shared" si="15"/>
        <v/>
      </c>
    </row>
    <row r="217" ht="15.75" customHeight="1">
      <c r="A217" s="10" t="str">
        <f t="shared" si="1"/>
        <v>TZXD7</v>
      </c>
      <c r="B217" s="56">
        <v>46086.0</v>
      </c>
      <c r="C217" s="12" t="s">
        <v>14</v>
      </c>
      <c r="D217" s="12" t="s">
        <v>15</v>
      </c>
      <c r="E217" s="3" t="s">
        <v>85</v>
      </c>
      <c r="F217" s="13" t="s">
        <v>25</v>
      </c>
      <c r="G217" s="13" t="s">
        <v>18</v>
      </c>
      <c r="H217" s="3" t="s">
        <v>26</v>
      </c>
      <c r="I217" s="3"/>
      <c r="J217" s="3"/>
      <c r="K217" s="13" t="s">
        <v>55</v>
      </c>
      <c r="L217" s="14">
        <v>1.307759372E9</v>
      </c>
      <c r="M217" s="57">
        <v>2.2936652</v>
      </c>
      <c r="O217" s="4"/>
      <c r="P217" s="17" t="str">
        <f t="shared" si="2"/>
        <v/>
      </c>
      <c r="R217" s="5" t="str">
        <f t="shared" si="15"/>
        <v/>
      </c>
    </row>
    <row r="218" ht="15.75" customHeight="1">
      <c r="A218" s="10" t="str">
        <f t="shared" si="1"/>
        <v>S17S6</v>
      </c>
      <c r="B218" s="56">
        <v>46086.0</v>
      </c>
      <c r="C218" s="12" t="s">
        <v>14</v>
      </c>
      <c r="D218" s="12" t="s">
        <v>40</v>
      </c>
      <c r="E218" s="3" t="s">
        <v>85</v>
      </c>
      <c r="F218" s="13" t="s">
        <v>25</v>
      </c>
      <c r="G218" s="13" t="s">
        <v>18</v>
      </c>
      <c r="H218" s="13" t="s">
        <v>32</v>
      </c>
      <c r="I218" s="3"/>
      <c r="J218" s="3"/>
      <c r="K218" s="13" t="s">
        <v>81</v>
      </c>
      <c r="L218" s="14">
        <v>-2.816927858E9</v>
      </c>
      <c r="M218" s="57">
        <v>1.0649662</v>
      </c>
      <c r="O218" s="4"/>
      <c r="P218" s="17" t="str">
        <f t="shared" si="2"/>
        <v/>
      </c>
      <c r="R218" s="5" t="str">
        <f t="shared" si="15"/>
        <v/>
      </c>
    </row>
    <row r="219" ht="15.75" customHeight="1">
      <c r="A219" s="10" t="str">
        <f t="shared" si="1"/>
        <v>T31Y7</v>
      </c>
      <c r="B219" s="56">
        <v>46091.0</v>
      </c>
      <c r="C219" s="12" t="s">
        <v>14</v>
      </c>
      <c r="D219" s="12" t="s">
        <v>15</v>
      </c>
      <c r="E219" s="3" t="s">
        <v>85</v>
      </c>
      <c r="F219" s="13" t="s">
        <v>25</v>
      </c>
      <c r="G219" s="13" t="s">
        <v>18</v>
      </c>
      <c r="H219" s="13" t="s">
        <v>32</v>
      </c>
      <c r="I219" s="3"/>
      <c r="J219" s="3"/>
      <c r="K219" s="13" t="s">
        <v>88</v>
      </c>
      <c r="L219" s="14">
        <v>2.8E9</v>
      </c>
      <c r="M219" s="57">
        <v>1.0665</v>
      </c>
      <c r="O219" s="4"/>
      <c r="P219" s="17" t="str">
        <f t="shared" si="2"/>
        <v/>
      </c>
      <c r="R219" s="5" t="str">
        <f t="shared" si="15"/>
        <v/>
      </c>
    </row>
    <row r="220" ht="15.75" customHeight="1">
      <c r="A220" s="10" t="str">
        <f t="shared" si="1"/>
        <v>S17S6</v>
      </c>
      <c r="B220" s="56">
        <v>46094.0</v>
      </c>
      <c r="C220" s="12" t="s">
        <v>14</v>
      </c>
      <c r="D220" s="12" t="s">
        <v>40</v>
      </c>
      <c r="E220" s="3" t="s">
        <v>85</v>
      </c>
      <c r="F220" s="13" t="s">
        <v>25</v>
      </c>
      <c r="G220" s="13" t="s">
        <v>18</v>
      </c>
      <c r="H220" s="13" t="s">
        <v>32</v>
      </c>
      <c r="I220" s="3"/>
      <c r="J220" s="3"/>
      <c r="K220" s="13" t="s">
        <v>81</v>
      </c>
      <c r="L220" s="14">
        <v>-3.726476616E9</v>
      </c>
      <c r="M220" s="57">
        <v>1.0734</v>
      </c>
      <c r="O220" s="4"/>
      <c r="P220" s="17" t="str">
        <f t="shared" si="2"/>
        <v/>
      </c>
      <c r="R220" s="5" t="str">
        <f t="shared" si="15"/>
        <v/>
      </c>
    </row>
    <row r="221" ht="15.75" customHeight="1">
      <c r="A221" s="10" t="str">
        <f t="shared" si="1"/>
        <v>T30S7</v>
      </c>
      <c r="B221" s="56">
        <v>46094.0</v>
      </c>
      <c r="C221" s="12" t="s">
        <v>14</v>
      </c>
      <c r="D221" s="12" t="s">
        <v>15</v>
      </c>
      <c r="E221" s="3" t="s">
        <v>85</v>
      </c>
      <c r="F221" s="13" t="s">
        <v>25</v>
      </c>
      <c r="G221" s="13" t="s">
        <v>18</v>
      </c>
      <c r="H221" s="13" t="s">
        <v>32</v>
      </c>
      <c r="I221" s="3"/>
      <c r="J221" s="3"/>
      <c r="K221" s="13" t="s">
        <v>82</v>
      </c>
      <c r="L221" s="14">
        <v>3.524229074E9</v>
      </c>
      <c r="M221" s="57">
        <v>1.134869</v>
      </c>
      <c r="O221" s="4"/>
      <c r="P221" s="17" t="str">
        <f t="shared" si="2"/>
        <v/>
      </c>
      <c r="R221" s="5" t="str">
        <f t="shared" si="15"/>
        <v/>
      </c>
    </row>
    <row r="222" ht="15.75" customHeight="1">
      <c r="A222" s="10" t="str">
        <f t="shared" si="1"/>
        <v>TTM26</v>
      </c>
      <c r="B222" s="25">
        <v>46097.0</v>
      </c>
      <c r="C222" s="26" t="s">
        <v>52</v>
      </c>
      <c r="D222" s="26" t="s">
        <v>53</v>
      </c>
      <c r="E222" s="27" t="s">
        <v>85</v>
      </c>
      <c r="F222" s="28" t="s">
        <v>25</v>
      </c>
      <c r="G222" s="28" t="s">
        <v>18</v>
      </c>
      <c r="H222" s="28" t="s">
        <v>32</v>
      </c>
      <c r="I222" s="27"/>
      <c r="J222" s="27"/>
      <c r="K222" s="28" t="s">
        <v>48</v>
      </c>
      <c r="L222" s="34">
        <v>-2.766512173E9</v>
      </c>
      <c r="M222" s="58">
        <f>-P222/L222</f>
        <v>1.5136252</v>
      </c>
      <c r="N222" s="31">
        <v>1.0</v>
      </c>
      <c r="O222" s="32">
        <v>4.187462541E9</v>
      </c>
      <c r="P222" s="32">
        <v>4.187462541E9</v>
      </c>
      <c r="R222" s="5" t="str">
        <f t="shared" si="15"/>
        <v/>
      </c>
    </row>
    <row r="223" ht="15.75" customHeight="1">
      <c r="A223" s="10" t="str">
        <f t="shared" si="1"/>
        <v>S30S6</v>
      </c>
      <c r="B223" s="56">
        <v>46097.0</v>
      </c>
      <c r="C223" s="12" t="s">
        <v>14</v>
      </c>
      <c r="D223" s="12" t="s">
        <v>15</v>
      </c>
      <c r="E223" s="3" t="s">
        <v>85</v>
      </c>
      <c r="F223" s="13" t="s">
        <v>25</v>
      </c>
      <c r="G223" s="13" t="s">
        <v>18</v>
      </c>
      <c r="H223" s="13" t="s">
        <v>32</v>
      </c>
      <c r="I223" s="3"/>
      <c r="J223" s="3"/>
      <c r="K223" s="13" t="s">
        <v>89</v>
      </c>
      <c r="L223" s="14">
        <v>4.0E9</v>
      </c>
      <c r="M223" s="57">
        <v>1.0</v>
      </c>
      <c r="O223" s="4"/>
      <c r="P223" s="17" t="str">
        <f t="shared" ref="P223:P231" si="16">IF(OR(D223="Compra",D223="Venta"),L223*M223,O223)</f>
        <v/>
      </c>
      <c r="R223" s="5" t="str">
        <f t="shared" si="15"/>
        <v/>
      </c>
    </row>
    <row r="224" ht="15.75" customHeight="1">
      <c r="A224" s="10" t="str">
        <f t="shared" si="1"/>
        <v>TZXD6</v>
      </c>
      <c r="B224" s="56">
        <v>46098.0</v>
      </c>
      <c r="C224" s="12" t="s">
        <v>14</v>
      </c>
      <c r="D224" s="12" t="s">
        <v>15</v>
      </c>
      <c r="E224" s="3" t="s">
        <v>85</v>
      </c>
      <c r="F224" s="13" t="s">
        <v>25</v>
      </c>
      <c r="G224" s="13" t="s">
        <v>18</v>
      </c>
      <c r="H224" s="3" t="s">
        <v>26</v>
      </c>
      <c r="I224" s="3"/>
      <c r="J224" s="3"/>
      <c r="K224" s="13" t="s">
        <v>63</v>
      </c>
      <c r="L224" s="14">
        <v>2.0183517E7</v>
      </c>
      <c r="M224" s="57">
        <v>2.5935</v>
      </c>
      <c r="O224" s="4"/>
      <c r="P224" s="17" t="str">
        <f t="shared" si="16"/>
        <v/>
      </c>
      <c r="R224" s="5" t="str">
        <f t="shared" si="15"/>
        <v/>
      </c>
    </row>
    <row r="225" ht="15.75" customHeight="1">
      <c r="A225" s="10" t="str">
        <f t="shared" si="1"/>
        <v>TZXM7</v>
      </c>
      <c r="B225" s="56">
        <v>46098.0</v>
      </c>
      <c r="C225" s="12" t="s">
        <v>14</v>
      </c>
      <c r="D225" s="12" t="s">
        <v>15</v>
      </c>
      <c r="E225" s="3" t="s">
        <v>85</v>
      </c>
      <c r="F225" s="13" t="s">
        <v>25</v>
      </c>
      <c r="G225" s="13" t="s">
        <v>18</v>
      </c>
      <c r="H225" s="3" t="s">
        <v>26</v>
      </c>
      <c r="I225" s="3"/>
      <c r="J225" s="3"/>
      <c r="K225" s="13" t="s">
        <v>90</v>
      </c>
      <c r="L225" s="14">
        <v>7.6E8</v>
      </c>
      <c r="M225" s="57">
        <v>1.908</v>
      </c>
      <c r="O225" s="4"/>
      <c r="P225" s="17" t="str">
        <f t="shared" si="16"/>
        <v/>
      </c>
      <c r="R225" s="5" t="str">
        <f t="shared" si="15"/>
        <v/>
      </c>
    </row>
    <row r="226" ht="15.75" customHeight="1">
      <c r="A226" s="10" t="str">
        <f t="shared" si="1"/>
        <v>SL30</v>
      </c>
      <c r="B226" s="56">
        <v>46107.0</v>
      </c>
      <c r="C226" s="12" t="s">
        <v>14</v>
      </c>
      <c r="D226" s="12" t="s">
        <v>15</v>
      </c>
      <c r="E226" s="3" t="s">
        <v>85</v>
      </c>
      <c r="F226" s="13" t="s">
        <v>17</v>
      </c>
      <c r="G226" s="13" t="s">
        <v>18</v>
      </c>
      <c r="H226" s="13" t="s">
        <v>61</v>
      </c>
      <c r="I226" s="3"/>
      <c r="J226" s="3"/>
      <c r="K226" s="13" t="s">
        <v>62</v>
      </c>
      <c r="L226" s="14">
        <v>3250974.0</v>
      </c>
      <c r="M226" s="57">
        <v>853.7015</v>
      </c>
      <c r="O226" s="4"/>
      <c r="P226" s="17" t="str">
        <f t="shared" si="16"/>
        <v/>
      </c>
      <c r="R226" s="5" t="str">
        <f t="shared" si="15"/>
        <v/>
      </c>
    </row>
    <row r="227" ht="15.75" customHeight="1">
      <c r="A227" s="10" t="str">
        <f t="shared" si="1"/>
        <v>S17S6</v>
      </c>
      <c r="B227" s="56">
        <v>46107.0</v>
      </c>
      <c r="C227" s="12" t="s">
        <v>14</v>
      </c>
      <c r="D227" s="12" t="s">
        <v>40</v>
      </c>
      <c r="E227" s="3" t="s">
        <v>85</v>
      </c>
      <c r="F227" s="13" t="s">
        <v>25</v>
      </c>
      <c r="G227" s="13" t="s">
        <v>18</v>
      </c>
      <c r="H227" s="13" t="s">
        <v>32</v>
      </c>
      <c r="I227" s="3"/>
      <c r="J227" s="3"/>
      <c r="K227" s="13" t="s">
        <v>81</v>
      </c>
      <c r="L227" s="14">
        <v>-1.75E9</v>
      </c>
      <c r="M227" s="57">
        <v>1.086092</v>
      </c>
      <c r="O227" s="4"/>
      <c r="P227" s="17" t="str">
        <f t="shared" si="16"/>
        <v/>
      </c>
      <c r="R227" s="5" t="str">
        <f t="shared" si="15"/>
        <v/>
      </c>
    </row>
    <row r="228" ht="15.75" customHeight="1">
      <c r="A228" s="10" t="str">
        <f t="shared" si="1"/>
        <v>S17S6</v>
      </c>
      <c r="B228" s="56">
        <v>46108.0</v>
      </c>
      <c r="C228" s="12" t="s">
        <v>14</v>
      </c>
      <c r="D228" s="12" t="s">
        <v>40</v>
      </c>
      <c r="E228" s="3" t="s">
        <v>85</v>
      </c>
      <c r="F228" s="13" t="s">
        <v>25</v>
      </c>
      <c r="G228" s="13" t="s">
        <v>18</v>
      </c>
      <c r="H228" s="13" t="s">
        <v>32</v>
      </c>
      <c r="I228" s="3"/>
      <c r="J228" s="3"/>
      <c r="K228" s="13" t="s">
        <v>81</v>
      </c>
      <c r="L228" s="14">
        <v>-3.331595526E9</v>
      </c>
      <c r="M228" s="57">
        <v>1.088015</v>
      </c>
      <c r="O228" s="4"/>
      <c r="P228" s="17" t="str">
        <f t="shared" si="16"/>
        <v/>
      </c>
      <c r="R228" s="5" t="str">
        <f t="shared" si="15"/>
        <v/>
      </c>
    </row>
    <row r="229" ht="15.75" customHeight="1">
      <c r="A229" s="10" t="str">
        <f t="shared" si="1"/>
        <v>SL30</v>
      </c>
      <c r="B229" s="56">
        <v>46108.0</v>
      </c>
      <c r="C229" s="12" t="s">
        <v>14</v>
      </c>
      <c r="D229" s="12" t="s">
        <v>15</v>
      </c>
      <c r="E229" s="3" t="s">
        <v>85</v>
      </c>
      <c r="F229" s="13" t="s">
        <v>17</v>
      </c>
      <c r="G229" s="13" t="s">
        <v>18</v>
      </c>
      <c r="H229" s="13" t="s">
        <v>61</v>
      </c>
      <c r="I229" s="3"/>
      <c r="J229" s="3"/>
      <c r="K229" s="13" t="s">
        <v>62</v>
      </c>
      <c r="L229" s="14">
        <v>4187899.0</v>
      </c>
      <c r="M229" s="57">
        <v>861.911728</v>
      </c>
      <c r="O229" s="4"/>
      <c r="P229" s="17" t="str">
        <f t="shared" si="16"/>
        <v/>
      </c>
      <c r="R229" s="5" t="str">
        <f t="shared" si="15"/>
        <v/>
      </c>
    </row>
    <row r="230" ht="15.75" customHeight="1">
      <c r="A230" s="10" t="str">
        <f t="shared" si="1"/>
        <v>SL30</v>
      </c>
      <c r="B230" s="56">
        <v>46108.0</v>
      </c>
      <c r="C230" s="12" t="s">
        <v>14</v>
      </c>
      <c r="D230" s="12" t="s">
        <v>15</v>
      </c>
      <c r="E230" s="3" t="s">
        <v>85</v>
      </c>
      <c r="F230" s="13" t="s">
        <v>17</v>
      </c>
      <c r="G230" s="13" t="s">
        <v>18</v>
      </c>
      <c r="H230" s="13" t="s">
        <v>61</v>
      </c>
      <c r="I230" s="3"/>
      <c r="J230" s="3"/>
      <c r="K230" s="13" t="s">
        <v>62</v>
      </c>
      <c r="L230" s="14">
        <v>394059.0</v>
      </c>
      <c r="M230" s="57">
        <v>861.397035</v>
      </c>
      <c r="O230" s="4"/>
      <c r="P230" s="17" t="str">
        <f t="shared" si="16"/>
        <v/>
      </c>
      <c r="R230" s="5" t="str">
        <f t="shared" si="15"/>
        <v/>
      </c>
    </row>
    <row r="231" ht="15.75" customHeight="1">
      <c r="A231" s="10" t="str">
        <f t="shared" si="1"/>
        <v>SL30</v>
      </c>
      <c r="B231" s="56">
        <v>46112.0</v>
      </c>
      <c r="C231" s="12" t="s">
        <v>14</v>
      </c>
      <c r="D231" s="12" t="s">
        <v>15</v>
      </c>
      <c r="E231" s="3" t="s">
        <v>85</v>
      </c>
      <c r="F231" s="13" t="s">
        <v>17</v>
      </c>
      <c r="G231" s="13" t="s">
        <v>18</v>
      </c>
      <c r="H231" s="13" t="s">
        <v>61</v>
      </c>
      <c r="I231" s="3"/>
      <c r="J231" s="3"/>
      <c r="K231" s="13" t="s">
        <v>62</v>
      </c>
      <c r="L231" s="14">
        <v>3448000.0</v>
      </c>
      <c r="M231" s="57">
        <v>868.947045</v>
      </c>
      <c r="O231" s="4"/>
      <c r="P231" s="17" t="str">
        <f t="shared" si="16"/>
        <v/>
      </c>
      <c r="R231" s="5" t="str">
        <f t="shared" si="15"/>
        <v/>
      </c>
    </row>
    <row r="232" ht="15.75" customHeight="1">
      <c r="A232" s="10" t="str">
        <f t="shared" si="1"/>
        <v>TZXM6</v>
      </c>
      <c r="B232" s="25">
        <v>46112.0</v>
      </c>
      <c r="C232" s="26" t="s">
        <v>52</v>
      </c>
      <c r="D232" s="26" t="s">
        <v>53</v>
      </c>
      <c r="E232" s="27" t="s">
        <v>85</v>
      </c>
      <c r="F232" s="28" t="s">
        <v>25</v>
      </c>
      <c r="G232" s="28" t="s">
        <v>18</v>
      </c>
      <c r="H232" s="27" t="s">
        <v>26</v>
      </c>
      <c r="I232" s="27"/>
      <c r="J232" s="27"/>
      <c r="K232" s="28" t="s">
        <v>31</v>
      </c>
      <c r="L232" s="34">
        <v>-1.431847151E9</v>
      </c>
      <c r="M232" s="58">
        <v>2.1441</v>
      </c>
      <c r="N232" s="31">
        <v>1.0</v>
      </c>
      <c r="O232" s="32">
        <f>-L232*M232</f>
        <v>3070023476</v>
      </c>
      <c r="P232" s="32">
        <f>+O232</f>
        <v>3070023476</v>
      </c>
      <c r="R232" s="5" t="str">
        <f t="shared" si="15"/>
        <v/>
      </c>
    </row>
    <row r="233" ht="15.75" customHeight="1">
      <c r="A233" s="35" t="str">
        <f t="shared" si="1"/>
        <v/>
      </c>
      <c r="E233" s="3"/>
      <c r="F233" s="3"/>
      <c r="G233" s="3"/>
      <c r="H233" s="3"/>
      <c r="I233" s="3"/>
      <c r="J233" s="3"/>
      <c r="K233" s="3"/>
      <c r="O233" s="4"/>
      <c r="R233" s="5" t="str">
        <f t="shared" si="15"/>
        <v/>
      </c>
    </row>
    <row r="234" ht="15.75" customHeight="1">
      <c r="A234" s="35" t="str">
        <f t="shared" si="1"/>
        <v/>
      </c>
      <c r="E234" s="3"/>
      <c r="F234" s="3"/>
      <c r="G234" s="3"/>
      <c r="H234" s="3"/>
      <c r="I234" s="3"/>
      <c r="J234" s="3"/>
      <c r="K234" s="3"/>
      <c r="O234" s="4"/>
      <c r="R234" s="5" t="str">
        <f t="shared" si="15"/>
        <v/>
      </c>
    </row>
    <row r="235" ht="15.75" customHeight="1">
      <c r="A235" s="35" t="str">
        <f t="shared" si="1"/>
        <v/>
      </c>
      <c r="E235" s="3"/>
      <c r="F235" s="3"/>
      <c r="G235" s="3"/>
      <c r="H235" s="3"/>
      <c r="I235" s="3"/>
      <c r="J235" s="3"/>
      <c r="K235" s="3"/>
      <c r="O235" s="4"/>
      <c r="R235" s="5" t="str">
        <f t="shared" si="15"/>
        <v/>
      </c>
    </row>
    <row r="236" ht="15.75" customHeight="1">
      <c r="A236" s="62" t="s">
        <v>91</v>
      </c>
      <c r="B236" s="62" t="s">
        <v>92</v>
      </c>
      <c r="C236" s="62" t="s">
        <v>93</v>
      </c>
      <c r="D236" s="62" t="s">
        <v>94</v>
      </c>
      <c r="E236" s="62" t="s">
        <v>95</v>
      </c>
      <c r="F236" s="62" t="s">
        <v>96</v>
      </c>
      <c r="G236" s="62" t="s">
        <v>97</v>
      </c>
      <c r="H236" s="62" t="s">
        <v>98</v>
      </c>
      <c r="I236" s="62" t="s">
        <v>99</v>
      </c>
      <c r="J236" s="62" t="s">
        <v>100</v>
      </c>
      <c r="K236" s="62" t="s">
        <v>101</v>
      </c>
      <c r="L236" s="62" t="s">
        <v>102</v>
      </c>
      <c r="O236" s="4"/>
      <c r="R236" s="5" t="str">
        <f t="shared" si="15"/>
        <v/>
      </c>
    </row>
    <row r="237">
      <c r="A237" s="1" t="s">
        <v>103</v>
      </c>
      <c r="B237" s="1" t="s">
        <v>104</v>
      </c>
      <c r="C237" s="1" t="s">
        <v>105</v>
      </c>
      <c r="D237" s="1" t="s">
        <v>106</v>
      </c>
      <c r="E237" s="2" t="s">
        <v>107</v>
      </c>
      <c r="F237" s="2"/>
      <c r="G237" s="2"/>
      <c r="H237" s="2" t="s">
        <v>108</v>
      </c>
      <c r="I237" s="2" t="s">
        <v>109</v>
      </c>
      <c r="J237" s="3"/>
      <c r="K237" s="3"/>
      <c r="O237" s="4"/>
      <c r="R237" s="5" t="str">
        <f t="shared" si="15"/>
        <v/>
      </c>
    </row>
    <row r="238" ht="15.75" customHeight="1">
      <c r="A238" s="35" t="str">
        <f t="shared" ref="A238:A697" si="17">IF(K238&lt;&gt;"",K238,"")</f>
        <v/>
      </c>
      <c r="E238" s="3"/>
      <c r="F238" s="3"/>
      <c r="G238" s="3"/>
      <c r="H238" s="3"/>
      <c r="I238" s="3"/>
      <c r="J238" s="3"/>
      <c r="K238" s="3"/>
      <c r="O238" s="4"/>
      <c r="R238" s="5" t="str">
        <f t="shared" si="15"/>
        <v/>
      </c>
    </row>
    <row r="239" ht="15.75" customHeight="1">
      <c r="A239" s="35" t="str">
        <f t="shared" si="17"/>
        <v/>
      </c>
      <c r="E239" s="3"/>
      <c r="F239" s="3"/>
      <c r="G239" s="3"/>
      <c r="H239" s="3"/>
      <c r="I239" s="3"/>
      <c r="J239" s="3"/>
      <c r="K239" s="3"/>
      <c r="O239" s="4"/>
      <c r="R239" s="5" t="str">
        <f t="shared" si="15"/>
        <v/>
      </c>
    </row>
    <row r="240" ht="15.75" customHeight="1">
      <c r="A240" s="35" t="str">
        <f t="shared" si="17"/>
        <v/>
      </c>
      <c r="E240" s="3"/>
      <c r="F240" s="3"/>
      <c r="G240" s="3"/>
      <c r="H240" s="3"/>
      <c r="I240" s="3"/>
      <c r="J240" s="3"/>
      <c r="K240" s="3"/>
      <c r="O240" s="4"/>
      <c r="R240" s="5" t="str">
        <f t="shared" si="15"/>
        <v/>
      </c>
    </row>
    <row r="241" ht="15.75" customHeight="1">
      <c r="A241" s="35" t="str">
        <f t="shared" si="17"/>
        <v/>
      </c>
      <c r="E241" s="3"/>
      <c r="F241" s="3"/>
      <c r="G241" s="3"/>
      <c r="H241" s="3"/>
      <c r="I241" s="3"/>
      <c r="J241" s="3"/>
      <c r="K241" s="3"/>
      <c r="O241" s="4"/>
      <c r="R241" s="5" t="str">
        <f t="shared" si="15"/>
        <v/>
      </c>
    </row>
    <row r="242" ht="15.75" customHeight="1">
      <c r="A242" s="35" t="str">
        <f t="shared" si="17"/>
        <v/>
      </c>
      <c r="E242" s="3"/>
      <c r="F242" s="3"/>
      <c r="G242" s="3"/>
      <c r="H242" s="3"/>
      <c r="I242" s="3"/>
      <c r="J242" s="3"/>
      <c r="K242" s="3"/>
      <c r="O242" s="4"/>
      <c r="R242" s="5" t="str">
        <f t="shared" si="15"/>
        <v/>
      </c>
    </row>
    <row r="243" ht="15.75" customHeight="1">
      <c r="A243" s="35" t="str">
        <f t="shared" si="17"/>
        <v/>
      </c>
      <c r="E243" s="3"/>
      <c r="F243" s="3"/>
      <c r="G243" s="3"/>
      <c r="H243" s="3"/>
      <c r="I243" s="3"/>
      <c r="J243" s="3"/>
      <c r="K243" s="3"/>
      <c r="O243" s="4"/>
      <c r="R243" s="5" t="str">
        <f t="shared" si="15"/>
        <v/>
      </c>
    </row>
    <row r="244" ht="15.75" customHeight="1">
      <c r="A244" s="35" t="str">
        <f t="shared" si="17"/>
        <v/>
      </c>
      <c r="E244" s="3"/>
      <c r="F244" s="3"/>
      <c r="G244" s="3"/>
      <c r="H244" s="3"/>
      <c r="I244" s="3"/>
      <c r="J244" s="3"/>
      <c r="K244" s="3"/>
      <c r="O244" s="4"/>
      <c r="R244" s="5" t="str">
        <f t="shared" si="15"/>
        <v/>
      </c>
    </row>
    <row r="245" ht="15.75" customHeight="1">
      <c r="A245" s="35" t="str">
        <f t="shared" si="17"/>
        <v/>
      </c>
      <c r="E245" s="3"/>
      <c r="F245" s="3"/>
      <c r="G245" s="3"/>
      <c r="H245" s="3"/>
      <c r="I245" s="3"/>
      <c r="J245" s="3"/>
      <c r="K245" s="3"/>
      <c r="O245" s="4"/>
      <c r="R245" s="5" t="str">
        <f t="shared" si="15"/>
        <v/>
      </c>
    </row>
    <row r="246" ht="15.75" customHeight="1">
      <c r="A246" s="35" t="str">
        <f t="shared" si="17"/>
        <v/>
      </c>
      <c r="E246" s="3"/>
      <c r="F246" s="3"/>
      <c r="G246" s="3"/>
      <c r="H246" s="3"/>
      <c r="I246" s="3"/>
      <c r="J246" s="3"/>
      <c r="K246" s="3"/>
      <c r="O246" s="4"/>
      <c r="R246" s="5" t="str">
        <f t="shared" si="15"/>
        <v/>
      </c>
    </row>
    <row r="247" ht="15.75" customHeight="1">
      <c r="A247" s="35" t="str">
        <f t="shared" si="17"/>
        <v/>
      </c>
      <c r="E247" s="3"/>
      <c r="F247" s="3"/>
      <c r="G247" s="3"/>
      <c r="H247" s="3"/>
      <c r="I247" s="3"/>
      <c r="J247" s="3"/>
      <c r="K247" s="3"/>
      <c r="O247" s="4"/>
      <c r="R247" s="5" t="str">
        <f t="shared" si="15"/>
        <v/>
      </c>
    </row>
    <row r="248" ht="15.75" customHeight="1">
      <c r="A248" s="35" t="str">
        <f t="shared" si="17"/>
        <v/>
      </c>
      <c r="E248" s="3"/>
      <c r="F248" s="3"/>
      <c r="G248" s="3"/>
      <c r="H248" s="3"/>
      <c r="I248" s="3"/>
      <c r="J248" s="3"/>
      <c r="K248" s="3"/>
      <c r="O248" s="4"/>
      <c r="R248" s="5" t="str">
        <f t="shared" si="15"/>
        <v/>
      </c>
    </row>
    <row r="249" ht="15.75" customHeight="1">
      <c r="A249" s="35" t="str">
        <f t="shared" si="17"/>
        <v/>
      </c>
      <c r="E249" s="3"/>
      <c r="F249" s="3"/>
      <c r="G249" s="3"/>
      <c r="H249" s="3"/>
      <c r="I249" s="3"/>
      <c r="J249" s="3"/>
      <c r="K249" s="3"/>
      <c r="O249" s="4"/>
      <c r="R249" s="5" t="str">
        <f t="shared" si="15"/>
        <v/>
      </c>
    </row>
    <row r="250" ht="15.75" customHeight="1">
      <c r="A250" s="35" t="str">
        <f t="shared" si="17"/>
        <v/>
      </c>
      <c r="E250" s="3"/>
      <c r="F250" s="3"/>
      <c r="G250" s="3"/>
      <c r="H250" s="3"/>
      <c r="I250" s="3"/>
      <c r="J250" s="3"/>
      <c r="K250" s="3"/>
      <c r="O250" s="4"/>
      <c r="R250" s="5" t="str">
        <f t="shared" si="15"/>
        <v/>
      </c>
    </row>
    <row r="251" ht="15.75" customHeight="1">
      <c r="A251" s="35" t="str">
        <f t="shared" si="17"/>
        <v/>
      </c>
      <c r="E251" s="3"/>
      <c r="F251" s="3"/>
      <c r="G251" s="3"/>
      <c r="H251" s="3"/>
      <c r="I251" s="3"/>
      <c r="J251" s="3"/>
      <c r="K251" s="3"/>
      <c r="O251" s="4"/>
      <c r="R251" s="5" t="str">
        <f t="shared" si="15"/>
        <v/>
      </c>
    </row>
    <row r="252" ht="15.75" customHeight="1">
      <c r="A252" s="35" t="str">
        <f t="shared" si="17"/>
        <v/>
      </c>
      <c r="E252" s="3"/>
      <c r="F252" s="3"/>
      <c r="G252" s="3"/>
      <c r="H252" s="3"/>
      <c r="I252" s="3"/>
      <c r="J252" s="3"/>
      <c r="K252" s="3"/>
      <c r="O252" s="4"/>
      <c r="R252" s="5" t="str">
        <f t="shared" si="15"/>
        <v/>
      </c>
    </row>
    <row r="253" ht="15.75" customHeight="1">
      <c r="A253" s="35" t="str">
        <f t="shared" si="17"/>
        <v/>
      </c>
      <c r="E253" s="3"/>
      <c r="F253" s="3"/>
      <c r="G253" s="3"/>
      <c r="H253" s="3"/>
      <c r="I253" s="3"/>
      <c r="J253" s="3"/>
      <c r="K253" s="3"/>
      <c r="O253" s="4"/>
      <c r="R253" s="5" t="str">
        <f t="shared" si="15"/>
        <v/>
      </c>
    </row>
    <row r="254" ht="15.75" customHeight="1">
      <c r="A254" s="35" t="str">
        <f t="shared" si="17"/>
        <v/>
      </c>
      <c r="E254" s="3"/>
      <c r="F254" s="3"/>
      <c r="G254" s="3"/>
      <c r="H254" s="3"/>
      <c r="I254" s="3"/>
      <c r="J254" s="3"/>
      <c r="K254" s="3"/>
      <c r="O254" s="4"/>
      <c r="R254" s="5" t="str">
        <f t="shared" si="15"/>
        <v/>
      </c>
    </row>
    <row r="255" ht="15.75" customHeight="1">
      <c r="A255" s="35" t="str">
        <f t="shared" si="17"/>
        <v/>
      </c>
      <c r="E255" s="3"/>
      <c r="F255" s="3"/>
      <c r="G255" s="3"/>
      <c r="H255" s="3"/>
      <c r="I255" s="3"/>
      <c r="J255" s="3"/>
      <c r="K255" s="3"/>
      <c r="O255" s="4"/>
      <c r="R255" s="5" t="str">
        <f t="shared" si="15"/>
        <v/>
      </c>
    </row>
    <row r="256" ht="15.75" customHeight="1">
      <c r="A256" s="35" t="str">
        <f t="shared" si="17"/>
        <v/>
      </c>
      <c r="E256" s="3"/>
      <c r="F256" s="3"/>
      <c r="G256" s="3"/>
      <c r="H256" s="3"/>
      <c r="I256" s="3"/>
      <c r="J256" s="3"/>
      <c r="K256" s="3"/>
      <c r="O256" s="4"/>
      <c r="R256" s="5" t="str">
        <f t="shared" si="15"/>
        <v/>
      </c>
    </row>
    <row r="257" ht="15.75" customHeight="1">
      <c r="A257" s="35" t="str">
        <f t="shared" si="17"/>
        <v/>
      </c>
      <c r="E257" s="3"/>
      <c r="F257" s="3"/>
      <c r="G257" s="3"/>
      <c r="H257" s="3"/>
      <c r="I257" s="3"/>
      <c r="J257" s="3"/>
      <c r="K257" s="3"/>
      <c r="O257" s="4"/>
      <c r="R257" s="5" t="str">
        <f t="shared" si="15"/>
        <v/>
      </c>
    </row>
    <row r="258" ht="15.75" customHeight="1">
      <c r="A258" s="35" t="str">
        <f t="shared" si="17"/>
        <v/>
      </c>
      <c r="E258" s="3"/>
      <c r="F258" s="3"/>
      <c r="G258" s="3"/>
      <c r="H258" s="3"/>
      <c r="I258" s="3"/>
      <c r="J258" s="3"/>
      <c r="K258" s="3"/>
      <c r="O258" s="4"/>
      <c r="R258" s="5" t="str">
        <f t="shared" si="15"/>
        <v/>
      </c>
    </row>
    <row r="259" ht="15.75" customHeight="1">
      <c r="A259" s="35" t="str">
        <f t="shared" si="17"/>
        <v/>
      </c>
      <c r="E259" s="3"/>
      <c r="F259" s="3"/>
      <c r="G259" s="3"/>
      <c r="H259" s="3"/>
      <c r="I259" s="3"/>
      <c r="J259" s="3"/>
      <c r="K259" s="3"/>
      <c r="O259" s="4"/>
      <c r="R259" s="5" t="str">
        <f t="shared" si="15"/>
        <v/>
      </c>
    </row>
    <row r="260" ht="15.75" customHeight="1">
      <c r="A260" s="35" t="str">
        <f t="shared" si="17"/>
        <v/>
      </c>
      <c r="E260" s="3"/>
      <c r="F260" s="3"/>
      <c r="G260" s="3"/>
      <c r="H260" s="3"/>
      <c r="I260" s="3"/>
      <c r="J260" s="3"/>
      <c r="K260" s="3"/>
      <c r="O260" s="4"/>
      <c r="R260" s="5" t="str">
        <f t="shared" si="15"/>
        <v/>
      </c>
    </row>
    <row r="261" ht="15.75" customHeight="1">
      <c r="A261" s="35" t="str">
        <f t="shared" si="17"/>
        <v/>
      </c>
      <c r="E261" s="3"/>
      <c r="F261" s="3"/>
      <c r="G261" s="3"/>
      <c r="H261" s="3"/>
      <c r="I261" s="3"/>
      <c r="J261" s="3"/>
      <c r="K261" s="3"/>
      <c r="O261" s="4"/>
      <c r="R261" s="5" t="str">
        <f t="shared" si="15"/>
        <v/>
      </c>
    </row>
    <row r="262" ht="15.75" customHeight="1">
      <c r="A262" s="35" t="str">
        <f t="shared" si="17"/>
        <v/>
      </c>
      <c r="E262" s="3"/>
      <c r="F262" s="3"/>
      <c r="G262" s="3"/>
      <c r="H262" s="3"/>
      <c r="I262" s="3"/>
      <c r="J262" s="3"/>
      <c r="K262" s="3"/>
      <c r="O262" s="4"/>
      <c r="R262" s="5" t="str">
        <f t="shared" si="15"/>
        <v/>
      </c>
    </row>
    <row r="263" ht="15.75" customHeight="1">
      <c r="A263" s="35" t="str">
        <f t="shared" si="17"/>
        <v/>
      </c>
      <c r="E263" s="3"/>
      <c r="F263" s="3"/>
      <c r="G263" s="3"/>
      <c r="H263" s="3"/>
      <c r="I263" s="3"/>
      <c r="J263" s="3"/>
      <c r="K263" s="3"/>
      <c r="O263" s="4"/>
      <c r="R263" s="5" t="str">
        <f t="shared" si="15"/>
        <v/>
      </c>
    </row>
    <row r="264" ht="15.75" customHeight="1">
      <c r="A264" s="35" t="str">
        <f t="shared" si="17"/>
        <v/>
      </c>
      <c r="E264" s="3"/>
      <c r="F264" s="3"/>
      <c r="G264" s="3"/>
      <c r="H264" s="3"/>
      <c r="I264" s="3"/>
      <c r="J264" s="3"/>
      <c r="K264" s="3"/>
      <c r="O264" s="4"/>
      <c r="R264" s="5" t="str">
        <f t="shared" si="15"/>
        <v/>
      </c>
    </row>
    <row r="265" ht="15.75" customHeight="1">
      <c r="A265" s="35" t="str">
        <f t="shared" si="17"/>
        <v/>
      </c>
      <c r="E265" s="3"/>
      <c r="F265" s="3"/>
      <c r="G265" s="3"/>
      <c r="H265" s="3"/>
      <c r="I265" s="3"/>
      <c r="J265" s="3"/>
      <c r="K265" s="3"/>
      <c r="O265" s="4"/>
      <c r="R265" s="5" t="str">
        <f t="shared" si="15"/>
        <v/>
      </c>
    </row>
    <row r="266" ht="15.75" customHeight="1">
      <c r="A266" s="35" t="str">
        <f t="shared" si="17"/>
        <v/>
      </c>
      <c r="E266" s="3"/>
      <c r="F266" s="3"/>
      <c r="G266" s="3"/>
      <c r="H266" s="3"/>
      <c r="I266" s="3"/>
      <c r="J266" s="3"/>
      <c r="K266" s="3"/>
      <c r="O266" s="4"/>
      <c r="R266" s="5" t="str">
        <f t="shared" si="15"/>
        <v/>
      </c>
    </row>
    <row r="267" ht="15.75" customHeight="1">
      <c r="A267" s="35" t="str">
        <f t="shared" si="17"/>
        <v/>
      </c>
      <c r="E267" s="3"/>
      <c r="F267" s="3"/>
      <c r="G267" s="3"/>
      <c r="H267" s="3"/>
      <c r="I267" s="3"/>
      <c r="J267" s="3"/>
      <c r="K267" s="3"/>
      <c r="O267" s="4"/>
      <c r="R267" s="5" t="str">
        <f t="shared" si="15"/>
        <v/>
      </c>
    </row>
    <row r="268" ht="15.75" customHeight="1">
      <c r="A268" s="35" t="str">
        <f t="shared" si="17"/>
        <v/>
      </c>
      <c r="E268" s="3"/>
      <c r="F268" s="3"/>
      <c r="G268" s="3"/>
      <c r="H268" s="3"/>
      <c r="I268" s="3"/>
      <c r="J268" s="3"/>
      <c r="K268" s="3"/>
      <c r="O268" s="4"/>
      <c r="R268" s="5" t="str">
        <f t="shared" si="15"/>
        <v/>
      </c>
    </row>
    <row r="269" ht="15.75" customHeight="1">
      <c r="A269" s="35" t="str">
        <f t="shared" si="17"/>
        <v/>
      </c>
      <c r="E269" s="3"/>
      <c r="F269" s="3"/>
      <c r="G269" s="3"/>
      <c r="H269" s="3"/>
      <c r="I269" s="3"/>
      <c r="J269" s="3"/>
      <c r="K269" s="3"/>
      <c r="O269" s="4"/>
      <c r="R269" s="5" t="str">
        <f t="shared" si="15"/>
        <v/>
      </c>
    </row>
    <row r="270" ht="15.75" customHeight="1">
      <c r="A270" s="35" t="str">
        <f t="shared" si="17"/>
        <v/>
      </c>
      <c r="E270" s="3"/>
      <c r="F270" s="3"/>
      <c r="G270" s="3"/>
      <c r="H270" s="3"/>
      <c r="I270" s="3"/>
      <c r="J270" s="3"/>
      <c r="K270" s="3"/>
      <c r="O270" s="4"/>
      <c r="R270" s="5" t="str">
        <f t="shared" si="15"/>
        <v/>
      </c>
    </row>
    <row r="271" ht="15.75" customHeight="1">
      <c r="A271" s="35" t="str">
        <f t="shared" si="17"/>
        <v/>
      </c>
      <c r="E271" s="3"/>
      <c r="F271" s="3"/>
      <c r="G271" s="3"/>
      <c r="H271" s="3"/>
      <c r="I271" s="3"/>
      <c r="J271" s="3"/>
      <c r="K271" s="3"/>
      <c r="O271" s="4"/>
      <c r="R271" s="5" t="str">
        <f t="shared" si="15"/>
        <v/>
      </c>
    </row>
    <row r="272" ht="15.75" customHeight="1">
      <c r="A272" s="35" t="str">
        <f t="shared" si="17"/>
        <v/>
      </c>
      <c r="E272" s="3"/>
      <c r="F272" s="3"/>
      <c r="G272" s="3"/>
      <c r="H272" s="3"/>
      <c r="I272" s="3"/>
      <c r="J272" s="3"/>
      <c r="K272" s="3"/>
      <c r="O272" s="4"/>
      <c r="R272" s="5" t="str">
        <f t="shared" si="15"/>
        <v/>
      </c>
    </row>
    <row r="273" ht="15.75" customHeight="1">
      <c r="A273" s="35" t="str">
        <f t="shared" si="17"/>
        <v/>
      </c>
      <c r="E273" s="3"/>
      <c r="F273" s="3"/>
      <c r="G273" s="3"/>
      <c r="H273" s="3"/>
      <c r="I273" s="3"/>
      <c r="J273" s="3"/>
      <c r="K273" s="3"/>
      <c r="O273" s="4"/>
      <c r="R273" s="5" t="str">
        <f t="shared" si="15"/>
        <v/>
      </c>
    </row>
    <row r="274" ht="15.75" customHeight="1">
      <c r="A274" s="35" t="str">
        <f t="shared" si="17"/>
        <v/>
      </c>
      <c r="E274" s="3"/>
      <c r="F274" s="3"/>
      <c r="G274" s="3"/>
      <c r="H274" s="3"/>
      <c r="I274" s="3"/>
      <c r="J274" s="3"/>
      <c r="K274" s="3"/>
      <c r="O274" s="4"/>
      <c r="R274" s="5" t="str">
        <f t="shared" si="15"/>
        <v/>
      </c>
    </row>
    <row r="275" ht="15.75" customHeight="1">
      <c r="A275" s="35" t="str">
        <f t="shared" si="17"/>
        <v/>
      </c>
      <c r="E275" s="3"/>
      <c r="F275" s="3"/>
      <c r="G275" s="3"/>
      <c r="H275" s="3"/>
      <c r="I275" s="3"/>
      <c r="J275" s="3"/>
      <c r="K275" s="3"/>
      <c r="O275" s="4"/>
      <c r="R275" s="5" t="str">
        <f t="shared" si="15"/>
        <v/>
      </c>
    </row>
    <row r="276" ht="15.75" customHeight="1">
      <c r="A276" s="35" t="str">
        <f t="shared" si="17"/>
        <v/>
      </c>
      <c r="E276" s="3"/>
      <c r="F276" s="3"/>
      <c r="G276" s="3"/>
      <c r="H276" s="3"/>
      <c r="I276" s="3"/>
      <c r="J276" s="3"/>
      <c r="K276" s="3"/>
      <c r="O276" s="4"/>
      <c r="R276" s="5" t="str">
        <f t="shared" si="15"/>
        <v/>
      </c>
    </row>
    <row r="277" ht="15.75" customHeight="1">
      <c r="A277" s="35" t="str">
        <f t="shared" si="17"/>
        <v/>
      </c>
      <c r="E277" s="3"/>
      <c r="F277" s="3"/>
      <c r="G277" s="3"/>
      <c r="H277" s="3"/>
      <c r="I277" s="3"/>
      <c r="J277" s="3"/>
      <c r="K277" s="3"/>
      <c r="O277" s="4"/>
      <c r="R277" s="5" t="str">
        <f t="shared" si="15"/>
        <v/>
      </c>
    </row>
    <row r="278" ht="15.75" customHeight="1">
      <c r="A278" s="35" t="str">
        <f t="shared" si="17"/>
        <v/>
      </c>
      <c r="E278" s="3"/>
      <c r="F278" s="3"/>
      <c r="G278" s="3"/>
      <c r="H278" s="3"/>
      <c r="I278" s="3"/>
      <c r="J278" s="3"/>
      <c r="K278" s="3"/>
      <c r="O278" s="4"/>
      <c r="R278" s="5" t="str">
        <f t="shared" si="15"/>
        <v/>
      </c>
    </row>
    <row r="279" ht="15.75" customHeight="1">
      <c r="A279" s="35" t="str">
        <f t="shared" si="17"/>
        <v/>
      </c>
      <c r="E279" s="3"/>
      <c r="F279" s="3"/>
      <c r="G279" s="3"/>
      <c r="H279" s="3"/>
      <c r="I279" s="3"/>
      <c r="J279" s="3"/>
      <c r="K279" s="3"/>
      <c r="O279" s="4"/>
      <c r="R279" s="5" t="str">
        <f t="shared" si="15"/>
        <v/>
      </c>
    </row>
    <row r="280" ht="15.75" customHeight="1">
      <c r="A280" s="35" t="str">
        <f t="shared" si="17"/>
        <v/>
      </c>
      <c r="E280" s="3"/>
      <c r="F280" s="3"/>
      <c r="G280" s="3"/>
      <c r="H280" s="3"/>
      <c r="I280" s="3"/>
      <c r="J280" s="3"/>
      <c r="K280" s="3"/>
      <c r="O280" s="4"/>
      <c r="R280" s="5" t="str">
        <f t="shared" si="15"/>
        <v/>
      </c>
    </row>
    <row r="281" ht="15.75" customHeight="1">
      <c r="A281" s="35" t="str">
        <f t="shared" si="17"/>
        <v/>
      </c>
      <c r="E281" s="3"/>
      <c r="F281" s="3"/>
      <c r="G281" s="3"/>
      <c r="H281" s="3"/>
      <c r="I281" s="3"/>
      <c r="J281" s="3"/>
      <c r="K281" s="3"/>
      <c r="O281" s="4"/>
      <c r="R281" s="5" t="str">
        <f t="shared" si="15"/>
        <v/>
      </c>
    </row>
    <row r="282" ht="15.75" customHeight="1">
      <c r="A282" s="35" t="str">
        <f t="shared" si="17"/>
        <v/>
      </c>
      <c r="E282" s="3"/>
      <c r="F282" s="3"/>
      <c r="G282" s="3"/>
      <c r="H282" s="3"/>
      <c r="I282" s="3"/>
      <c r="J282" s="3"/>
      <c r="K282" s="3"/>
      <c r="O282" s="4"/>
      <c r="R282" s="5" t="str">
        <f t="shared" si="15"/>
        <v/>
      </c>
    </row>
    <row r="283" ht="15.75" customHeight="1">
      <c r="A283" s="35" t="str">
        <f t="shared" si="17"/>
        <v/>
      </c>
      <c r="E283" s="3"/>
      <c r="F283" s="3"/>
      <c r="G283" s="3"/>
      <c r="H283" s="3"/>
      <c r="I283" s="3"/>
      <c r="J283" s="3"/>
      <c r="K283" s="3"/>
      <c r="O283" s="4"/>
      <c r="R283" s="5" t="str">
        <f t="shared" si="15"/>
        <v/>
      </c>
    </row>
    <row r="284" ht="15.75" customHeight="1">
      <c r="A284" s="35" t="str">
        <f t="shared" si="17"/>
        <v/>
      </c>
      <c r="E284" s="3"/>
      <c r="F284" s="3"/>
      <c r="G284" s="3"/>
      <c r="H284" s="3"/>
      <c r="I284" s="3"/>
      <c r="J284" s="3"/>
      <c r="K284" s="3"/>
      <c r="O284" s="4"/>
      <c r="R284" s="5" t="str">
        <f t="shared" si="15"/>
        <v/>
      </c>
    </row>
    <row r="285" ht="15.75" customHeight="1">
      <c r="A285" s="35" t="str">
        <f t="shared" si="17"/>
        <v/>
      </c>
      <c r="E285" s="3"/>
      <c r="F285" s="3"/>
      <c r="G285" s="3"/>
      <c r="H285" s="3"/>
      <c r="I285" s="3"/>
      <c r="J285" s="3"/>
      <c r="K285" s="3"/>
      <c r="O285" s="4"/>
      <c r="R285" s="5" t="str">
        <f t="shared" si="15"/>
        <v/>
      </c>
    </row>
    <row r="286" ht="15.75" customHeight="1">
      <c r="A286" s="35" t="str">
        <f t="shared" si="17"/>
        <v/>
      </c>
      <c r="E286" s="3"/>
      <c r="F286" s="3"/>
      <c r="G286" s="3"/>
      <c r="H286" s="3"/>
      <c r="I286" s="3"/>
      <c r="J286" s="3"/>
      <c r="K286" s="3"/>
      <c r="O286" s="4"/>
      <c r="R286" s="5" t="str">
        <f t="shared" si="15"/>
        <v/>
      </c>
    </row>
    <row r="287" ht="15.75" customHeight="1">
      <c r="A287" s="35" t="str">
        <f t="shared" si="17"/>
        <v/>
      </c>
      <c r="E287" s="3"/>
      <c r="F287" s="3"/>
      <c r="G287" s="3"/>
      <c r="H287" s="3"/>
      <c r="I287" s="3"/>
      <c r="J287" s="3"/>
      <c r="K287" s="3"/>
      <c r="O287" s="4"/>
      <c r="R287" s="5" t="str">
        <f t="shared" si="15"/>
        <v/>
      </c>
    </row>
    <row r="288" ht="15.75" customHeight="1">
      <c r="A288" s="35" t="str">
        <f t="shared" si="17"/>
        <v/>
      </c>
      <c r="E288" s="3"/>
      <c r="F288" s="3"/>
      <c r="G288" s="3"/>
      <c r="H288" s="3"/>
      <c r="I288" s="3"/>
      <c r="J288" s="3"/>
      <c r="K288" s="3"/>
      <c r="O288" s="4"/>
      <c r="R288" s="5" t="str">
        <f t="shared" si="15"/>
        <v/>
      </c>
    </row>
    <row r="289" ht="15.75" customHeight="1">
      <c r="A289" s="35" t="str">
        <f t="shared" si="17"/>
        <v/>
      </c>
      <c r="E289" s="3"/>
      <c r="F289" s="3"/>
      <c r="G289" s="3"/>
      <c r="H289" s="3"/>
      <c r="I289" s="3"/>
      <c r="J289" s="3"/>
      <c r="K289" s="3"/>
      <c r="O289" s="4"/>
      <c r="R289" s="5" t="str">
        <f t="shared" si="15"/>
        <v/>
      </c>
    </row>
    <row r="290" ht="15.75" customHeight="1">
      <c r="A290" s="35" t="str">
        <f t="shared" si="17"/>
        <v/>
      </c>
      <c r="E290" s="3"/>
      <c r="F290" s="3"/>
      <c r="G290" s="3"/>
      <c r="H290" s="3"/>
      <c r="I290" s="3"/>
      <c r="J290" s="3"/>
      <c r="K290" s="3"/>
      <c r="O290" s="4"/>
      <c r="R290" s="5" t="str">
        <f t="shared" si="15"/>
        <v/>
      </c>
    </row>
    <row r="291" ht="15.75" customHeight="1">
      <c r="A291" s="35" t="str">
        <f t="shared" si="17"/>
        <v/>
      </c>
      <c r="E291" s="3"/>
      <c r="F291" s="3"/>
      <c r="G291" s="3"/>
      <c r="H291" s="3"/>
      <c r="I291" s="3"/>
      <c r="J291" s="3"/>
      <c r="K291" s="3"/>
      <c r="O291" s="4"/>
      <c r="R291" s="5" t="str">
        <f t="shared" si="15"/>
        <v/>
      </c>
    </row>
    <row r="292" ht="15.75" customHeight="1">
      <c r="A292" s="35" t="str">
        <f t="shared" si="17"/>
        <v/>
      </c>
      <c r="E292" s="3"/>
      <c r="F292" s="3"/>
      <c r="G292" s="3"/>
      <c r="H292" s="3"/>
      <c r="I292" s="3"/>
      <c r="J292" s="3"/>
      <c r="K292" s="3"/>
      <c r="O292" s="4"/>
      <c r="R292" s="5" t="str">
        <f t="shared" si="15"/>
        <v/>
      </c>
    </row>
    <row r="293" ht="15.75" customHeight="1">
      <c r="A293" s="35" t="str">
        <f t="shared" si="17"/>
        <v/>
      </c>
      <c r="E293" s="3"/>
      <c r="F293" s="3"/>
      <c r="G293" s="3"/>
      <c r="H293" s="3"/>
      <c r="I293" s="3"/>
      <c r="J293" s="3"/>
      <c r="K293" s="3"/>
      <c r="O293" s="4"/>
      <c r="R293" s="5" t="str">
        <f t="shared" si="15"/>
        <v/>
      </c>
    </row>
    <row r="294" ht="15.75" customHeight="1">
      <c r="A294" s="35" t="str">
        <f t="shared" si="17"/>
        <v/>
      </c>
      <c r="E294" s="3"/>
      <c r="F294" s="3"/>
      <c r="G294" s="3"/>
      <c r="H294" s="3"/>
      <c r="I294" s="3"/>
      <c r="J294" s="3"/>
      <c r="K294" s="3"/>
      <c r="O294" s="4"/>
      <c r="R294" s="5" t="str">
        <f t="shared" si="15"/>
        <v/>
      </c>
    </row>
    <row r="295" ht="15.75" customHeight="1">
      <c r="A295" s="35" t="str">
        <f t="shared" si="17"/>
        <v/>
      </c>
      <c r="E295" s="3"/>
      <c r="F295" s="3"/>
      <c r="G295" s="3"/>
      <c r="H295" s="3"/>
      <c r="I295" s="3"/>
      <c r="J295" s="3"/>
      <c r="K295" s="3"/>
      <c r="O295" s="4"/>
      <c r="R295" s="5" t="str">
        <f t="shared" si="15"/>
        <v/>
      </c>
    </row>
    <row r="296" ht="15.75" customHeight="1">
      <c r="A296" s="35" t="str">
        <f t="shared" si="17"/>
        <v/>
      </c>
      <c r="E296" s="3"/>
      <c r="F296" s="3"/>
      <c r="G296" s="3"/>
      <c r="H296" s="3"/>
      <c r="I296" s="3"/>
      <c r="J296" s="3"/>
      <c r="K296" s="3"/>
      <c r="O296" s="4"/>
      <c r="R296" s="5" t="str">
        <f t="shared" si="15"/>
        <v/>
      </c>
    </row>
    <row r="297" ht="15.75" customHeight="1">
      <c r="A297" s="35" t="str">
        <f t="shared" si="17"/>
        <v/>
      </c>
      <c r="E297" s="3"/>
      <c r="F297" s="3"/>
      <c r="G297" s="3"/>
      <c r="H297" s="3"/>
      <c r="I297" s="3"/>
      <c r="J297" s="3"/>
      <c r="K297" s="3"/>
      <c r="O297" s="4"/>
      <c r="R297" s="5" t="str">
        <f t="shared" si="15"/>
        <v/>
      </c>
    </row>
    <row r="298" ht="15.75" customHeight="1">
      <c r="A298" s="35" t="str">
        <f t="shared" si="17"/>
        <v/>
      </c>
      <c r="E298" s="3"/>
      <c r="F298" s="3"/>
      <c r="G298" s="3"/>
      <c r="H298" s="3"/>
      <c r="I298" s="3"/>
      <c r="J298" s="3"/>
      <c r="K298" s="3"/>
      <c r="O298" s="4"/>
      <c r="R298" s="5" t="str">
        <f t="shared" si="15"/>
        <v/>
      </c>
    </row>
    <row r="299" ht="15.75" customHeight="1">
      <c r="A299" s="35" t="str">
        <f t="shared" si="17"/>
        <v/>
      </c>
      <c r="E299" s="3"/>
      <c r="F299" s="3"/>
      <c r="G299" s="3"/>
      <c r="H299" s="3"/>
      <c r="I299" s="3"/>
      <c r="J299" s="3"/>
      <c r="K299" s="3"/>
      <c r="O299" s="4"/>
      <c r="R299" s="5" t="str">
        <f t="shared" si="15"/>
        <v/>
      </c>
    </row>
    <row r="300" ht="15.75" customHeight="1">
      <c r="A300" s="35" t="str">
        <f t="shared" si="17"/>
        <v/>
      </c>
      <c r="E300" s="3"/>
      <c r="F300" s="3"/>
      <c r="G300" s="3"/>
      <c r="H300" s="3"/>
      <c r="I300" s="3"/>
      <c r="J300" s="3"/>
      <c r="K300" s="3"/>
      <c r="O300" s="4"/>
      <c r="R300" s="5" t="str">
        <f t="shared" si="15"/>
        <v/>
      </c>
    </row>
    <row r="301" ht="15.75" customHeight="1">
      <c r="A301" s="35" t="str">
        <f t="shared" si="17"/>
        <v/>
      </c>
      <c r="E301" s="3"/>
      <c r="F301" s="3"/>
      <c r="G301" s="3"/>
      <c r="H301" s="3"/>
      <c r="I301" s="3"/>
      <c r="J301" s="3"/>
      <c r="K301" s="3"/>
      <c r="O301" s="4"/>
      <c r="R301" s="5" t="str">
        <f t="shared" si="15"/>
        <v/>
      </c>
    </row>
    <row r="302" ht="15.75" customHeight="1">
      <c r="A302" s="35" t="str">
        <f t="shared" si="17"/>
        <v/>
      </c>
      <c r="E302" s="3"/>
      <c r="F302" s="3"/>
      <c r="G302" s="3"/>
      <c r="H302" s="3"/>
      <c r="I302" s="3"/>
      <c r="J302" s="3"/>
      <c r="K302" s="3"/>
      <c r="O302" s="4"/>
      <c r="R302" s="5" t="str">
        <f t="shared" si="15"/>
        <v/>
      </c>
    </row>
    <row r="303" ht="15.75" customHeight="1">
      <c r="A303" s="35" t="str">
        <f t="shared" si="17"/>
        <v/>
      </c>
      <c r="E303" s="3"/>
      <c r="F303" s="3"/>
      <c r="G303" s="3"/>
      <c r="H303" s="3"/>
      <c r="I303" s="3"/>
      <c r="J303" s="3"/>
      <c r="K303" s="3"/>
      <c r="O303" s="4"/>
      <c r="R303" s="5" t="str">
        <f t="shared" si="15"/>
        <v/>
      </c>
    </row>
    <row r="304" ht="15.75" customHeight="1">
      <c r="A304" s="35" t="str">
        <f t="shared" si="17"/>
        <v/>
      </c>
      <c r="E304" s="3"/>
      <c r="F304" s="3"/>
      <c r="G304" s="3"/>
      <c r="H304" s="3"/>
      <c r="I304" s="3"/>
      <c r="J304" s="3"/>
      <c r="K304" s="3"/>
      <c r="O304" s="4"/>
      <c r="R304" s="5" t="str">
        <f t="shared" si="15"/>
        <v/>
      </c>
    </row>
    <row r="305" ht="15.75" customHeight="1">
      <c r="A305" s="35" t="str">
        <f t="shared" si="17"/>
        <v/>
      </c>
      <c r="E305" s="3"/>
      <c r="F305" s="3"/>
      <c r="G305" s="3"/>
      <c r="H305" s="3"/>
      <c r="I305" s="3"/>
      <c r="J305" s="3"/>
      <c r="K305" s="3"/>
      <c r="O305" s="4"/>
      <c r="R305" s="5" t="str">
        <f t="shared" si="15"/>
        <v/>
      </c>
    </row>
    <row r="306" ht="15.75" customHeight="1">
      <c r="A306" s="35" t="str">
        <f t="shared" si="17"/>
        <v/>
      </c>
      <c r="E306" s="3"/>
      <c r="F306" s="3"/>
      <c r="G306" s="3"/>
      <c r="H306" s="3"/>
      <c r="I306" s="3"/>
      <c r="J306" s="3"/>
      <c r="K306" s="3"/>
      <c r="O306" s="4"/>
      <c r="R306" s="5" t="str">
        <f t="shared" si="15"/>
        <v/>
      </c>
    </row>
    <row r="307" ht="15.75" customHeight="1">
      <c r="A307" s="35" t="str">
        <f t="shared" si="17"/>
        <v/>
      </c>
      <c r="E307" s="3"/>
      <c r="F307" s="3"/>
      <c r="G307" s="3"/>
      <c r="H307" s="3"/>
      <c r="I307" s="3"/>
      <c r="J307" s="3"/>
      <c r="K307" s="3"/>
      <c r="O307" s="4"/>
      <c r="R307" s="5"/>
    </row>
    <row r="308" ht="15.75" customHeight="1">
      <c r="A308" s="35" t="str">
        <f t="shared" si="17"/>
        <v/>
      </c>
      <c r="E308" s="3"/>
      <c r="F308" s="3"/>
      <c r="G308" s="3"/>
      <c r="H308" s="3"/>
      <c r="I308" s="3"/>
      <c r="J308" s="3"/>
      <c r="K308" s="3"/>
      <c r="O308" s="4"/>
      <c r="R308" s="5"/>
    </row>
    <row r="309" ht="15.75" customHeight="1">
      <c r="A309" s="35" t="str">
        <f t="shared" si="17"/>
        <v/>
      </c>
      <c r="E309" s="3"/>
      <c r="F309" s="3"/>
      <c r="G309" s="3"/>
      <c r="H309" s="3"/>
      <c r="I309" s="3"/>
      <c r="J309" s="3"/>
      <c r="K309" s="3"/>
      <c r="O309" s="4"/>
      <c r="R309" s="5"/>
    </row>
    <row r="310" ht="15.75" customHeight="1">
      <c r="A310" s="35" t="str">
        <f t="shared" si="17"/>
        <v/>
      </c>
      <c r="E310" s="3"/>
      <c r="F310" s="3"/>
      <c r="G310" s="3"/>
      <c r="H310" s="3"/>
      <c r="I310" s="3"/>
      <c r="J310" s="3"/>
      <c r="K310" s="3"/>
      <c r="O310" s="4"/>
      <c r="R310" s="5"/>
    </row>
    <row r="311" ht="15.75" customHeight="1">
      <c r="A311" s="35" t="str">
        <f t="shared" si="17"/>
        <v/>
      </c>
      <c r="E311" s="3"/>
      <c r="F311" s="3"/>
      <c r="G311" s="3"/>
      <c r="H311" s="3"/>
      <c r="I311" s="3"/>
      <c r="J311" s="3"/>
      <c r="K311" s="3"/>
      <c r="O311" s="4"/>
      <c r="R311" s="5"/>
    </row>
    <row r="312" ht="15.75" customHeight="1">
      <c r="A312" s="35" t="str">
        <f t="shared" si="17"/>
        <v/>
      </c>
      <c r="E312" s="3"/>
      <c r="F312" s="3"/>
      <c r="G312" s="3"/>
      <c r="H312" s="3"/>
      <c r="I312" s="3"/>
      <c r="J312" s="3"/>
      <c r="K312" s="3"/>
      <c r="O312" s="4"/>
      <c r="R312" s="5"/>
    </row>
    <row r="313" ht="15.75" customHeight="1">
      <c r="A313" s="35" t="str">
        <f t="shared" si="17"/>
        <v/>
      </c>
      <c r="E313" s="3"/>
      <c r="F313" s="3"/>
      <c r="G313" s="3"/>
      <c r="H313" s="3"/>
      <c r="I313" s="3"/>
      <c r="J313" s="3"/>
      <c r="K313" s="3"/>
      <c r="O313" s="4"/>
      <c r="R313" s="5"/>
    </row>
    <row r="314" ht="15.75" customHeight="1">
      <c r="A314" s="35" t="str">
        <f t="shared" si="17"/>
        <v/>
      </c>
      <c r="E314" s="3"/>
      <c r="F314" s="3"/>
      <c r="G314" s="3"/>
      <c r="H314" s="3"/>
      <c r="I314" s="3"/>
      <c r="J314" s="3"/>
      <c r="K314" s="3"/>
      <c r="O314" s="4"/>
      <c r="R314" s="5"/>
    </row>
    <row r="315" ht="15.75" customHeight="1">
      <c r="A315" s="35" t="str">
        <f t="shared" si="17"/>
        <v/>
      </c>
      <c r="E315" s="3"/>
      <c r="F315" s="3"/>
      <c r="G315" s="3"/>
      <c r="H315" s="3"/>
      <c r="I315" s="3"/>
      <c r="J315" s="3"/>
      <c r="K315" s="3"/>
      <c r="O315" s="4"/>
      <c r="R315" s="5"/>
    </row>
    <row r="316" ht="15.75" customHeight="1">
      <c r="A316" s="35" t="str">
        <f t="shared" si="17"/>
        <v/>
      </c>
      <c r="E316" s="3"/>
      <c r="F316" s="3"/>
      <c r="G316" s="3"/>
      <c r="H316" s="3"/>
      <c r="I316" s="3"/>
      <c r="J316" s="3"/>
      <c r="K316" s="3"/>
      <c r="O316" s="4"/>
      <c r="R316" s="5"/>
    </row>
    <row r="317" ht="15.75" customHeight="1">
      <c r="A317" s="35" t="str">
        <f t="shared" si="17"/>
        <v/>
      </c>
      <c r="E317" s="3"/>
      <c r="F317" s="3"/>
      <c r="G317" s="3"/>
      <c r="H317" s="3"/>
      <c r="I317" s="3"/>
      <c r="J317" s="3"/>
      <c r="K317" s="3"/>
      <c r="O317" s="4"/>
      <c r="R317" s="5"/>
    </row>
    <row r="318" ht="15.75" customHeight="1">
      <c r="A318" s="35" t="str">
        <f t="shared" si="17"/>
        <v/>
      </c>
      <c r="E318" s="3"/>
      <c r="F318" s="3"/>
      <c r="G318" s="3"/>
      <c r="H318" s="3"/>
      <c r="I318" s="3"/>
      <c r="J318" s="3"/>
      <c r="K318" s="3"/>
      <c r="O318" s="4"/>
      <c r="R318" s="5"/>
    </row>
    <row r="319" ht="15.75" customHeight="1">
      <c r="A319" s="35" t="str">
        <f t="shared" si="17"/>
        <v/>
      </c>
      <c r="E319" s="3"/>
      <c r="F319" s="3"/>
      <c r="G319" s="3"/>
      <c r="H319" s="3"/>
      <c r="I319" s="3"/>
      <c r="J319" s="3"/>
      <c r="K319" s="3"/>
      <c r="O319" s="4"/>
      <c r="R319" s="5"/>
    </row>
    <row r="320" ht="15.75" customHeight="1">
      <c r="A320" s="35" t="str">
        <f t="shared" si="17"/>
        <v/>
      </c>
      <c r="E320" s="3"/>
      <c r="F320" s="3"/>
      <c r="G320" s="3"/>
      <c r="H320" s="3"/>
      <c r="I320" s="3"/>
      <c r="J320" s="3"/>
      <c r="K320" s="3"/>
      <c r="O320" s="4"/>
      <c r="R320" s="5"/>
    </row>
    <row r="321" ht="15.75" customHeight="1">
      <c r="A321" s="35" t="str">
        <f t="shared" si="17"/>
        <v/>
      </c>
      <c r="E321" s="3"/>
      <c r="F321" s="3"/>
      <c r="G321" s="3"/>
      <c r="H321" s="3"/>
      <c r="I321" s="3"/>
      <c r="J321" s="3"/>
      <c r="K321" s="3"/>
      <c r="O321" s="4"/>
      <c r="R321" s="5"/>
    </row>
    <row r="322" ht="15.75" customHeight="1">
      <c r="A322" s="35" t="str">
        <f t="shared" si="17"/>
        <v/>
      </c>
      <c r="E322" s="3"/>
      <c r="F322" s="3"/>
      <c r="G322" s="3"/>
      <c r="H322" s="3"/>
      <c r="I322" s="3"/>
      <c r="J322" s="3"/>
      <c r="K322" s="3"/>
      <c r="O322" s="4"/>
      <c r="R322" s="5"/>
    </row>
    <row r="323" ht="15.75" customHeight="1">
      <c r="A323" s="35" t="str">
        <f t="shared" si="17"/>
        <v/>
      </c>
      <c r="E323" s="3"/>
      <c r="F323" s="3"/>
      <c r="G323" s="3"/>
      <c r="H323" s="3"/>
      <c r="I323" s="3"/>
      <c r="J323" s="3"/>
      <c r="K323" s="3"/>
      <c r="O323" s="4"/>
      <c r="R323" s="5"/>
    </row>
    <row r="324" ht="15.75" customHeight="1">
      <c r="A324" s="35" t="str">
        <f t="shared" si="17"/>
        <v/>
      </c>
      <c r="E324" s="3"/>
      <c r="F324" s="3"/>
      <c r="G324" s="3"/>
      <c r="H324" s="3"/>
      <c r="I324" s="3"/>
      <c r="J324" s="3"/>
      <c r="K324" s="3"/>
      <c r="O324" s="4"/>
      <c r="R324" s="5"/>
    </row>
    <row r="325" ht="15.75" customHeight="1">
      <c r="A325" s="35" t="str">
        <f t="shared" si="17"/>
        <v/>
      </c>
      <c r="E325" s="3"/>
      <c r="F325" s="3"/>
      <c r="G325" s="3"/>
      <c r="H325" s="3"/>
      <c r="I325" s="3"/>
      <c r="J325" s="3"/>
      <c r="K325" s="3"/>
      <c r="O325" s="4"/>
      <c r="R325" s="5"/>
    </row>
    <row r="326" ht="15.75" customHeight="1">
      <c r="A326" s="35" t="str">
        <f t="shared" si="17"/>
        <v/>
      </c>
      <c r="E326" s="3"/>
      <c r="F326" s="3"/>
      <c r="G326" s="3"/>
      <c r="H326" s="3"/>
      <c r="I326" s="3"/>
      <c r="J326" s="3"/>
      <c r="K326" s="3"/>
      <c r="O326" s="4"/>
      <c r="R326" s="5"/>
    </row>
    <row r="327" ht="15.75" customHeight="1">
      <c r="A327" s="35" t="str">
        <f t="shared" si="17"/>
        <v/>
      </c>
      <c r="E327" s="3"/>
      <c r="F327" s="3"/>
      <c r="G327" s="3"/>
      <c r="H327" s="3"/>
      <c r="I327" s="3"/>
      <c r="J327" s="3"/>
      <c r="K327" s="3"/>
      <c r="O327" s="4"/>
      <c r="R327" s="5"/>
    </row>
    <row r="328" ht="15.75" customHeight="1">
      <c r="A328" s="35" t="str">
        <f t="shared" si="17"/>
        <v/>
      </c>
      <c r="E328" s="3"/>
      <c r="F328" s="3"/>
      <c r="G328" s="3"/>
      <c r="H328" s="3"/>
      <c r="I328" s="3"/>
      <c r="J328" s="3"/>
      <c r="K328" s="3"/>
      <c r="O328" s="4"/>
      <c r="R328" s="5"/>
    </row>
    <row r="329" ht="15.75" customHeight="1">
      <c r="A329" s="35" t="str">
        <f t="shared" si="17"/>
        <v/>
      </c>
      <c r="E329" s="3"/>
      <c r="F329" s="3"/>
      <c r="G329" s="3"/>
      <c r="H329" s="3"/>
      <c r="I329" s="3"/>
      <c r="J329" s="3"/>
      <c r="K329" s="3"/>
      <c r="O329" s="4"/>
      <c r="R329" s="5"/>
    </row>
    <row r="330" ht="15.75" customHeight="1">
      <c r="A330" s="35" t="str">
        <f t="shared" si="17"/>
        <v/>
      </c>
      <c r="E330" s="3"/>
      <c r="F330" s="3"/>
      <c r="G330" s="3"/>
      <c r="H330" s="3"/>
      <c r="I330" s="3"/>
      <c r="J330" s="3"/>
      <c r="K330" s="3"/>
      <c r="O330" s="4"/>
      <c r="R330" s="5"/>
    </row>
    <row r="331" ht="15.75" customHeight="1">
      <c r="A331" s="35" t="str">
        <f t="shared" si="17"/>
        <v/>
      </c>
      <c r="E331" s="3"/>
      <c r="F331" s="3"/>
      <c r="G331" s="3"/>
      <c r="H331" s="3"/>
      <c r="I331" s="3"/>
      <c r="J331" s="3"/>
      <c r="K331" s="3"/>
      <c r="O331" s="4"/>
      <c r="R331" s="5"/>
    </row>
    <row r="332" ht="15.75" customHeight="1">
      <c r="A332" s="35" t="str">
        <f t="shared" si="17"/>
        <v/>
      </c>
      <c r="E332" s="3"/>
      <c r="F332" s="3"/>
      <c r="G332" s="3"/>
      <c r="H332" s="3"/>
      <c r="I332" s="3"/>
      <c r="J332" s="3"/>
      <c r="K332" s="3"/>
      <c r="O332" s="4"/>
      <c r="R332" s="5"/>
    </row>
    <row r="333" ht="15.75" customHeight="1">
      <c r="A333" s="35" t="str">
        <f t="shared" si="17"/>
        <v/>
      </c>
      <c r="E333" s="3"/>
      <c r="F333" s="3"/>
      <c r="G333" s="3"/>
      <c r="H333" s="3"/>
      <c r="I333" s="3"/>
      <c r="J333" s="3"/>
      <c r="K333" s="3"/>
      <c r="O333" s="4"/>
      <c r="R333" s="5"/>
    </row>
    <row r="334" ht="15.75" customHeight="1">
      <c r="A334" s="35" t="str">
        <f t="shared" si="17"/>
        <v/>
      </c>
      <c r="E334" s="3"/>
      <c r="F334" s="3"/>
      <c r="G334" s="3"/>
      <c r="H334" s="3"/>
      <c r="I334" s="3"/>
      <c r="J334" s="3"/>
      <c r="K334" s="3"/>
      <c r="O334" s="4"/>
      <c r="R334" s="5"/>
    </row>
    <row r="335" ht="15.75" customHeight="1">
      <c r="A335" s="35" t="str">
        <f t="shared" si="17"/>
        <v/>
      </c>
      <c r="E335" s="3"/>
      <c r="F335" s="3"/>
      <c r="G335" s="3"/>
      <c r="H335" s="3"/>
      <c r="I335" s="3"/>
      <c r="J335" s="3"/>
      <c r="K335" s="3"/>
      <c r="O335" s="4"/>
      <c r="R335" s="5"/>
    </row>
    <row r="336" ht="15.75" customHeight="1">
      <c r="A336" s="35" t="str">
        <f t="shared" si="17"/>
        <v/>
      </c>
      <c r="E336" s="3"/>
      <c r="F336" s="3"/>
      <c r="G336" s="3"/>
      <c r="H336" s="3"/>
      <c r="I336" s="3"/>
      <c r="J336" s="3"/>
      <c r="K336" s="3"/>
      <c r="O336" s="4"/>
      <c r="R336" s="5"/>
    </row>
    <row r="337" ht="15.75" customHeight="1">
      <c r="A337" s="35" t="str">
        <f t="shared" si="17"/>
        <v/>
      </c>
      <c r="E337" s="3"/>
      <c r="F337" s="3"/>
      <c r="G337" s="3"/>
      <c r="H337" s="3"/>
      <c r="I337" s="3"/>
      <c r="J337" s="3"/>
      <c r="K337" s="3"/>
      <c r="O337" s="4"/>
      <c r="R337" s="5"/>
    </row>
    <row r="338" ht="15.75" customHeight="1">
      <c r="A338" s="35" t="str">
        <f t="shared" si="17"/>
        <v/>
      </c>
      <c r="E338" s="3"/>
      <c r="F338" s="3"/>
      <c r="G338" s="3"/>
      <c r="H338" s="3"/>
      <c r="I338" s="3"/>
      <c r="J338" s="3"/>
      <c r="K338" s="3"/>
      <c r="O338" s="4"/>
      <c r="R338" s="5"/>
    </row>
    <row r="339" ht="15.75" customHeight="1">
      <c r="A339" s="35" t="str">
        <f t="shared" si="17"/>
        <v/>
      </c>
      <c r="E339" s="3"/>
      <c r="F339" s="3"/>
      <c r="G339" s="3"/>
      <c r="H339" s="3"/>
      <c r="I339" s="3"/>
      <c r="J339" s="3"/>
      <c r="K339" s="3"/>
      <c r="O339" s="4"/>
      <c r="R339" s="5"/>
    </row>
    <row r="340" ht="15.75" customHeight="1">
      <c r="A340" s="35" t="str">
        <f t="shared" si="17"/>
        <v/>
      </c>
      <c r="E340" s="3"/>
      <c r="F340" s="3"/>
      <c r="G340" s="3"/>
      <c r="H340" s="3"/>
      <c r="I340" s="3"/>
      <c r="J340" s="3"/>
      <c r="K340" s="3"/>
      <c r="O340" s="4"/>
      <c r="R340" s="5"/>
    </row>
    <row r="341" ht="15.75" customHeight="1">
      <c r="A341" s="35" t="str">
        <f t="shared" si="17"/>
        <v/>
      </c>
      <c r="E341" s="3"/>
      <c r="F341" s="3"/>
      <c r="G341" s="3"/>
      <c r="H341" s="3"/>
      <c r="I341" s="3"/>
      <c r="J341" s="3"/>
      <c r="K341" s="3"/>
      <c r="O341" s="4"/>
      <c r="R341" s="5"/>
    </row>
    <row r="342" ht="15.75" customHeight="1">
      <c r="A342" s="35" t="str">
        <f t="shared" si="17"/>
        <v/>
      </c>
      <c r="E342" s="3"/>
      <c r="F342" s="3"/>
      <c r="G342" s="3"/>
      <c r="H342" s="3"/>
      <c r="I342" s="3"/>
      <c r="J342" s="3"/>
      <c r="K342" s="3"/>
      <c r="O342" s="4"/>
      <c r="R342" s="5"/>
    </row>
    <row r="343" ht="15.75" customHeight="1">
      <c r="A343" s="35" t="str">
        <f t="shared" si="17"/>
        <v/>
      </c>
      <c r="E343" s="3"/>
      <c r="F343" s="3"/>
      <c r="G343" s="3"/>
      <c r="H343" s="3"/>
      <c r="I343" s="3"/>
      <c r="J343" s="3"/>
      <c r="K343" s="3"/>
      <c r="O343" s="4"/>
      <c r="R343" s="5"/>
    </row>
    <row r="344" ht="15.75" customHeight="1">
      <c r="A344" s="35" t="str">
        <f t="shared" si="17"/>
        <v/>
      </c>
      <c r="E344" s="3"/>
      <c r="F344" s="3"/>
      <c r="G344" s="3"/>
      <c r="H344" s="3"/>
      <c r="I344" s="3"/>
      <c r="J344" s="3"/>
      <c r="K344" s="3"/>
      <c r="O344" s="4"/>
      <c r="R344" s="5"/>
    </row>
    <row r="345" ht="15.75" customHeight="1">
      <c r="A345" s="35" t="str">
        <f t="shared" si="17"/>
        <v/>
      </c>
      <c r="E345" s="3"/>
      <c r="F345" s="3"/>
      <c r="G345" s="3"/>
      <c r="H345" s="3"/>
      <c r="I345" s="3"/>
      <c r="J345" s="3"/>
      <c r="K345" s="3"/>
      <c r="O345" s="4"/>
      <c r="R345" s="5"/>
    </row>
    <row r="346" ht="15.75" customHeight="1">
      <c r="A346" s="35" t="str">
        <f t="shared" si="17"/>
        <v/>
      </c>
      <c r="E346" s="3"/>
      <c r="F346" s="3"/>
      <c r="G346" s="3"/>
      <c r="H346" s="3"/>
      <c r="I346" s="3"/>
      <c r="J346" s="3"/>
      <c r="K346" s="3"/>
      <c r="O346" s="4"/>
      <c r="R346" s="5"/>
    </row>
    <row r="347" ht="15.75" customHeight="1">
      <c r="A347" s="35" t="str">
        <f t="shared" si="17"/>
        <v/>
      </c>
      <c r="E347" s="3"/>
      <c r="F347" s="3"/>
      <c r="G347" s="3"/>
      <c r="H347" s="3"/>
      <c r="I347" s="3"/>
      <c r="J347" s="3"/>
      <c r="K347" s="3"/>
      <c r="O347" s="4"/>
      <c r="R347" s="5"/>
    </row>
    <row r="348" ht="15.75" customHeight="1">
      <c r="A348" s="35" t="str">
        <f t="shared" si="17"/>
        <v/>
      </c>
      <c r="E348" s="3"/>
      <c r="F348" s="3"/>
      <c r="G348" s="3"/>
      <c r="H348" s="3"/>
      <c r="I348" s="3"/>
      <c r="J348" s="3"/>
      <c r="K348" s="3"/>
      <c r="O348" s="4"/>
      <c r="R348" s="5"/>
    </row>
    <row r="349" ht="15.75" customHeight="1">
      <c r="A349" s="35" t="str">
        <f t="shared" si="17"/>
        <v/>
      </c>
      <c r="E349" s="3"/>
      <c r="F349" s="3"/>
      <c r="G349" s="3"/>
      <c r="H349" s="3"/>
      <c r="I349" s="3"/>
      <c r="J349" s="3"/>
      <c r="K349" s="3"/>
      <c r="O349" s="4"/>
      <c r="R349" s="5"/>
    </row>
    <row r="350" ht="15.75" customHeight="1">
      <c r="A350" s="35" t="str">
        <f t="shared" si="17"/>
        <v/>
      </c>
      <c r="E350" s="3"/>
      <c r="F350" s="3"/>
      <c r="G350" s="3"/>
      <c r="H350" s="3"/>
      <c r="I350" s="3"/>
      <c r="J350" s="3"/>
      <c r="K350" s="3"/>
      <c r="O350" s="4"/>
      <c r="R350" s="5"/>
    </row>
    <row r="351" ht="15.75" customHeight="1">
      <c r="A351" s="35" t="str">
        <f t="shared" si="17"/>
        <v/>
      </c>
      <c r="E351" s="3"/>
      <c r="F351" s="3"/>
      <c r="G351" s="3"/>
      <c r="H351" s="3"/>
      <c r="I351" s="3"/>
      <c r="J351" s="3"/>
      <c r="K351" s="3"/>
      <c r="O351" s="4"/>
      <c r="R351" s="5"/>
    </row>
    <row r="352" ht="15.75" customHeight="1">
      <c r="A352" s="35" t="str">
        <f t="shared" si="17"/>
        <v/>
      </c>
      <c r="E352" s="3"/>
      <c r="F352" s="3"/>
      <c r="G352" s="3"/>
      <c r="H352" s="3"/>
      <c r="I352" s="3"/>
      <c r="J352" s="3"/>
      <c r="K352" s="3"/>
      <c r="O352" s="4"/>
      <c r="R352" s="5"/>
    </row>
    <row r="353" ht="15.75" customHeight="1">
      <c r="A353" s="35" t="str">
        <f t="shared" si="17"/>
        <v/>
      </c>
      <c r="E353" s="3"/>
      <c r="F353" s="3"/>
      <c r="G353" s="3"/>
      <c r="H353" s="3"/>
      <c r="I353" s="3"/>
      <c r="J353" s="3"/>
      <c r="K353" s="3"/>
      <c r="O353" s="4"/>
      <c r="R353" s="5"/>
    </row>
    <row r="354" ht="15.75" customHeight="1">
      <c r="A354" s="35" t="str">
        <f t="shared" si="17"/>
        <v/>
      </c>
      <c r="E354" s="3"/>
      <c r="F354" s="3"/>
      <c r="G354" s="3"/>
      <c r="H354" s="3"/>
      <c r="I354" s="3"/>
      <c r="J354" s="3"/>
      <c r="K354" s="3"/>
      <c r="O354" s="4"/>
      <c r="R354" s="5"/>
    </row>
    <row r="355" ht="15.75" customHeight="1">
      <c r="A355" s="35" t="str">
        <f t="shared" si="17"/>
        <v/>
      </c>
      <c r="E355" s="3"/>
      <c r="F355" s="3"/>
      <c r="G355" s="3"/>
      <c r="H355" s="3"/>
      <c r="I355" s="3"/>
      <c r="J355" s="3"/>
      <c r="K355" s="3"/>
      <c r="O355" s="4"/>
      <c r="R355" s="5"/>
    </row>
    <row r="356" ht="15.75" customHeight="1">
      <c r="A356" s="35" t="str">
        <f t="shared" si="17"/>
        <v/>
      </c>
      <c r="E356" s="3"/>
      <c r="F356" s="3"/>
      <c r="G356" s="3"/>
      <c r="H356" s="3"/>
      <c r="I356" s="3"/>
      <c r="J356" s="3"/>
      <c r="K356" s="3"/>
      <c r="O356" s="4"/>
      <c r="R356" s="5"/>
    </row>
    <row r="357" ht="15.75" customHeight="1">
      <c r="A357" s="35" t="str">
        <f t="shared" si="17"/>
        <v/>
      </c>
      <c r="E357" s="3"/>
      <c r="F357" s="3"/>
      <c r="G357" s="3"/>
      <c r="H357" s="3"/>
      <c r="I357" s="3"/>
      <c r="J357" s="3"/>
      <c r="K357" s="3"/>
      <c r="O357" s="4"/>
      <c r="R357" s="5"/>
    </row>
    <row r="358" ht="15.75" customHeight="1">
      <c r="A358" s="35" t="str">
        <f t="shared" si="17"/>
        <v/>
      </c>
      <c r="E358" s="3"/>
      <c r="F358" s="3"/>
      <c r="G358" s="3"/>
      <c r="H358" s="3"/>
      <c r="I358" s="3"/>
      <c r="J358" s="3"/>
      <c r="K358" s="3"/>
      <c r="O358" s="4"/>
      <c r="R358" s="5"/>
    </row>
    <row r="359" ht="15.75" customHeight="1">
      <c r="A359" s="35" t="str">
        <f t="shared" si="17"/>
        <v/>
      </c>
      <c r="E359" s="3"/>
      <c r="F359" s="3"/>
      <c r="G359" s="3"/>
      <c r="H359" s="3"/>
      <c r="I359" s="3"/>
      <c r="J359" s="3"/>
      <c r="K359" s="3"/>
      <c r="O359" s="4"/>
      <c r="R359" s="5"/>
    </row>
    <row r="360" ht="15.75" customHeight="1">
      <c r="A360" s="35" t="str">
        <f t="shared" si="17"/>
        <v/>
      </c>
      <c r="E360" s="3"/>
      <c r="F360" s="3"/>
      <c r="G360" s="3"/>
      <c r="H360" s="3"/>
      <c r="I360" s="3"/>
      <c r="J360" s="3"/>
      <c r="K360" s="3"/>
      <c r="O360" s="4"/>
      <c r="R360" s="5"/>
    </row>
    <row r="361" ht="15.75" customHeight="1">
      <c r="A361" s="35" t="str">
        <f t="shared" si="17"/>
        <v/>
      </c>
      <c r="E361" s="3"/>
      <c r="F361" s="3"/>
      <c r="G361" s="3"/>
      <c r="H361" s="3"/>
      <c r="I361" s="3"/>
      <c r="J361" s="3"/>
      <c r="K361" s="3"/>
      <c r="O361" s="4"/>
      <c r="R361" s="5"/>
    </row>
    <row r="362" ht="15.75" customHeight="1">
      <c r="A362" s="35" t="str">
        <f t="shared" si="17"/>
        <v/>
      </c>
      <c r="E362" s="3"/>
      <c r="F362" s="3"/>
      <c r="G362" s="3"/>
      <c r="H362" s="3"/>
      <c r="I362" s="3"/>
      <c r="J362" s="3"/>
      <c r="K362" s="3"/>
      <c r="O362" s="4"/>
      <c r="R362" s="5"/>
    </row>
    <row r="363" ht="15.75" customHeight="1">
      <c r="A363" s="35" t="str">
        <f t="shared" si="17"/>
        <v/>
      </c>
      <c r="E363" s="3"/>
      <c r="F363" s="3"/>
      <c r="G363" s="3"/>
      <c r="H363" s="3"/>
      <c r="I363" s="3"/>
      <c r="J363" s="3"/>
      <c r="K363" s="3"/>
      <c r="O363" s="4"/>
      <c r="R363" s="5"/>
    </row>
    <row r="364" ht="15.75" customHeight="1">
      <c r="A364" s="35" t="str">
        <f t="shared" si="17"/>
        <v/>
      </c>
      <c r="E364" s="3"/>
      <c r="F364" s="3"/>
      <c r="G364" s="3"/>
      <c r="H364" s="3"/>
      <c r="I364" s="3"/>
      <c r="J364" s="3"/>
      <c r="K364" s="3"/>
      <c r="O364" s="4"/>
      <c r="R364" s="5"/>
    </row>
    <row r="365" ht="15.75" customHeight="1">
      <c r="A365" s="35" t="str">
        <f t="shared" si="17"/>
        <v/>
      </c>
      <c r="E365" s="3"/>
      <c r="F365" s="3"/>
      <c r="G365" s="3"/>
      <c r="H365" s="3"/>
      <c r="I365" s="3"/>
      <c r="J365" s="3"/>
      <c r="K365" s="3"/>
      <c r="O365" s="4"/>
      <c r="R365" s="5"/>
    </row>
    <row r="366" ht="15.75" customHeight="1">
      <c r="A366" s="35" t="str">
        <f t="shared" si="17"/>
        <v/>
      </c>
      <c r="E366" s="3"/>
      <c r="F366" s="3"/>
      <c r="G366" s="3"/>
      <c r="H366" s="3"/>
      <c r="I366" s="3"/>
      <c r="J366" s="3"/>
      <c r="K366" s="3"/>
      <c r="O366" s="4"/>
      <c r="R366" s="5"/>
    </row>
    <row r="367" ht="15.75" customHeight="1">
      <c r="A367" s="35" t="str">
        <f t="shared" si="17"/>
        <v/>
      </c>
      <c r="E367" s="3"/>
      <c r="F367" s="3"/>
      <c r="G367" s="3"/>
      <c r="H367" s="3"/>
      <c r="I367" s="3"/>
      <c r="J367" s="3"/>
      <c r="K367" s="3"/>
      <c r="O367" s="4"/>
      <c r="R367" s="5"/>
    </row>
    <row r="368" ht="15.75" customHeight="1">
      <c r="A368" s="35" t="str">
        <f t="shared" si="17"/>
        <v/>
      </c>
      <c r="E368" s="3"/>
      <c r="F368" s="3"/>
      <c r="G368" s="3"/>
      <c r="H368" s="3"/>
      <c r="I368" s="3"/>
      <c r="J368" s="3"/>
      <c r="K368" s="3"/>
      <c r="O368" s="4"/>
      <c r="R368" s="5"/>
    </row>
    <row r="369" ht="15.75" customHeight="1">
      <c r="A369" s="35" t="str">
        <f t="shared" si="17"/>
        <v/>
      </c>
      <c r="E369" s="3"/>
      <c r="F369" s="3"/>
      <c r="G369" s="3"/>
      <c r="H369" s="3"/>
      <c r="I369" s="3"/>
      <c r="J369" s="3"/>
      <c r="K369" s="3"/>
      <c r="O369" s="4"/>
      <c r="R369" s="5"/>
    </row>
    <row r="370" ht="15.75" customHeight="1">
      <c r="A370" s="35" t="str">
        <f t="shared" si="17"/>
        <v/>
      </c>
      <c r="E370" s="3"/>
      <c r="F370" s="3"/>
      <c r="G370" s="3"/>
      <c r="H370" s="3"/>
      <c r="I370" s="3"/>
      <c r="J370" s="3"/>
      <c r="K370" s="3"/>
      <c r="O370" s="4"/>
      <c r="R370" s="5"/>
    </row>
    <row r="371" ht="15.75" customHeight="1">
      <c r="A371" s="35" t="str">
        <f t="shared" si="17"/>
        <v/>
      </c>
      <c r="E371" s="3"/>
      <c r="F371" s="3"/>
      <c r="G371" s="3"/>
      <c r="H371" s="3"/>
      <c r="I371" s="3"/>
      <c r="J371" s="3"/>
      <c r="K371" s="3"/>
      <c r="O371" s="4"/>
      <c r="R371" s="5"/>
    </row>
    <row r="372" ht="15.75" customHeight="1">
      <c r="A372" s="35" t="str">
        <f t="shared" si="17"/>
        <v/>
      </c>
      <c r="E372" s="3"/>
      <c r="F372" s="3"/>
      <c r="G372" s="3"/>
      <c r="H372" s="3"/>
      <c r="I372" s="3"/>
      <c r="J372" s="3"/>
      <c r="K372" s="3"/>
      <c r="O372" s="4"/>
      <c r="R372" s="5"/>
    </row>
    <row r="373" ht="15.75" customHeight="1">
      <c r="A373" s="35" t="str">
        <f t="shared" si="17"/>
        <v/>
      </c>
      <c r="E373" s="3"/>
      <c r="F373" s="3"/>
      <c r="G373" s="3"/>
      <c r="H373" s="3"/>
      <c r="I373" s="3"/>
      <c r="J373" s="3"/>
      <c r="K373" s="3"/>
      <c r="O373" s="4"/>
      <c r="R373" s="5"/>
    </row>
    <row r="374" ht="15.75" customHeight="1">
      <c r="A374" s="35" t="str">
        <f t="shared" si="17"/>
        <v/>
      </c>
      <c r="E374" s="3"/>
      <c r="F374" s="3"/>
      <c r="G374" s="3"/>
      <c r="H374" s="3"/>
      <c r="I374" s="3"/>
      <c r="J374" s="3"/>
      <c r="K374" s="3"/>
      <c r="O374" s="4"/>
      <c r="R374" s="5"/>
    </row>
    <row r="375" ht="15.75" customHeight="1">
      <c r="A375" s="35" t="str">
        <f t="shared" si="17"/>
        <v/>
      </c>
      <c r="E375" s="3"/>
      <c r="F375" s="3"/>
      <c r="G375" s="3"/>
      <c r="H375" s="3"/>
      <c r="I375" s="3"/>
      <c r="J375" s="3"/>
      <c r="K375" s="3"/>
      <c r="O375" s="4"/>
      <c r="R375" s="5"/>
    </row>
    <row r="376" ht="15.75" customHeight="1">
      <c r="A376" s="35" t="str">
        <f t="shared" si="17"/>
        <v/>
      </c>
      <c r="E376" s="3"/>
      <c r="F376" s="3"/>
      <c r="G376" s="3"/>
      <c r="H376" s="3"/>
      <c r="I376" s="3"/>
      <c r="J376" s="3"/>
      <c r="K376" s="3"/>
      <c r="O376" s="4"/>
      <c r="R376" s="5"/>
    </row>
    <row r="377" ht="15.75" customHeight="1">
      <c r="A377" s="35" t="str">
        <f t="shared" si="17"/>
        <v/>
      </c>
      <c r="E377" s="3"/>
      <c r="F377" s="3"/>
      <c r="G377" s="3"/>
      <c r="H377" s="3"/>
      <c r="I377" s="3"/>
      <c r="J377" s="3"/>
      <c r="K377" s="3"/>
      <c r="O377" s="4"/>
      <c r="R377" s="5"/>
    </row>
    <row r="378" ht="15.75" customHeight="1">
      <c r="A378" s="35" t="str">
        <f t="shared" si="17"/>
        <v/>
      </c>
      <c r="E378" s="3"/>
      <c r="F378" s="3"/>
      <c r="G378" s="3"/>
      <c r="H378" s="3"/>
      <c r="I378" s="3"/>
      <c r="J378" s="3"/>
      <c r="K378" s="3"/>
      <c r="O378" s="4"/>
      <c r="R378" s="5"/>
    </row>
    <row r="379" ht="15.75" customHeight="1">
      <c r="A379" s="35" t="str">
        <f t="shared" si="17"/>
        <v/>
      </c>
      <c r="E379" s="3"/>
      <c r="F379" s="3"/>
      <c r="G379" s="3"/>
      <c r="H379" s="3"/>
      <c r="I379" s="3"/>
      <c r="J379" s="3"/>
      <c r="K379" s="3"/>
      <c r="O379" s="4"/>
      <c r="R379" s="5"/>
    </row>
    <row r="380" ht="15.75" customHeight="1">
      <c r="A380" s="35" t="str">
        <f t="shared" si="17"/>
        <v/>
      </c>
      <c r="E380" s="3"/>
      <c r="F380" s="3"/>
      <c r="G380" s="3"/>
      <c r="H380" s="3"/>
      <c r="I380" s="3"/>
      <c r="J380" s="3"/>
      <c r="K380" s="3"/>
      <c r="O380" s="4"/>
      <c r="R380" s="5"/>
    </row>
    <row r="381" ht="15.75" customHeight="1">
      <c r="A381" s="35" t="str">
        <f t="shared" si="17"/>
        <v/>
      </c>
      <c r="E381" s="3"/>
      <c r="F381" s="3"/>
      <c r="G381" s="3"/>
      <c r="H381" s="3"/>
      <c r="I381" s="3"/>
      <c r="J381" s="3"/>
      <c r="K381" s="3"/>
      <c r="O381" s="4"/>
      <c r="R381" s="5"/>
    </row>
    <row r="382" ht="15.75" customHeight="1">
      <c r="A382" s="35" t="str">
        <f t="shared" si="17"/>
        <v/>
      </c>
      <c r="E382" s="3"/>
      <c r="F382" s="3"/>
      <c r="G382" s="3"/>
      <c r="H382" s="3"/>
      <c r="I382" s="3"/>
      <c r="J382" s="3"/>
      <c r="K382" s="3"/>
      <c r="O382" s="4"/>
      <c r="R382" s="5"/>
    </row>
    <row r="383" ht="15.75" customHeight="1">
      <c r="A383" s="35" t="str">
        <f t="shared" si="17"/>
        <v/>
      </c>
      <c r="E383" s="3"/>
      <c r="F383" s="3"/>
      <c r="G383" s="3"/>
      <c r="H383" s="3"/>
      <c r="I383" s="3"/>
      <c r="J383" s="3"/>
      <c r="K383" s="3"/>
      <c r="O383" s="4"/>
      <c r="R383" s="5"/>
    </row>
    <row r="384" ht="15.75" customHeight="1">
      <c r="A384" s="35" t="str">
        <f t="shared" si="17"/>
        <v/>
      </c>
      <c r="E384" s="3"/>
      <c r="F384" s="3"/>
      <c r="G384" s="3"/>
      <c r="H384" s="3"/>
      <c r="I384" s="3"/>
      <c r="J384" s="3"/>
      <c r="K384" s="3"/>
      <c r="O384" s="4"/>
      <c r="R384" s="5"/>
    </row>
    <row r="385" ht="15.75" customHeight="1">
      <c r="A385" s="35" t="str">
        <f t="shared" si="17"/>
        <v/>
      </c>
      <c r="E385" s="3"/>
      <c r="F385" s="3"/>
      <c r="G385" s="3"/>
      <c r="H385" s="3"/>
      <c r="I385" s="3"/>
      <c r="J385" s="3"/>
      <c r="K385" s="3"/>
      <c r="O385" s="4"/>
      <c r="R385" s="5"/>
    </row>
    <row r="386" ht="15.75" customHeight="1">
      <c r="A386" s="35" t="str">
        <f t="shared" si="17"/>
        <v/>
      </c>
      <c r="E386" s="3"/>
      <c r="F386" s="3"/>
      <c r="G386" s="3"/>
      <c r="H386" s="3"/>
      <c r="I386" s="3"/>
      <c r="J386" s="3"/>
      <c r="K386" s="3"/>
      <c r="O386" s="4"/>
      <c r="R386" s="5"/>
    </row>
    <row r="387" ht="15.75" customHeight="1">
      <c r="A387" s="35" t="str">
        <f t="shared" si="17"/>
        <v/>
      </c>
      <c r="E387" s="3"/>
      <c r="F387" s="3"/>
      <c r="G387" s="3"/>
      <c r="H387" s="3"/>
      <c r="I387" s="3"/>
      <c r="J387" s="3"/>
      <c r="K387" s="3"/>
      <c r="O387" s="4"/>
      <c r="R387" s="5"/>
    </row>
    <row r="388" ht="15.75" customHeight="1">
      <c r="A388" s="35" t="str">
        <f t="shared" si="17"/>
        <v/>
      </c>
      <c r="E388" s="3"/>
      <c r="F388" s="3"/>
      <c r="G388" s="3"/>
      <c r="H388" s="3"/>
      <c r="I388" s="3"/>
      <c r="J388" s="3"/>
      <c r="K388" s="3"/>
      <c r="O388" s="4"/>
      <c r="R388" s="5"/>
    </row>
    <row r="389" ht="15.75" customHeight="1">
      <c r="A389" s="35" t="str">
        <f t="shared" si="17"/>
        <v/>
      </c>
      <c r="E389" s="3"/>
      <c r="F389" s="3"/>
      <c r="G389" s="3"/>
      <c r="H389" s="3"/>
      <c r="I389" s="3"/>
      <c r="J389" s="3"/>
      <c r="K389" s="3"/>
      <c r="O389" s="4"/>
      <c r="R389" s="5"/>
    </row>
    <row r="390" ht="15.75" customHeight="1">
      <c r="A390" s="35" t="str">
        <f t="shared" si="17"/>
        <v/>
      </c>
      <c r="E390" s="3"/>
      <c r="F390" s="3"/>
      <c r="G390" s="3"/>
      <c r="H390" s="3"/>
      <c r="I390" s="3"/>
      <c r="J390" s="3"/>
      <c r="K390" s="3"/>
      <c r="O390" s="4"/>
      <c r="R390" s="5"/>
    </row>
    <row r="391" ht="15.75" customHeight="1">
      <c r="A391" s="35" t="str">
        <f t="shared" si="17"/>
        <v/>
      </c>
      <c r="E391" s="3"/>
      <c r="F391" s="3"/>
      <c r="G391" s="3"/>
      <c r="H391" s="3"/>
      <c r="I391" s="3"/>
      <c r="J391" s="3"/>
      <c r="K391" s="3"/>
      <c r="O391" s="4"/>
      <c r="R391" s="5"/>
    </row>
    <row r="392" ht="15.75" customHeight="1">
      <c r="A392" s="35" t="str">
        <f t="shared" si="17"/>
        <v/>
      </c>
      <c r="E392" s="3"/>
      <c r="F392" s="3"/>
      <c r="G392" s="3"/>
      <c r="H392" s="3"/>
      <c r="I392" s="3"/>
      <c r="J392" s="3"/>
      <c r="K392" s="3"/>
      <c r="O392" s="4"/>
      <c r="R392" s="5"/>
    </row>
    <row r="393" ht="15.75" customHeight="1">
      <c r="A393" s="35" t="str">
        <f t="shared" si="17"/>
        <v/>
      </c>
      <c r="E393" s="3"/>
      <c r="F393" s="3"/>
      <c r="G393" s="3"/>
      <c r="H393" s="3"/>
      <c r="I393" s="3"/>
      <c r="J393" s="3"/>
      <c r="K393" s="3"/>
      <c r="O393" s="4"/>
      <c r="R393" s="5"/>
    </row>
    <row r="394" ht="15.75" customHeight="1">
      <c r="A394" s="35" t="str">
        <f t="shared" si="17"/>
        <v/>
      </c>
      <c r="E394" s="3"/>
      <c r="F394" s="3"/>
      <c r="G394" s="3"/>
      <c r="H394" s="3"/>
      <c r="I394" s="3"/>
      <c r="J394" s="3"/>
      <c r="K394" s="3"/>
      <c r="O394" s="4"/>
      <c r="R394" s="5"/>
    </row>
    <row r="395" ht="15.75" customHeight="1">
      <c r="A395" s="35" t="str">
        <f t="shared" si="17"/>
        <v/>
      </c>
      <c r="E395" s="3"/>
      <c r="F395" s="3"/>
      <c r="G395" s="3"/>
      <c r="H395" s="3"/>
      <c r="I395" s="3"/>
      <c r="J395" s="3"/>
      <c r="K395" s="3"/>
      <c r="O395" s="4"/>
      <c r="R395" s="5"/>
    </row>
    <row r="396" ht="15.75" customHeight="1">
      <c r="A396" s="35" t="str">
        <f t="shared" si="17"/>
        <v/>
      </c>
      <c r="E396" s="3"/>
      <c r="F396" s="3"/>
      <c r="G396" s="3"/>
      <c r="H396" s="3"/>
      <c r="I396" s="3"/>
      <c r="J396" s="3"/>
      <c r="K396" s="3"/>
      <c r="O396" s="4"/>
      <c r="R396" s="5"/>
    </row>
    <row r="397" ht="15.75" customHeight="1">
      <c r="A397" s="35" t="str">
        <f t="shared" si="17"/>
        <v/>
      </c>
      <c r="E397" s="3"/>
      <c r="F397" s="3"/>
      <c r="G397" s="3"/>
      <c r="H397" s="3"/>
      <c r="I397" s="3"/>
      <c r="J397" s="3"/>
      <c r="K397" s="3"/>
      <c r="O397" s="4"/>
      <c r="R397" s="5"/>
    </row>
    <row r="398" ht="15.75" customHeight="1">
      <c r="A398" s="35" t="str">
        <f t="shared" si="17"/>
        <v/>
      </c>
      <c r="E398" s="3"/>
      <c r="F398" s="3"/>
      <c r="G398" s="3"/>
      <c r="H398" s="3"/>
      <c r="I398" s="3"/>
      <c r="J398" s="3"/>
      <c r="K398" s="3"/>
      <c r="O398" s="4"/>
      <c r="R398" s="5"/>
    </row>
    <row r="399" ht="15.75" customHeight="1">
      <c r="A399" s="35" t="str">
        <f t="shared" si="17"/>
        <v/>
      </c>
      <c r="E399" s="3"/>
      <c r="F399" s="3"/>
      <c r="G399" s="3"/>
      <c r="H399" s="3"/>
      <c r="I399" s="3"/>
      <c r="J399" s="3"/>
      <c r="K399" s="3"/>
      <c r="O399" s="4"/>
      <c r="R399" s="5"/>
    </row>
    <row r="400" ht="15.75" customHeight="1">
      <c r="A400" s="35" t="str">
        <f t="shared" si="17"/>
        <v/>
      </c>
      <c r="E400" s="3"/>
      <c r="F400" s="3"/>
      <c r="G400" s="3"/>
      <c r="H400" s="3"/>
      <c r="I400" s="3"/>
      <c r="J400" s="3"/>
      <c r="K400" s="3"/>
      <c r="O400" s="4"/>
      <c r="R400" s="5"/>
    </row>
    <row r="401" ht="15.75" customHeight="1">
      <c r="A401" s="35" t="str">
        <f t="shared" si="17"/>
        <v/>
      </c>
      <c r="E401" s="3"/>
      <c r="F401" s="3"/>
      <c r="G401" s="3"/>
      <c r="H401" s="3"/>
      <c r="I401" s="3"/>
      <c r="J401" s="3"/>
      <c r="K401" s="3"/>
      <c r="O401" s="4"/>
      <c r="R401" s="5"/>
    </row>
    <row r="402" ht="15.75" customHeight="1">
      <c r="A402" s="35" t="str">
        <f t="shared" si="17"/>
        <v/>
      </c>
      <c r="E402" s="3"/>
      <c r="F402" s="3"/>
      <c r="G402" s="3"/>
      <c r="H402" s="3"/>
      <c r="I402" s="3"/>
      <c r="J402" s="3"/>
      <c r="K402" s="3"/>
      <c r="O402" s="4"/>
      <c r="R402" s="5"/>
    </row>
    <row r="403" ht="15.75" customHeight="1">
      <c r="A403" s="35" t="str">
        <f t="shared" si="17"/>
        <v/>
      </c>
      <c r="E403" s="3"/>
      <c r="F403" s="3"/>
      <c r="G403" s="3"/>
      <c r="H403" s="3"/>
      <c r="I403" s="3"/>
      <c r="J403" s="3"/>
      <c r="K403" s="3"/>
      <c r="O403" s="4"/>
      <c r="R403" s="5"/>
    </row>
    <row r="404" ht="15.75" customHeight="1">
      <c r="A404" s="35" t="str">
        <f t="shared" si="17"/>
        <v/>
      </c>
      <c r="E404" s="3"/>
      <c r="F404" s="3"/>
      <c r="G404" s="3"/>
      <c r="H404" s="3"/>
      <c r="I404" s="3"/>
      <c r="J404" s="3"/>
      <c r="K404" s="3"/>
      <c r="O404" s="4"/>
      <c r="R404" s="5"/>
    </row>
    <row r="405" ht="15.75" customHeight="1">
      <c r="A405" s="35" t="str">
        <f t="shared" si="17"/>
        <v/>
      </c>
      <c r="E405" s="3"/>
      <c r="F405" s="3"/>
      <c r="G405" s="3"/>
      <c r="H405" s="3"/>
      <c r="I405" s="3"/>
      <c r="J405" s="3"/>
      <c r="K405" s="3"/>
      <c r="O405" s="4"/>
      <c r="R405" s="5"/>
    </row>
    <row r="406" ht="15.75" customHeight="1">
      <c r="A406" s="35" t="str">
        <f t="shared" si="17"/>
        <v/>
      </c>
      <c r="E406" s="3"/>
      <c r="F406" s="3"/>
      <c r="G406" s="3"/>
      <c r="H406" s="3"/>
      <c r="I406" s="3"/>
      <c r="J406" s="3"/>
      <c r="K406" s="3"/>
      <c r="O406" s="4"/>
      <c r="R406" s="5"/>
    </row>
    <row r="407" ht="15.75" customHeight="1">
      <c r="A407" s="35" t="str">
        <f t="shared" si="17"/>
        <v/>
      </c>
      <c r="E407" s="3"/>
      <c r="F407" s="3"/>
      <c r="G407" s="3"/>
      <c r="H407" s="3"/>
      <c r="I407" s="3"/>
      <c r="J407" s="3"/>
      <c r="K407" s="3"/>
      <c r="O407" s="4"/>
      <c r="R407" s="5"/>
    </row>
    <row r="408" ht="15.75" customHeight="1">
      <c r="A408" s="35" t="str">
        <f t="shared" si="17"/>
        <v/>
      </c>
      <c r="E408" s="3"/>
      <c r="F408" s="3"/>
      <c r="G408" s="3"/>
      <c r="H408" s="3"/>
      <c r="I408" s="3"/>
      <c r="J408" s="3"/>
      <c r="K408" s="3"/>
      <c r="O408" s="4"/>
      <c r="R408" s="5"/>
    </row>
    <row r="409" ht="15.75" customHeight="1">
      <c r="A409" s="35" t="str">
        <f t="shared" si="17"/>
        <v/>
      </c>
      <c r="E409" s="3"/>
      <c r="F409" s="3"/>
      <c r="G409" s="3"/>
      <c r="H409" s="3"/>
      <c r="I409" s="3"/>
      <c r="J409" s="3"/>
      <c r="K409" s="3"/>
      <c r="O409" s="4"/>
      <c r="R409" s="5"/>
    </row>
    <row r="410" ht="15.75" customHeight="1">
      <c r="A410" s="35" t="str">
        <f t="shared" si="17"/>
        <v/>
      </c>
      <c r="E410" s="3"/>
      <c r="F410" s="3"/>
      <c r="G410" s="3"/>
      <c r="H410" s="3"/>
      <c r="I410" s="3"/>
      <c r="J410" s="3"/>
      <c r="K410" s="3"/>
      <c r="O410" s="4"/>
      <c r="R410" s="5"/>
    </row>
    <row r="411" ht="15.75" customHeight="1">
      <c r="A411" s="35" t="str">
        <f t="shared" si="17"/>
        <v/>
      </c>
      <c r="E411" s="3"/>
      <c r="F411" s="3"/>
      <c r="G411" s="3"/>
      <c r="H411" s="3"/>
      <c r="I411" s="3"/>
      <c r="J411" s="3"/>
      <c r="K411" s="3"/>
      <c r="O411" s="4"/>
      <c r="R411" s="5"/>
    </row>
    <row r="412" ht="15.75" customHeight="1">
      <c r="A412" s="35" t="str">
        <f t="shared" si="17"/>
        <v/>
      </c>
      <c r="E412" s="3"/>
      <c r="F412" s="3"/>
      <c r="G412" s="3"/>
      <c r="H412" s="3"/>
      <c r="I412" s="3"/>
      <c r="J412" s="3"/>
      <c r="K412" s="3"/>
      <c r="O412" s="4"/>
      <c r="R412" s="5"/>
    </row>
    <row r="413" ht="15.75" customHeight="1">
      <c r="A413" s="35" t="str">
        <f t="shared" si="17"/>
        <v/>
      </c>
      <c r="E413" s="3"/>
      <c r="F413" s="3"/>
      <c r="G413" s="3"/>
      <c r="H413" s="3"/>
      <c r="I413" s="3"/>
      <c r="J413" s="3"/>
      <c r="K413" s="3"/>
      <c r="O413" s="4"/>
      <c r="R413" s="5"/>
    </row>
    <row r="414" ht="15.75" customHeight="1">
      <c r="A414" s="35" t="str">
        <f t="shared" si="17"/>
        <v/>
      </c>
      <c r="E414" s="3"/>
      <c r="F414" s="3"/>
      <c r="G414" s="3"/>
      <c r="H414" s="3"/>
      <c r="I414" s="3"/>
      <c r="J414" s="3"/>
      <c r="K414" s="3"/>
      <c r="O414" s="4"/>
      <c r="R414" s="5"/>
    </row>
    <row r="415" ht="15.75" customHeight="1">
      <c r="A415" s="35" t="str">
        <f t="shared" si="17"/>
        <v/>
      </c>
      <c r="E415" s="3"/>
      <c r="F415" s="3"/>
      <c r="G415" s="3"/>
      <c r="H415" s="3"/>
      <c r="I415" s="3"/>
      <c r="J415" s="3"/>
      <c r="K415" s="3"/>
      <c r="O415" s="4"/>
      <c r="R415" s="5"/>
    </row>
    <row r="416" ht="15.75" customHeight="1">
      <c r="A416" s="35" t="str">
        <f t="shared" si="17"/>
        <v/>
      </c>
      <c r="E416" s="3"/>
      <c r="F416" s="3"/>
      <c r="G416" s="3"/>
      <c r="H416" s="3"/>
      <c r="I416" s="3"/>
      <c r="J416" s="3"/>
      <c r="K416" s="3"/>
      <c r="O416" s="4"/>
      <c r="R416" s="5"/>
    </row>
    <row r="417" ht="15.75" customHeight="1">
      <c r="A417" s="35" t="str">
        <f t="shared" si="17"/>
        <v/>
      </c>
      <c r="E417" s="3"/>
      <c r="F417" s="3"/>
      <c r="G417" s="3"/>
      <c r="H417" s="3"/>
      <c r="I417" s="3"/>
      <c r="J417" s="3"/>
      <c r="K417" s="3"/>
      <c r="O417" s="4"/>
      <c r="R417" s="5"/>
    </row>
    <row r="418" ht="15.75" customHeight="1">
      <c r="A418" s="35" t="str">
        <f t="shared" si="17"/>
        <v/>
      </c>
      <c r="E418" s="3"/>
      <c r="F418" s="3"/>
      <c r="G418" s="3"/>
      <c r="H418" s="3"/>
      <c r="I418" s="3"/>
      <c r="J418" s="3"/>
      <c r="K418" s="3"/>
      <c r="O418" s="4"/>
      <c r="R418" s="5"/>
    </row>
    <row r="419" ht="15.75" customHeight="1">
      <c r="A419" s="35" t="str">
        <f t="shared" si="17"/>
        <v/>
      </c>
      <c r="E419" s="3"/>
      <c r="F419" s="3"/>
      <c r="G419" s="3"/>
      <c r="H419" s="3"/>
      <c r="I419" s="3"/>
      <c r="J419" s="3"/>
      <c r="K419" s="3"/>
      <c r="O419" s="4"/>
      <c r="R419" s="5"/>
    </row>
    <row r="420" ht="15.75" customHeight="1">
      <c r="A420" s="35" t="str">
        <f t="shared" si="17"/>
        <v/>
      </c>
      <c r="E420" s="3"/>
      <c r="F420" s="3"/>
      <c r="G420" s="3"/>
      <c r="H420" s="3"/>
      <c r="I420" s="3"/>
      <c r="J420" s="3"/>
      <c r="K420" s="3"/>
      <c r="O420" s="4"/>
      <c r="R420" s="5"/>
    </row>
    <row r="421" ht="15.75" customHeight="1">
      <c r="A421" s="35" t="str">
        <f t="shared" si="17"/>
        <v/>
      </c>
      <c r="E421" s="3"/>
      <c r="F421" s="3"/>
      <c r="G421" s="3"/>
      <c r="H421" s="3"/>
      <c r="I421" s="3"/>
      <c r="J421" s="3"/>
      <c r="K421" s="3"/>
      <c r="O421" s="4"/>
      <c r="R421" s="5"/>
    </row>
    <row r="422" ht="15.75" customHeight="1">
      <c r="A422" s="35" t="str">
        <f t="shared" si="17"/>
        <v/>
      </c>
      <c r="E422" s="3"/>
      <c r="F422" s="3"/>
      <c r="G422" s="3"/>
      <c r="H422" s="3"/>
      <c r="I422" s="3"/>
      <c r="J422" s="3"/>
      <c r="K422" s="3"/>
      <c r="O422" s="4"/>
      <c r="R422" s="5"/>
    </row>
    <row r="423" ht="15.75" customHeight="1">
      <c r="A423" s="35" t="str">
        <f t="shared" si="17"/>
        <v/>
      </c>
      <c r="E423" s="3"/>
      <c r="F423" s="3"/>
      <c r="G423" s="3"/>
      <c r="H423" s="3"/>
      <c r="I423" s="3"/>
      <c r="J423" s="3"/>
      <c r="K423" s="3"/>
      <c r="O423" s="4"/>
      <c r="R423" s="5"/>
    </row>
    <row r="424" ht="15.75" customHeight="1">
      <c r="A424" s="35" t="str">
        <f t="shared" si="17"/>
        <v/>
      </c>
      <c r="E424" s="3"/>
      <c r="F424" s="3"/>
      <c r="G424" s="3"/>
      <c r="H424" s="3"/>
      <c r="I424" s="3"/>
      <c r="J424" s="3"/>
      <c r="K424" s="3"/>
      <c r="O424" s="4"/>
      <c r="R424" s="5"/>
    </row>
    <row r="425" ht="15.75" customHeight="1">
      <c r="A425" s="35" t="str">
        <f t="shared" si="17"/>
        <v/>
      </c>
      <c r="E425" s="3"/>
      <c r="F425" s="3"/>
      <c r="G425" s="3"/>
      <c r="H425" s="3"/>
      <c r="I425" s="3"/>
      <c r="J425" s="3"/>
      <c r="K425" s="3"/>
      <c r="O425" s="4"/>
      <c r="R425" s="5"/>
    </row>
    <row r="426" ht="15.75" customHeight="1">
      <c r="A426" s="35" t="str">
        <f t="shared" si="17"/>
        <v/>
      </c>
      <c r="E426" s="3"/>
      <c r="F426" s="3"/>
      <c r="G426" s="3"/>
      <c r="H426" s="3"/>
      <c r="I426" s="3"/>
      <c r="J426" s="3"/>
      <c r="K426" s="3"/>
      <c r="O426" s="4"/>
      <c r="R426" s="5"/>
    </row>
    <row r="427" ht="15.75" customHeight="1">
      <c r="A427" s="35" t="str">
        <f t="shared" si="17"/>
        <v/>
      </c>
      <c r="E427" s="3"/>
      <c r="F427" s="3"/>
      <c r="G427" s="3"/>
      <c r="H427" s="3"/>
      <c r="I427" s="3"/>
      <c r="J427" s="3"/>
      <c r="K427" s="3"/>
      <c r="O427" s="4"/>
      <c r="R427" s="5"/>
    </row>
    <row r="428" ht="15.75" customHeight="1">
      <c r="A428" s="35" t="str">
        <f t="shared" si="17"/>
        <v/>
      </c>
      <c r="E428" s="3"/>
      <c r="F428" s="3"/>
      <c r="G428" s="3"/>
      <c r="H428" s="3"/>
      <c r="I428" s="3"/>
      <c r="J428" s="3"/>
      <c r="K428" s="3"/>
      <c r="O428" s="4"/>
      <c r="R428" s="5"/>
    </row>
    <row r="429" ht="15.75" customHeight="1">
      <c r="A429" s="35" t="str">
        <f t="shared" si="17"/>
        <v/>
      </c>
      <c r="E429" s="3"/>
      <c r="F429" s="3"/>
      <c r="G429" s="3"/>
      <c r="H429" s="3"/>
      <c r="I429" s="3"/>
      <c r="J429" s="3"/>
      <c r="K429" s="3"/>
      <c r="O429" s="4"/>
      <c r="R429" s="5"/>
    </row>
    <row r="430" ht="15.75" customHeight="1">
      <c r="A430" s="35" t="str">
        <f t="shared" si="17"/>
        <v/>
      </c>
      <c r="E430" s="3"/>
      <c r="F430" s="3"/>
      <c r="G430" s="3"/>
      <c r="H430" s="3"/>
      <c r="I430" s="3"/>
      <c r="J430" s="3"/>
      <c r="K430" s="3"/>
      <c r="O430" s="4"/>
      <c r="R430" s="5"/>
    </row>
    <row r="431" ht="15.75" customHeight="1">
      <c r="A431" s="35" t="str">
        <f t="shared" si="17"/>
        <v/>
      </c>
      <c r="E431" s="3"/>
      <c r="F431" s="3"/>
      <c r="G431" s="3"/>
      <c r="H431" s="3"/>
      <c r="I431" s="3"/>
      <c r="J431" s="3"/>
      <c r="K431" s="3"/>
      <c r="O431" s="4"/>
      <c r="R431" s="5"/>
    </row>
    <row r="432" ht="15.75" customHeight="1">
      <c r="A432" s="35" t="str">
        <f t="shared" si="17"/>
        <v/>
      </c>
      <c r="E432" s="3"/>
      <c r="F432" s="3"/>
      <c r="G432" s="3"/>
      <c r="H432" s="3"/>
      <c r="I432" s="3"/>
      <c r="J432" s="3"/>
      <c r="K432" s="3"/>
      <c r="O432" s="4"/>
      <c r="R432" s="5"/>
    </row>
    <row r="433" ht="15.75" customHeight="1">
      <c r="A433" s="35" t="str">
        <f t="shared" si="17"/>
        <v/>
      </c>
      <c r="E433" s="3"/>
      <c r="F433" s="3"/>
      <c r="G433" s="3"/>
      <c r="H433" s="3"/>
      <c r="I433" s="3"/>
      <c r="J433" s="3"/>
      <c r="K433" s="3"/>
      <c r="O433" s="4"/>
      <c r="R433" s="5"/>
    </row>
    <row r="434" ht="15.75" customHeight="1">
      <c r="A434" s="35" t="str">
        <f t="shared" si="17"/>
        <v/>
      </c>
      <c r="E434" s="3"/>
      <c r="F434" s="3"/>
      <c r="G434" s="3"/>
      <c r="H434" s="3"/>
      <c r="I434" s="3"/>
      <c r="J434" s="3"/>
      <c r="K434" s="3"/>
      <c r="O434" s="4"/>
      <c r="R434" s="5"/>
    </row>
    <row r="435" ht="15.75" customHeight="1">
      <c r="A435" s="35" t="str">
        <f t="shared" si="17"/>
        <v/>
      </c>
      <c r="E435" s="3"/>
      <c r="F435" s="3"/>
      <c r="G435" s="3"/>
      <c r="H435" s="3"/>
      <c r="I435" s="3"/>
      <c r="J435" s="3"/>
      <c r="K435" s="3"/>
      <c r="O435" s="4"/>
      <c r="R435" s="5"/>
    </row>
    <row r="436" ht="15.75" customHeight="1">
      <c r="A436" s="35" t="str">
        <f t="shared" si="17"/>
        <v/>
      </c>
      <c r="E436" s="3"/>
      <c r="F436" s="3"/>
      <c r="G436" s="3"/>
      <c r="H436" s="3"/>
      <c r="I436" s="3"/>
      <c r="J436" s="3"/>
      <c r="K436" s="3"/>
      <c r="O436" s="4"/>
      <c r="R436" s="5"/>
    </row>
    <row r="437" ht="15.75" customHeight="1">
      <c r="A437" s="35" t="str">
        <f t="shared" si="17"/>
        <v/>
      </c>
      <c r="E437" s="3"/>
      <c r="F437" s="3"/>
      <c r="G437" s="3"/>
      <c r="H437" s="3"/>
      <c r="I437" s="3"/>
      <c r="J437" s="3"/>
      <c r="K437" s="3"/>
      <c r="O437" s="4"/>
      <c r="R437" s="5"/>
    </row>
    <row r="438" ht="15.75" customHeight="1">
      <c r="A438" s="35" t="str">
        <f t="shared" si="17"/>
        <v/>
      </c>
      <c r="E438" s="3"/>
      <c r="F438" s="3"/>
      <c r="G438" s="3"/>
      <c r="H438" s="3"/>
      <c r="I438" s="3"/>
      <c r="J438" s="3"/>
      <c r="K438" s="3"/>
      <c r="O438" s="4"/>
      <c r="R438" s="5"/>
    </row>
    <row r="439" ht="15.75" customHeight="1">
      <c r="A439" s="35" t="str">
        <f t="shared" si="17"/>
        <v/>
      </c>
      <c r="E439" s="3"/>
      <c r="F439" s="3"/>
      <c r="G439" s="3"/>
      <c r="H439" s="3"/>
      <c r="I439" s="3"/>
      <c r="J439" s="3"/>
      <c r="K439" s="3"/>
      <c r="O439" s="4"/>
      <c r="R439" s="5"/>
    </row>
    <row r="440" ht="15.75" customHeight="1">
      <c r="A440" s="35" t="str">
        <f t="shared" si="17"/>
        <v/>
      </c>
      <c r="E440" s="3"/>
      <c r="F440" s="3"/>
      <c r="G440" s="3"/>
      <c r="H440" s="3"/>
      <c r="I440" s="3"/>
      <c r="J440" s="3"/>
      <c r="K440" s="3"/>
      <c r="O440" s="4"/>
      <c r="R440" s="5"/>
    </row>
    <row r="441" ht="15.75" customHeight="1">
      <c r="A441" s="35" t="str">
        <f t="shared" si="17"/>
        <v/>
      </c>
      <c r="E441" s="3"/>
      <c r="F441" s="3"/>
      <c r="G441" s="3"/>
      <c r="H441" s="3"/>
      <c r="I441" s="3"/>
      <c r="J441" s="3"/>
      <c r="K441" s="3"/>
      <c r="O441" s="4"/>
      <c r="R441" s="5"/>
    </row>
    <row r="442" ht="15.75" customHeight="1">
      <c r="A442" s="35" t="str">
        <f t="shared" si="17"/>
        <v/>
      </c>
      <c r="E442" s="3"/>
      <c r="F442" s="3"/>
      <c r="G442" s="3"/>
      <c r="H442" s="3"/>
      <c r="I442" s="3"/>
      <c r="J442" s="3"/>
      <c r="K442" s="3"/>
      <c r="O442" s="4"/>
      <c r="R442" s="5"/>
    </row>
    <row r="443" ht="15.75" customHeight="1">
      <c r="A443" s="35" t="str">
        <f t="shared" si="17"/>
        <v/>
      </c>
      <c r="E443" s="3"/>
      <c r="F443" s="3"/>
      <c r="G443" s="3"/>
      <c r="H443" s="3"/>
      <c r="I443" s="3"/>
      <c r="J443" s="3"/>
      <c r="K443" s="3"/>
      <c r="O443" s="4"/>
      <c r="R443" s="5"/>
    </row>
    <row r="444" ht="15.75" customHeight="1">
      <c r="A444" s="35" t="str">
        <f t="shared" si="17"/>
        <v/>
      </c>
      <c r="E444" s="3"/>
      <c r="F444" s="3"/>
      <c r="G444" s="3"/>
      <c r="H444" s="3"/>
      <c r="I444" s="3"/>
      <c r="J444" s="3"/>
      <c r="K444" s="3"/>
      <c r="O444" s="4"/>
      <c r="R444" s="5"/>
    </row>
    <row r="445" ht="15.75" customHeight="1">
      <c r="A445" s="35" t="str">
        <f t="shared" si="17"/>
        <v/>
      </c>
      <c r="E445" s="3"/>
      <c r="F445" s="3"/>
      <c r="G445" s="3"/>
      <c r="H445" s="3"/>
      <c r="I445" s="3"/>
      <c r="J445" s="3"/>
      <c r="K445" s="3"/>
      <c r="O445" s="4"/>
      <c r="R445" s="5"/>
    </row>
    <row r="446" ht="15.75" customHeight="1">
      <c r="A446" s="35" t="str">
        <f t="shared" si="17"/>
        <v/>
      </c>
      <c r="E446" s="3"/>
      <c r="F446" s="3"/>
      <c r="G446" s="3"/>
      <c r="H446" s="3"/>
      <c r="I446" s="3"/>
      <c r="J446" s="3"/>
      <c r="K446" s="3"/>
      <c r="O446" s="4"/>
      <c r="R446" s="5"/>
    </row>
    <row r="447" ht="15.75" customHeight="1">
      <c r="A447" s="35" t="str">
        <f t="shared" si="17"/>
        <v/>
      </c>
      <c r="E447" s="3"/>
      <c r="F447" s="3"/>
      <c r="G447" s="3"/>
      <c r="H447" s="3"/>
      <c r="I447" s="3"/>
      <c r="J447" s="3"/>
      <c r="K447" s="3"/>
      <c r="O447" s="4"/>
      <c r="R447" s="5"/>
    </row>
    <row r="448" ht="15.75" customHeight="1">
      <c r="A448" s="35" t="str">
        <f t="shared" si="17"/>
        <v/>
      </c>
      <c r="E448" s="3"/>
      <c r="F448" s="3"/>
      <c r="G448" s="3"/>
      <c r="H448" s="3"/>
      <c r="I448" s="3"/>
      <c r="J448" s="3"/>
      <c r="K448" s="3"/>
      <c r="O448" s="4"/>
      <c r="R448" s="5"/>
    </row>
    <row r="449" ht="15.75" customHeight="1">
      <c r="A449" s="35" t="str">
        <f t="shared" si="17"/>
        <v/>
      </c>
      <c r="E449" s="3"/>
      <c r="F449" s="3"/>
      <c r="G449" s="3"/>
      <c r="H449" s="3"/>
      <c r="I449" s="3"/>
      <c r="J449" s="3"/>
      <c r="K449" s="3"/>
      <c r="O449" s="4"/>
      <c r="R449" s="5"/>
    </row>
    <row r="450" ht="15.75" customHeight="1">
      <c r="A450" s="35" t="str">
        <f t="shared" si="17"/>
        <v/>
      </c>
      <c r="E450" s="3"/>
      <c r="F450" s="3"/>
      <c r="G450" s="3"/>
      <c r="H450" s="3"/>
      <c r="I450" s="3"/>
      <c r="J450" s="3"/>
      <c r="K450" s="3"/>
      <c r="O450" s="4"/>
      <c r="R450" s="5"/>
    </row>
    <row r="451" ht="15.75" customHeight="1">
      <c r="A451" s="35" t="str">
        <f t="shared" si="17"/>
        <v/>
      </c>
      <c r="E451" s="3"/>
      <c r="F451" s="3"/>
      <c r="G451" s="3"/>
      <c r="H451" s="3"/>
      <c r="I451" s="3"/>
      <c r="J451" s="3"/>
      <c r="K451" s="3"/>
      <c r="O451" s="4"/>
      <c r="R451" s="5"/>
    </row>
    <row r="452" ht="15.75" customHeight="1">
      <c r="A452" s="35" t="str">
        <f t="shared" si="17"/>
        <v/>
      </c>
      <c r="E452" s="3"/>
      <c r="F452" s="3"/>
      <c r="G452" s="3"/>
      <c r="H452" s="3"/>
      <c r="I452" s="3"/>
      <c r="J452" s="3"/>
      <c r="K452" s="3"/>
      <c r="O452" s="4"/>
      <c r="R452" s="5"/>
    </row>
    <row r="453" ht="15.75" customHeight="1">
      <c r="A453" s="35" t="str">
        <f t="shared" si="17"/>
        <v/>
      </c>
      <c r="E453" s="3"/>
      <c r="F453" s="3"/>
      <c r="G453" s="3"/>
      <c r="H453" s="3"/>
      <c r="I453" s="3"/>
      <c r="J453" s="3"/>
      <c r="K453" s="3"/>
      <c r="O453" s="4"/>
      <c r="R453" s="5"/>
    </row>
    <row r="454" ht="15.75" customHeight="1">
      <c r="A454" s="35" t="str">
        <f t="shared" si="17"/>
        <v/>
      </c>
      <c r="E454" s="3"/>
      <c r="F454" s="3"/>
      <c r="G454" s="3"/>
      <c r="H454" s="3"/>
      <c r="I454" s="3"/>
      <c r="J454" s="3"/>
      <c r="K454" s="3"/>
      <c r="O454" s="4"/>
      <c r="R454" s="5"/>
    </row>
    <row r="455" ht="15.75" customHeight="1">
      <c r="A455" s="35" t="str">
        <f t="shared" si="17"/>
        <v/>
      </c>
      <c r="E455" s="3"/>
      <c r="F455" s="3"/>
      <c r="G455" s="3"/>
      <c r="H455" s="3"/>
      <c r="I455" s="3"/>
      <c r="J455" s="3"/>
      <c r="K455" s="3"/>
      <c r="O455" s="4"/>
      <c r="R455" s="5"/>
    </row>
    <row r="456" ht="15.75" customHeight="1">
      <c r="A456" s="35" t="str">
        <f t="shared" si="17"/>
        <v/>
      </c>
      <c r="E456" s="3"/>
      <c r="F456" s="3"/>
      <c r="G456" s="3"/>
      <c r="H456" s="3"/>
      <c r="I456" s="3"/>
      <c r="J456" s="3"/>
      <c r="K456" s="3"/>
      <c r="O456" s="4"/>
      <c r="R456" s="5"/>
    </row>
    <row r="457" ht="15.75" customHeight="1">
      <c r="A457" s="35" t="str">
        <f t="shared" si="17"/>
        <v/>
      </c>
      <c r="E457" s="3"/>
      <c r="F457" s="3"/>
      <c r="G457" s="3"/>
      <c r="H457" s="3"/>
      <c r="I457" s="3"/>
      <c r="J457" s="3"/>
      <c r="K457" s="3"/>
      <c r="O457" s="4"/>
      <c r="R457" s="5"/>
    </row>
    <row r="458" ht="15.75" customHeight="1">
      <c r="A458" s="35" t="str">
        <f t="shared" si="17"/>
        <v/>
      </c>
      <c r="E458" s="3"/>
      <c r="F458" s="3"/>
      <c r="G458" s="3"/>
      <c r="H458" s="3"/>
      <c r="I458" s="3"/>
      <c r="J458" s="3"/>
      <c r="K458" s="3"/>
      <c r="O458" s="4"/>
      <c r="R458" s="5"/>
    </row>
    <row r="459" ht="15.75" customHeight="1">
      <c r="A459" s="35" t="str">
        <f t="shared" si="17"/>
        <v/>
      </c>
      <c r="E459" s="3"/>
      <c r="F459" s="3"/>
      <c r="G459" s="3"/>
      <c r="H459" s="3"/>
      <c r="I459" s="3"/>
      <c r="J459" s="3"/>
      <c r="K459" s="3"/>
      <c r="O459" s="4"/>
      <c r="R459" s="5"/>
    </row>
    <row r="460" ht="15.75" customHeight="1">
      <c r="A460" s="35" t="str">
        <f t="shared" si="17"/>
        <v/>
      </c>
      <c r="E460" s="3"/>
      <c r="F460" s="3"/>
      <c r="G460" s="3"/>
      <c r="H460" s="3"/>
      <c r="I460" s="3"/>
      <c r="J460" s="3"/>
      <c r="K460" s="3"/>
      <c r="O460" s="4"/>
      <c r="R460" s="5"/>
    </row>
    <row r="461" ht="15.75" customHeight="1">
      <c r="A461" s="35" t="str">
        <f t="shared" si="17"/>
        <v/>
      </c>
      <c r="E461" s="3"/>
      <c r="F461" s="3"/>
      <c r="G461" s="3"/>
      <c r="H461" s="3"/>
      <c r="I461" s="3"/>
      <c r="J461" s="3"/>
      <c r="K461" s="3"/>
      <c r="O461" s="4"/>
      <c r="R461" s="5"/>
    </row>
    <row r="462" ht="15.75" customHeight="1">
      <c r="A462" s="35" t="str">
        <f t="shared" si="17"/>
        <v/>
      </c>
      <c r="E462" s="3"/>
      <c r="F462" s="3"/>
      <c r="G462" s="3"/>
      <c r="H462" s="3"/>
      <c r="I462" s="3"/>
      <c r="J462" s="3"/>
      <c r="K462" s="3"/>
      <c r="O462" s="4"/>
      <c r="R462" s="5"/>
    </row>
    <row r="463" ht="15.75" customHeight="1">
      <c r="A463" s="35" t="str">
        <f t="shared" si="17"/>
        <v/>
      </c>
      <c r="E463" s="3"/>
      <c r="F463" s="3"/>
      <c r="G463" s="3"/>
      <c r="H463" s="3"/>
      <c r="I463" s="3"/>
      <c r="J463" s="3"/>
      <c r="K463" s="3"/>
      <c r="O463" s="4"/>
      <c r="R463" s="5"/>
    </row>
    <row r="464" ht="15.75" customHeight="1">
      <c r="A464" s="35" t="str">
        <f t="shared" si="17"/>
        <v/>
      </c>
      <c r="E464" s="3"/>
      <c r="F464" s="3"/>
      <c r="G464" s="3"/>
      <c r="H464" s="3"/>
      <c r="I464" s="3"/>
      <c r="J464" s="3"/>
      <c r="K464" s="3"/>
      <c r="O464" s="4"/>
      <c r="R464" s="5"/>
    </row>
    <row r="465" ht="15.75" customHeight="1">
      <c r="A465" s="35" t="str">
        <f t="shared" si="17"/>
        <v/>
      </c>
      <c r="E465" s="3"/>
      <c r="F465" s="3"/>
      <c r="G465" s="3"/>
      <c r="H465" s="3"/>
      <c r="I465" s="3"/>
      <c r="J465" s="3"/>
      <c r="K465" s="3"/>
      <c r="O465" s="4"/>
      <c r="R465" s="5"/>
    </row>
    <row r="466" ht="15.75" customHeight="1">
      <c r="A466" s="35" t="str">
        <f t="shared" si="17"/>
        <v/>
      </c>
      <c r="E466" s="3"/>
      <c r="F466" s="3"/>
      <c r="G466" s="3"/>
      <c r="H466" s="3"/>
      <c r="I466" s="3"/>
      <c r="J466" s="3"/>
      <c r="K466" s="3"/>
      <c r="O466" s="4"/>
      <c r="R466" s="5"/>
    </row>
    <row r="467" ht="15.75" customHeight="1">
      <c r="A467" s="35" t="str">
        <f t="shared" si="17"/>
        <v/>
      </c>
      <c r="E467" s="3"/>
      <c r="F467" s="3"/>
      <c r="G467" s="3"/>
      <c r="H467" s="3"/>
      <c r="I467" s="3"/>
      <c r="J467" s="3"/>
      <c r="K467" s="3"/>
      <c r="O467" s="4"/>
      <c r="R467" s="5"/>
    </row>
    <row r="468" ht="15.75" customHeight="1">
      <c r="A468" s="35" t="str">
        <f t="shared" si="17"/>
        <v/>
      </c>
      <c r="E468" s="3"/>
      <c r="F468" s="3"/>
      <c r="G468" s="3"/>
      <c r="H468" s="3"/>
      <c r="I468" s="3"/>
      <c r="J468" s="3"/>
      <c r="K468" s="3"/>
      <c r="O468" s="4"/>
      <c r="R468" s="5"/>
    </row>
    <row r="469" ht="15.75" customHeight="1">
      <c r="A469" s="35" t="str">
        <f t="shared" si="17"/>
        <v/>
      </c>
      <c r="E469" s="3"/>
      <c r="F469" s="3"/>
      <c r="G469" s="3"/>
      <c r="H469" s="3"/>
      <c r="I469" s="3"/>
      <c r="J469" s="3"/>
      <c r="K469" s="3"/>
      <c r="O469" s="4"/>
      <c r="R469" s="5"/>
    </row>
    <row r="470" ht="15.75" customHeight="1">
      <c r="A470" s="35" t="str">
        <f t="shared" si="17"/>
        <v/>
      </c>
      <c r="E470" s="3"/>
      <c r="F470" s="3"/>
      <c r="G470" s="3"/>
      <c r="H470" s="3"/>
      <c r="I470" s="3"/>
      <c r="J470" s="3"/>
      <c r="K470" s="3"/>
      <c r="O470" s="4"/>
      <c r="R470" s="5"/>
    </row>
    <row r="471" ht="15.75" customHeight="1">
      <c r="A471" s="35" t="str">
        <f t="shared" si="17"/>
        <v/>
      </c>
      <c r="E471" s="3"/>
      <c r="F471" s="3"/>
      <c r="G471" s="3"/>
      <c r="H471" s="3"/>
      <c r="I471" s="3"/>
      <c r="J471" s="3"/>
      <c r="K471" s="3"/>
      <c r="O471" s="4"/>
      <c r="R471" s="5"/>
    </row>
    <row r="472" ht="15.75" customHeight="1">
      <c r="A472" s="35" t="str">
        <f t="shared" si="17"/>
        <v/>
      </c>
      <c r="E472" s="3"/>
      <c r="F472" s="3"/>
      <c r="G472" s="3"/>
      <c r="H472" s="3"/>
      <c r="I472" s="3"/>
      <c r="J472" s="3"/>
      <c r="K472" s="3"/>
      <c r="O472" s="4"/>
      <c r="R472" s="5"/>
    </row>
    <row r="473" ht="15.75" customHeight="1">
      <c r="A473" s="35" t="str">
        <f t="shared" si="17"/>
        <v/>
      </c>
      <c r="E473" s="3"/>
      <c r="F473" s="3"/>
      <c r="G473" s="3"/>
      <c r="H473" s="3"/>
      <c r="I473" s="3"/>
      <c r="J473" s="3"/>
      <c r="K473" s="3"/>
      <c r="O473" s="4"/>
      <c r="R473" s="5"/>
    </row>
    <row r="474" ht="15.75" customHeight="1">
      <c r="A474" s="35" t="str">
        <f t="shared" si="17"/>
        <v/>
      </c>
      <c r="E474" s="3"/>
      <c r="F474" s="3"/>
      <c r="G474" s="3"/>
      <c r="H474" s="3"/>
      <c r="I474" s="3"/>
      <c r="J474" s="3"/>
      <c r="K474" s="3"/>
      <c r="O474" s="4"/>
      <c r="R474" s="5"/>
    </row>
    <row r="475" ht="15.75" customHeight="1">
      <c r="A475" s="35" t="str">
        <f t="shared" si="17"/>
        <v/>
      </c>
      <c r="E475" s="3"/>
      <c r="F475" s="3"/>
      <c r="G475" s="3"/>
      <c r="H475" s="3"/>
      <c r="I475" s="3"/>
      <c r="J475" s="3"/>
      <c r="K475" s="3"/>
      <c r="O475" s="4"/>
      <c r="R475" s="5"/>
    </row>
    <row r="476" ht="15.75" customHeight="1">
      <c r="A476" s="35" t="str">
        <f t="shared" si="17"/>
        <v/>
      </c>
      <c r="E476" s="3"/>
      <c r="F476" s="3"/>
      <c r="G476" s="3"/>
      <c r="H476" s="3"/>
      <c r="I476" s="3"/>
      <c r="J476" s="3"/>
      <c r="K476" s="3"/>
      <c r="O476" s="4"/>
      <c r="R476" s="5"/>
    </row>
    <row r="477" ht="15.75" customHeight="1">
      <c r="A477" s="35" t="str">
        <f t="shared" si="17"/>
        <v/>
      </c>
      <c r="E477" s="3"/>
      <c r="F477" s="3"/>
      <c r="G477" s="3"/>
      <c r="H477" s="3"/>
      <c r="I477" s="3"/>
      <c r="J477" s="3"/>
      <c r="K477" s="3"/>
      <c r="O477" s="4"/>
      <c r="R477" s="5"/>
    </row>
    <row r="478" ht="15.75" customHeight="1">
      <c r="A478" s="35" t="str">
        <f t="shared" si="17"/>
        <v/>
      </c>
      <c r="E478" s="3"/>
      <c r="F478" s="3"/>
      <c r="G478" s="3"/>
      <c r="H478" s="3"/>
      <c r="I478" s="3"/>
      <c r="J478" s="3"/>
      <c r="K478" s="3"/>
      <c r="O478" s="4"/>
      <c r="R478" s="5"/>
    </row>
    <row r="479" ht="15.75" customHeight="1">
      <c r="A479" s="35" t="str">
        <f t="shared" si="17"/>
        <v/>
      </c>
      <c r="E479" s="3"/>
      <c r="F479" s="3"/>
      <c r="G479" s="3"/>
      <c r="H479" s="3"/>
      <c r="I479" s="3"/>
      <c r="J479" s="3"/>
      <c r="K479" s="3"/>
      <c r="O479" s="4"/>
      <c r="R479" s="5"/>
    </row>
    <row r="480" ht="15.75" customHeight="1">
      <c r="A480" s="35" t="str">
        <f t="shared" si="17"/>
        <v/>
      </c>
      <c r="E480" s="3"/>
      <c r="F480" s="3"/>
      <c r="G480" s="3"/>
      <c r="H480" s="3"/>
      <c r="I480" s="3"/>
      <c r="J480" s="3"/>
      <c r="K480" s="3"/>
      <c r="O480" s="4"/>
      <c r="R480" s="5"/>
    </row>
    <row r="481" ht="15.75" customHeight="1">
      <c r="A481" s="35" t="str">
        <f t="shared" si="17"/>
        <v/>
      </c>
      <c r="E481" s="3"/>
      <c r="F481" s="3"/>
      <c r="G481" s="3"/>
      <c r="H481" s="3"/>
      <c r="I481" s="3"/>
      <c r="J481" s="3"/>
      <c r="K481" s="3"/>
      <c r="O481" s="4"/>
      <c r="R481" s="5"/>
    </row>
    <row r="482" ht="15.75" customHeight="1">
      <c r="A482" s="35" t="str">
        <f t="shared" si="17"/>
        <v/>
      </c>
      <c r="E482" s="3"/>
      <c r="F482" s="3"/>
      <c r="G482" s="3"/>
      <c r="H482" s="3"/>
      <c r="I482" s="3"/>
      <c r="J482" s="3"/>
      <c r="K482" s="3"/>
      <c r="O482" s="4"/>
      <c r="R482" s="5"/>
    </row>
    <row r="483" ht="15.75" customHeight="1">
      <c r="A483" s="35" t="str">
        <f t="shared" si="17"/>
        <v/>
      </c>
      <c r="E483" s="3"/>
      <c r="F483" s="3"/>
      <c r="G483" s="3"/>
      <c r="H483" s="3"/>
      <c r="I483" s="3"/>
      <c r="J483" s="3"/>
      <c r="K483" s="3"/>
      <c r="O483" s="4"/>
      <c r="R483" s="5"/>
    </row>
    <row r="484" ht="15.75" customHeight="1">
      <c r="A484" s="35" t="str">
        <f t="shared" si="17"/>
        <v/>
      </c>
      <c r="E484" s="3"/>
      <c r="F484" s="3"/>
      <c r="G484" s="3"/>
      <c r="H484" s="3"/>
      <c r="I484" s="3"/>
      <c r="J484" s="3"/>
      <c r="K484" s="3"/>
      <c r="O484" s="4"/>
      <c r="R484" s="5"/>
    </row>
    <row r="485" ht="15.75" customHeight="1">
      <c r="A485" s="35" t="str">
        <f t="shared" si="17"/>
        <v/>
      </c>
      <c r="E485" s="3"/>
      <c r="F485" s="3"/>
      <c r="G485" s="3"/>
      <c r="H485" s="3"/>
      <c r="I485" s="3"/>
      <c r="J485" s="3"/>
      <c r="K485" s="3"/>
      <c r="O485" s="4"/>
      <c r="R485" s="5"/>
    </row>
    <row r="486" ht="15.75" customHeight="1">
      <c r="A486" s="35" t="str">
        <f t="shared" si="17"/>
        <v/>
      </c>
      <c r="E486" s="3"/>
      <c r="F486" s="3"/>
      <c r="G486" s="3"/>
      <c r="H486" s="3"/>
      <c r="I486" s="3"/>
      <c r="J486" s="3"/>
      <c r="K486" s="3"/>
      <c r="O486" s="4"/>
      <c r="R486" s="5"/>
    </row>
    <row r="487" ht="15.75" customHeight="1">
      <c r="A487" s="35" t="str">
        <f t="shared" si="17"/>
        <v/>
      </c>
      <c r="E487" s="3"/>
      <c r="F487" s="3"/>
      <c r="G487" s="3"/>
      <c r="H487" s="3"/>
      <c r="I487" s="3"/>
      <c r="J487" s="3"/>
      <c r="K487" s="3"/>
      <c r="O487" s="4"/>
      <c r="R487" s="5"/>
    </row>
    <row r="488" ht="15.75" customHeight="1">
      <c r="A488" s="35" t="str">
        <f t="shared" si="17"/>
        <v/>
      </c>
      <c r="E488" s="3"/>
      <c r="F488" s="3"/>
      <c r="G488" s="3"/>
      <c r="H488" s="3"/>
      <c r="I488" s="3"/>
      <c r="J488" s="3"/>
      <c r="K488" s="3"/>
      <c r="O488" s="4"/>
      <c r="R488" s="5"/>
    </row>
    <row r="489" ht="15.75" customHeight="1">
      <c r="A489" s="35" t="str">
        <f t="shared" si="17"/>
        <v/>
      </c>
      <c r="E489" s="3"/>
      <c r="F489" s="3"/>
      <c r="G489" s="3"/>
      <c r="H489" s="3"/>
      <c r="I489" s="3"/>
      <c r="J489" s="3"/>
      <c r="K489" s="3"/>
      <c r="O489" s="4"/>
      <c r="R489" s="5"/>
    </row>
    <row r="490" ht="15.75" customHeight="1">
      <c r="A490" s="35" t="str">
        <f t="shared" si="17"/>
        <v/>
      </c>
      <c r="E490" s="3"/>
      <c r="F490" s="3"/>
      <c r="G490" s="3"/>
      <c r="H490" s="3"/>
      <c r="I490" s="3"/>
      <c r="J490" s="3"/>
      <c r="K490" s="3"/>
      <c r="O490" s="4"/>
      <c r="R490" s="5"/>
    </row>
    <row r="491" ht="15.75" customHeight="1">
      <c r="A491" s="35" t="str">
        <f t="shared" si="17"/>
        <v/>
      </c>
      <c r="E491" s="3"/>
      <c r="F491" s="3"/>
      <c r="G491" s="3"/>
      <c r="H491" s="3"/>
      <c r="I491" s="3"/>
      <c r="J491" s="3"/>
      <c r="K491" s="3"/>
      <c r="O491" s="4"/>
      <c r="R491" s="5"/>
    </row>
    <row r="492" ht="15.75" customHeight="1">
      <c r="A492" s="35" t="str">
        <f t="shared" si="17"/>
        <v/>
      </c>
      <c r="E492" s="3"/>
      <c r="F492" s="3"/>
      <c r="G492" s="3"/>
      <c r="H492" s="3"/>
      <c r="I492" s="3"/>
      <c r="J492" s="3"/>
      <c r="K492" s="3"/>
      <c r="O492" s="4"/>
      <c r="R492" s="5"/>
    </row>
    <row r="493" ht="15.75" customHeight="1">
      <c r="A493" s="35" t="str">
        <f t="shared" si="17"/>
        <v/>
      </c>
      <c r="E493" s="3"/>
      <c r="F493" s="3"/>
      <c r="G493" s="3"/>
      <c r="H493" s="3"/>
      <c r="I493" s="3"/>
      <c r="J493" s="3"/>
      <c r="K493" s="3"/>
      <c r="O493" s="4"/>
      <c r="R493" s="5"/>
    </row>
    <row r="494" ht="15.75" customHeight="1">
      <c r="A494" s="35" t="str">
        <f t="shared" si="17"/>
        <v/>
      </c>
      <c r="E494" s="3"/>
      <c r="F494" s="3"/>
      <c r="G494" s="3"/>
      <c r="H494" s="3"/>
      <c r="I494" s="3"/>
      <c r="J494" s="3"/>
      <c r="K494" s="3"/>
      <c r="O494" s="4"/>
      <c r="R494" s="5"/>
    </row>
    <row r="495" ht="15.75" customHeight="1">
      <c r="A495" s="35" t="str">
        <f t="shared" si="17"/>
        <v/>
      </c>
      <c r="E495" s="3"/>
      <c r="F495" s="3"/>
      <c r="G495" s="3"/>
      <c r="H495" s="3"/>
      <c r="I495" s="3"/>
      <c r="J495" s="3"/>
      <c r="K495" s="3"/>
      <c r="O495" s="4"/>
      <c r="R495" s="5"/>
    </row>
    <row r="496" ht="15.75" customHeight="1">
      <c r="A496" s="35" t="str">
        <f t="shared" si="17"/>
        <v/>
      </c>
      <c r="E496" s="3"/>
      <c r="F496" s="3"/>
      <c r="G496" s="3"/>
      <c r="H496" s="3"/>
      <c r="I496" s="3"/>
      <c r="J496" s="3"/>
      <c r="K496" s="3"/>
      <c r="O496" s="4"/>
      <c r="R496" s="5"/>
    </row>
    <row r="497" ht="15.75" customHeight="1">
      <c r="A497" s="35" t="str">
        <f t="shared" si="17"/>
        <v/>
      </c>
      <c r="E497" s="3"/>
      <c r="F497" s="3"/>
      <c r="G497" s="3"/>
      <c r="H497" s="3"/>
      <c r="I497" s="3"/>
      <c r="J497" s="3"/>
      <c r="K497" s="3"/>
      <c r="O497" s="4"/>
      <c r="R497" s="5"/>
    </row>
    <row r="498" ht="15.75" customHeight="1">
      <c r="A498" s="35" t="str">
        <f t="shared" si="17"/>
        <v/>
      </c>
      <c r="E498" s="3"/>
      <c r="F498" s="3"/>
      <c r="G498" s="3"/>
      <c r="H498" s="3"/>
      <c r="I498" s="3"/>
      <c r="J498" s="3"/>
      <c r="K498" s="3"/>
      <c r="O498" s="4"/>
      <c r="R498" s="5"/>
    </row>
    <row r="499" ht="15.75" customHeight="1">
      <c r="A499" s="35" t="str">
        <f t="shared" si="17"/>
        <v/>
      </c>
      <c r="E499" s="3"/>
      <c r="F499" s="3"/>
      <c r="G499" s="3"/>
      <c r="H499" s="3"/>
      <c r="I499" s="3"/>
      <c r="J499" s="3"/>
      <c r="K499" s="3"/>
      <c r="O499" s="4"/>
      <c r="R499" s="5"/>
    </row>
    <row r="500" ht="15.75" customHeight="1">
      <c r="A500" s="35" t="str">
        <f t="shared" si="17"/>
        <v/>
      </c>
      <c r="E500" s="3"/>
      <c r="F500" s="3"/>
      <c r="G500" s="3"/>
      <c r="H500" s="3"/>
      <c r="I500" s="3"/>
      <c r="J500" s="3"/>
      <c r="K500" s="3"/>
      <c r="O500" s="4"/>
      <c r="R500" s="5"/>
    </row>
    <row r="501" ht="15.75" customHeight="1">
      <c r="A501" s="35" t="str">
        <f t="shared" si="17"/>
        <v/>
      </c>
      <c r="E501" s="3"/>
      <c r="F501" s="3"/>
      <c r="G501" s="3"/>
      <c r="H501" s="3"/>
      <c r="I501" s="3"/>
      <c r="J501" s="3"/>
      <c r="K501" s="3"/>
      <c r="O501" s="4"/>
      <c r="R501" s="5"/>
    </row>
    <row r="502" ht="15.75" customHeight="1">
      <c r="A502" s="35" t="str">
        <f t="shared" si="17"/>
        <v/>
      </c>
      <c r="E502" s="3"/>
      <c r="F502" s="3"/>
      <c r="G502" s="3"/>
      <c r="H502" s="3"/>
      <c r="I502" s="3"/>
      <c r="J502" s="3"/>
      <c r="K502" s="3"/>
      <c r="O502" s="4"/>
      <c r="R502" s="5"/>
    </row>
    <row r="503" ht="15.75" customHeight="1">
      <c r="A503" s="35" t="str">
        <f t="shared" si="17"/>
        <v/>
      </c>
      <c r="E503" s="3"/>
      <c r="F503" s="3"/>
      <c r="G503" s="3"/>
      <c r="H503" s="3"/>
      <c r="I503" s="3"/>
      <c r="J503" s="3"/>
      <c r="K503" s="3"/>
      <c r="O503" s="4"/>
      <c r="R503" s="5"/>
    </row>
    <row r="504" ht="15.75" customHeight="1">
      <c r="A504" s="35" t="str">
        <f t="shared" si="17"/>
        <v/>
      </c>
      <c r="E504" s="3"/>
      <c r="F504" s="3"/>
      <c r="G504" s="3"/>
      <c r="H504" s="3"/>
      <c r="I504" s="3"/>
      <c r="J504" s="3"/>
      <c r="K504" s="3"/>
      <c r="O504" s="4"/>
      <c r="R504" s="5"/>
    </row>
    <row r="505" ht="15.75" customHeight="1">
      <c r="A505" s="35" t="str">
        <f t="shared" si="17"/>
        <v/>
      </c>
      <c r="E505" s="3"/>
      <c r="F505" s="3"/>
      <c r="G505" s="3"/>
      <c r="H505" s="3"/>
      <c r="I505" s="3"/>
      <c r="J505" s="3"/>
      <c r="K505" s="3"/>
      <c r="O505" s="4"/>
      <c r="R505" s="5"/>
    </row>
    <row r="506" ht="15.75" customHeight="1">
      <c r="A506" s="35" t="str">
        <f t="shared" si="17"/>
        <v/>
      </c>
      <c r="E506" s="3"/>
      <c r="F506" s="3"/>
      <c r="G506" s="3"/>
      <c r="H506" s="3"/>
      <c r="I506" s="3"/>
      <c r="J506" s="3"/>
      <c r="K506" s="3"/>
      <c r="O506" s="4"/>
      <c r="R506" s="5"/>
    </row>
    <row r="507" ht="15.75" customHeight="1">
      <c r="A507" s="35" t="str">
        <f t="shared" si="17"/>
        <v/>
      </c>
      <c r="E507" s="3"/>
      <c r="F507" s="3"/>
      <c r="G507" s="3"/>
      <c r="H507" s="3"/>
      <c r="I507" s="3"/>
      <c r="J507" s="3"/>
      <c r="K507" s="3"/>
      <c r="O507" s="4"/>
      <c r="R507" s="5"/>
    </row>
    <row r="508" ht="15.75" customHeight="1">
      <c r="A508" s="35" t="str">
        <f t="shared" si="17"/>
        <v/>
      </c>
      <c r="E508" s="3"/>
      <c r="F508" s="3"/>
      <c r="G508" s="3"/>
      <c r="H508" s="3"/>
      <c r="I508" s="3"/>
      <c r="J508" s="3"/>
      <c r="K508" s="3"/>
      <c r="O508" s="4"/>
      <c r="R508" s="5"/>
    </row>
    <row r="509" ht="15.75" customHeight="1">
      <c r="A509" s="35" t="str">
        <f t="shared" si="17"/>
        <v/>
      </c>
      <c r="E509" s="3"/>
      <c r="F509" s="3"/>
      <c r="G509" s="3"/>
      <c r="H509" s="3"/>
      <c r="I509" s="3"/>
      <c r="J509" s="3"/>
      <c r="K509" s="3"/>
      <c r="O509" s="4"/>
      <c r="R509" s="5"/>
    </row>
    <row r="510" ht="15.75" customHeight="1">
      <c r="A510" s="35" t="str">
        <f t="shared" si="17"/>
        <v/>
      </c>
      <c r="E510" s="3"/>
      <c r="F510" s="3"/>
      <c r="G510" s="3"/>
      <c r="H510" s="3"/>
      <c r="I510" s="3"/>
      <c r="J510" s="3"/>
      <c r="K510" s="3"/>
      <c r="O510" s="4"/>
      <c r="R510" s="5"/>
    </row>
    <row r="511" ht="15.75" customHeight="1">
      <c r="A511" s="35" t="str">
        <f t="shared" si="17"/>
        <v/>
      </c>
      <c r="E511" s="3"/>
      <c r="F511" s="3"/>
      <c r="G511" s="3"/>
      <c r="H511" s="3"/>
      <c r="I511" s="3"/>
      <c r="J511" s="3"/>
      <c r="K511" s="3"/>
      <c r="O511" s="4"/>
      <c r="R511" s="5"/>
    </row>
    <row r="512" ht="15.75" customHeight="1">
      <c r="A512" s="35" t="str">
        <f t="shared" si="17"/>
        <v/>
      </c>
      <c r="E512" s="3"/>
      <c r="F512" s="3"/>
      <c r="G512" s="3"/>
      <c r="H512" s="3"/>
      <c r="I512" s="3"/>
      <c r="J512" s="3"/>
      <c r="K512" s="3"/>
      <c r="O512" s="4"/>
      <c r="R512" s="5"/>
    </row>
    <row r="513" ht="15.75" customHeight="1">
      <c r="A513" s="35" t="str">
        <f t="shared" si="17"/>
        <v/>
      </c>
      <c r="E513" s="3"/>
      <c r="F513" s="3"/>
      <c r="G513" s="3"/>
      <c r="H513" s="3"/>
      <c r="I513" s="3"/>
      <c r="J513" s="3"/>
      <c r="K513" s="3"/>
      <c r="O513" s="4"/>
      <c r="R513" s="5"/>
    </row>
    <row r="514" ht="15.75" customHeight="1">
      <c r="A514" s="35" t="str">
        <f t="shared" si="17"/>
        <v/>
      </c>
      <c r="E514" s="3"/>
      <c r="F514" s="3"/>
      <c r="G514" s="3"/>
      <c r="H514" s="3"/>
      <c r="I514" s="3"/>
      <c r="J514" s="3"/>
      <c r="K514" s="3"/>
      <c r="O514" s="4"/>
      <c r="R514" s="5"/>
    </row>
    <row r="515" ht="15.75" customHeight="1">
      <c r="A515" s="35" t="str">
        <f t="shared" si="17"/>
        <v/>
      </c>
      <c r="E515" s="3"/>
      <c r="F515" s="3"/>
      <c r="G515" s="3"/>
      <c r="H515" s="3"/>
      <c r="I515" s="3"/>
      <c r="J515" s="3"/>
      <c r="K515" s="3"/>
      <c r="O515" s="4"/>
      <c r="R515" s="5"/>
    </row>
    <row r="516" ht="15.75" customHeight="1">
      <c r="A516" s="35" t="str">
        <f t="shared" si="17"/>
        <v/>
      </c>
      <c r="E516" s="3"/>
      <c r="F516" s="3"/>
      <c r="G516" s="3"/>
      <c r="H516" s="3"/>
      <c r="I516" s="3"/>
      <c r="J516" s="3"/>
      <c r="K516" s="3"/>
      <c r="O516" s="4"/>
      <c r="R516" s="5"/>
    </row>
    <row r="517" ht="15.75" customHeight="1">
      <c r="A517" s="35" t="str">
        <f t="shared" si="17"/>
        <v/>
      </c>
      <c r="E517" s="3"/>
      <c r="F517" s="3"/>
      <c r="G517" s="3"/>
      <c r="H517" s="3"/>
      <c r="I517" s="3"/>
      <c r="J517" s="3"/>
      <c r="K517" s="3"/>
      <c r="O517" s="4"/>
      <c r="R517" s="5"/>
    </row>
    <row r="518" ht="15.75" customHeight="1">
      <c r="A518" s="35" t="str">
        <f t="shared" si="17"/>
        <v/>
      </c>
      <c r="E518" s="3"/>
      <c r="F518" s="3"/>
      <c r="G518" s="3"/>
      <c r="H518" s="3"/>
      <c r="I518" s="3"/>
      <c r="J518" s="3"/>
      <c r="K518" s="3"/>
      <c r="O518" s="4"/>
      <c r="R518" s="5"/>
    </row>
    <row r="519" ht="15.75" customHeight="1">
      <c r="A519" s="35" t="str">
        <f t="shared" si="17"/>
        <v/>
      </c>
      <c r="E519" s="3"/>
      <c r="F519" s="3"/>
      <c r="G519" s="3"/>
      <c r="H519" s="3"/>
      <c r="I519" s="3"/>
      <c r="J519" s="3"/>
      <c r="K519" s="3"/>
      <c r="O519" s="4"/>
      <c r="R519" s="5"/>
    </row>
    <row r="520" ht="15.75" customHeight="1">
      <c r="A520" s="35" t="str">
        <f t="shared" si="17"/>
        <v/>
      </c>
      <c r="E520" s="3"/>
      <c r="F520" s="3"/>
      <c r="G520" s="3"/>
      <c r="H520" s="3"/>
      <c r="I520" s="3"/>
      <c r="J520" s="3"/>
      <c r="K520" s="3"/>
      <c r="O520" s="4"/>
      <c r="R520" s="5"/>
    </row>
    <row r="521" ht="15.75" customHeight="1">
      <c r="A521" s="35" t="str">
        <f t="shared" si="17"/>
        <v/>
      </c>
      <c r="E521" s="3"/>
      <c r="F521" s="3"/>
      <c r="G521" s="3"/>
      <c r="H521" s="3"/>
      <c r="I521" s="3"/>
      <c r="J521" s="3"/>
      <c r="K521" s="3"/>
      <c r="O521" s="4"/>
      <c r="R521" s="5"/>
    </row>
    <row r="522" ht="15.75" customHeight="1">
      <c r="A522" s="35" t="str">
        <f t="shared" si="17"/>
        <v/>
      </c>
      <c r="E522" s="3"/>
      <c r="F522" s="3"/>
      <c r="G522" s="3"/>
      <c r="H522" s="3"/>
      <c r="I522" s="3"/>
      <c r="J522" s="3"/>
      <c r="K522" s="3"/>
      <c r="O522" s="4"/>
      <c r="R522" s="5"/>
    </row>
    <row r="523" ht="15.75" customHeight="1">
      <c r="A523" s="35" t="str">
        <f t="shared" si="17"/>
        <v/>
      </c>
      <c r="E523" s="3"/>
      <c r="F523" s="3"/>
      <c r="G523" s="3"/>
      <c r="H523" s="3"/>
      <c r="I523" s="3"/>
      <c r="J523" s="3"/>
      <c r="K523" s="3"/>
      <c r="O523" s="4"/>
      <c r="R523" s="5"/>
    </row>
    <row r="524" ht="15.75" customHeight="1">
      <c r="A524" s="35" t="str">
        <f t="shared" si="17"/>
        <v/>
      </c>
      <c r="E524" s="3"/>
      <c r="F524" s="3"/>
      <c r="G524" s="3"/>
      <c r="H524" s="3"/>
      <c r="I524" s="3"/>
      <c r="J524" s="3"/>
      <c r="K524" s="3"/>
      <c r="O524" s="4"/>
      <c r="R524" s="5"/>
    </row>
    <row r="525" ht="15.75" customHeight="1">
      <c r="A525" s="35" t="str">
        <f t="shared" si="17"/>
        <v/>
      </c>
      <c r="E525" s="3"/>
      <c r="F525" s="3"/>
      <c r="G525" s="3"/>
      <c r="H525" s="3"/>
      <c r="I525" s="3"/>
      <c r="J525" s="3"/>
      <c r="K525" s="3"/>
      <c r="O525" s="4"/>
      <c r="R525" s="5"/>
    </row>
    <row r="526" ht="15.75" customHeight="1">
      <c r="A526" s="35" t="str">
        <f t="shared" si="17"/>
        <v/>
      </c>
      <c r="E526" s="3"/>
      <c r="F526" s="3"/>
      <c r="G526" s="3"/>
      <c r="H526" s="3"/>
      <c r="I526" s="3"/>
      <c r="J526" s="3"/>
      <c r="K526" s="3"/>
      <c r="O526" s="4"/>
      <c r="R526" s="5"/>
    </row>
    <row r="527" ht="15.75" customHeight="1">
      <c r="A527" s="35" t="str">
        <f t="shared" si="17"/>
        <v/>
      </c>
      <c r="E527" s="3"/>
      <c r="F527" s="3"/>
      <c r="G527" s="3"/>
      <c r="H527" s="3"/>
      <c r="I527" s="3"/>
      <c r="J527" s="3"/>
      <c r="K527" s="3"/>
      <c r="O527" s="4"/>
      <c r="R527" s="5"/>
    </row>
    <row r="528" ht="15.75" customHeight="1">
      <c r="A528" s="35" t="str">
        <f t="shared" si="17"/>
        <v/>
      </c>
      <c r="E528" s="3"/>
      <c r="F528" s="3"/>
      <c r="G528" s="3"/>
      <c r="H528" s="3"/>
      <c r="I528" s="3"/>
      <c r="J528" s="3"/>
      <c r="K528" s="3"/>
      <c r="O528" s="4"/>
      <c r="R528" s="5"/>
    </row>
    <row r="529" ht="15.75" customHeight="1">
      <c r="A529" s="35" t="str">
        <f t="shared" si="17"/>
        <v/>
      </c>
      <c r="E529" s="3"/>
      <c r="F529" s="3"/>
      <c r="G529" s="3"/>
      <c r="H529" s="3"/>
      <c r="I529" s="3"/>
      <c r="J529" s="3"/>
      <c r="K529" s="3"/>
      <c r="O529" s="4"/>
      <c r="R529" s="5"/>
    </row>
    <row r="530" ht="15.75" customHeight="1">
      <c r="A530" s="35" t="str">
        <f t="shared" si="17"/>
        <v/>
      </c>
      <c r="E530" s="3"/>
      <c r="F530" s="3"/>
      <c r="G530" s="3"/>
      <c r="H530" s="3"/>
      <c r="I530" s="3"/>
      <c r="J530" s="3"/>
      <c r="K530" s="3"/>
      <c r="O530" s="4"/>
      <c r="R530" s="5"/>
    </row>
    <row r="531" ht="15.75" customHeight="1">
      <c r="A531" s="35" t="str">
        <f t="shared" si="17"/>
        <v/>
      </c>
      <c r="E531" s="3"/>
      <c r="F531" s="3"/>
      <c r="G531" s="3"/>
      <c r="H531" s="3"/>
      <c r="I531" s="3"/>
      <c r="J531" s="3"/>
      <c r="K531" s="3"/>
      <c r="O531" s="4"/>
      <c r="R531" s="5"/>
    </row>
    <row r="532" ht="15.75" customHeight="1">
      <c r="A532" s="35" t="str">
        <f t="shared" si="17"/>
        <v/>
      </c>
      <c r="E532" s="3"/>
      <c r="F532" s="3"/>
      <c r="G532" s="3"/>
      <c r="H532" s="3"/>
      <c r="I532" s="3"/>
      <c r="J532" s="3"/>
      <c r="K532" s="3"/>
      <c r="O532" s="4"/>
      <c r="R532" s="5"/>
    </row>
    <row r="533" ht="15.75" customHeight="1">
      <c r="A533" s="35" t="str">
        <f t="shared" si="17"/>
        <v/>
      </c>
      <c r="E533" s="3"/>
      <c r="F533" s="3"/>
      <c r="G533" s="3"/>
      <c r="H533" s="3"/>
      <c r="I533" s="3"/>
      <c r="J533" s="3"/>
      <c r="K533" s="3"/>
      <c r="O533" s="4"/>
      <c r="R533" s="5"/>
    </row>
    <row r="534" ht="15.75" customHeight="1">
      <c r="A534" s="35" t="str">
        <f t="shared" si="17"/>
        <v/>
      </c>
      <c r="E534" s="3"/>
      <c r="F534" s="3"/>
      <c r="G534" s="3"/>
      <c r="H534" s="3"/>
      <c r="I534" s="3"/>
      <c r="J534" s="3"/>
      <c r="K534" s="3"/>
      <c r="O534" s="4"/>
      <c r="R534" s="5"/>
    </row>
    <row r="535" ht="15.75" customHeight="1">
      <c r="A535" s="35" t="str">
        <f t="shared" si="17"/>
        <v/>
      </c>
      <c r="E535" s="3"/>
      <c r="F535" s="3"/>
      <c r="G535" s="3"/>
      <c r="H535" s="3"/>
      <c r="I535" s="3"/>
      <c r="J535" s="3"/>
      <c r="K535" s="3"/>
      <c r="O535" s="4"/>
      <c r="R535" s="5"/>
    </row>
    <row r="536" ht="15.75" customHeight="1">
      <c r="A536" s="35" t="str">
        <f t="shared" si="17"/>
        <v/>
      </c>
      <c r="E536" s="3"/>
      <c r="F536" s="3"/>
      <c r="G536" s="3"/>
      <c r="H536" s="3"/>
      <c r="I536" s="3"/>
      <c r="J536" s="3"/>
      <c r="K536" s="3"/>
      <c r="O536" s="4"/>
      <c r="R536" s="5"/>
    </row>
    <row r="537" ht="15.75" customHeight="1">
      <c r="A537" s="35" t="str">
        <f t="shared" si="17"/>
        <v/>
      </c>
      <c r="E537" s="3"/>
      <c r="F537" s="3"/>
      <c r="G537" s="3"/>
      <c r="H537" s="3"/>
      <c r="I537" s="3"/>
      <c r="J537" s="3"/>
      <c r="K537" s="3"/>
      <c r="O537" s="4"/>
      <c r="R537" s="5"/>
    </row>
    <row r="538" ht="15.75" customHeight="1">
      <c r="A538" s="35" t="str">
        <f t="shared" si="17"/>
        <v/>
      </c>
      <c r="E538" s="3"/>
      <c r="F538" s="3"/>
      <c r="G538" s="3"/>
      <c r="H538" s="3"/>
      <c r="I538" s="3"/>
      <c r="J538" s="3"/>
      <c r="K538" s="3"/>
      <c r="O538" s="4"/>
      <c r="R538" s="5"/>
    </row>
    <row r="539" ht="15.75" customHeight="1">
      <c r="A539" s="35" t="str">
        <f t="shared" si="17"/>
        <v/>
      </c>
      <c r="E539" s="3"/>
      <c r="F539" s="3"/>
      <c r="G539" s="3"/>
      <c r="H539" s="3"/>
      <c r="I539" s="3"/>
      <c r="J539" s="3"/>
      <c r="K539" s="3"/>
      <c r="O539" s="4"/>
      <c r="R539" s="5"/>
    </row>
    <row r="540" ht="15.75" customHeight="1">
      <c r="A540" s="35" t="str">
        <f t="shared" si="17"/>
        <v/>
      </c>
      <c r="E540" s="3"/>
      <c r="F540" s="3"/>
      <c r="G540" s="3"/>
      <c r="H540" s="3"/>
      <c r="I540" s="3"/>
      <c r="J540" s="3"/>
      <c r="K540" s="3"/>
      <c r="O540" s="4"/>
      <c r="R540" s="5"/>
    </row>
    <row r="541" ht="15.75" customHeight="1">
      <c r="A541" s="35" t="str">
        <f t="shared" si="17"/>
        <v/>
      </c>
      <c r="E541" s="3"/>
      <c r="F541" s="3"/>
      <c r="G541" s="3"/>
      <c r="H541" s="3"/>
      <c r="I541" s="3"/>
      <c r="J541" s="3"/>
      <c r="K541" s="3"/>
      <c r="O541" s="4"/>
      <c r="R541" s="5"/>
    </row>
    <row r="542" ht="15.75" customHeight="1">
      <c r="A542" s="35" t="str">
        <f t="shared" si="17"/>
        <v/>
      </c>
      <c r="E542" s="3"/>
      <c r="F542" s="3"/>
      <c r="G542" s="3"/>
      <c r="H542" s="3"/>
      <c r="I542" s="3"/>
      <c r="J542" s="3"/>
      <c r="K542" s="3"/>
      <c r="O542" s="4"/>
      <c r="R542" s="5"/>
    </row>
    <row r="543" ht="15.75" customHeight="1">
      <c r="A543" s="35" t="str">
        <f t="shared" si="17"/>
        <v/>
      </c>
      <c r="E543" s="3"/>
      <c r="F543" s="3"/>
      <c r="G543" s="3"/>
      <c r="H543" s="3"/>
      <c r="I543" s="3"/>
      <c r="J543" s="3"/>
      <c r="K543" s="3"/>
      <c r="O543" s="4"/>
      <c r="R543" s="5"/>
    </row>
    <row r="544" ht="15.75" customHeight="1">
      <c r="A544" s="35" t="str">
        <f t="shared" si="17"/>
        <v/>
      </c>
      <c r="E544" s="3"/>
      <c r="F544" s="3"/>
      <c r="G544" s="3"/>
      <c r="H544" s="3"/>
      <c r="I544" s="3"/>
      <c r="J544" s="3"/>
      <c r="K544" s="3"/>
      <c r="O544" s="4"/>
      <c r="R544" s="5"/>
    </row>
    <row r="545" ht="15.75" customHeight="1">
      <c r="A545" s="35" t="str">
        <f t="shared" si="17"/>
        <v/>
      </c>
      <c r="E545" s="3"/>
      <c r="F545" s="3"/>
      <c r="G545" s="3"/>
      <c r="H545" s="3"/>
      <c r="I545" s="3"/>
      <c r="J545" s="3"/>
      <c r="K545" s="3"/>
      <c r="O545" s="4"/>
      <c r="R545" s="5"/>
    </row>
    <row r="546" ht="15.75" customHeight="1">
      <c r="A546" s="35" t="str">
        <f t="shared" si="17"/>
        <v/>
      </c>
      <c r="E546" s="3"/>
      <c r="F546" s="3"/>
      <c r="G546" s="3"/>
      <c r="H546" s="3"/>
      <c r="I546" s="3"/>
      <c r="J546" s="3"/>
      <c r="K546" s="3"/>
      <c r="O546" s="4"/>
      <c r="R546" s="5"/>
    </row>
    <row r="547" ht="15.75" customHeight="1">
      <c r="A547" s="35" t="str">
        <f t="shared" si="17"/>
        <v/>
      </c>
      <c r="E547" s="3"/>
      <c r="F547" s="3"/>
      <c r="G547" s="3"/>
      <c r="H547" s="3"/>
      <c r="I547" s="3"/>
      <c r="J547" s="3"/>
      <c r="K547" s="3"/>
      <c r="O547" s="4"/>
      <c r="R547" s="5"/>
    </row>
    <row r="548" ht="15.75" customHeight="1">
      <c r="A548" s="35" t="str">
        <f t="shared" si="17"/>
        <v/>
      </c>
      <c r="E548" s="3"/>
      <c r="F548" s="3"/>
      <c r="G548" s="3"/>
      <c r="H548" s="3"/>
      <c r="I548" s="3"/>
      <c r="J548" s="3"/>
      <c r="K548" s="3"/>
      <c r="O548" s="4"/>
      <c r="R548" s="5"/>
    </row>
    <row r="549" ht="15.75" customHeight="1">
      <c r="A549" s="35" t="str">
        <f t="shared" si="17"/>
        <v/>
      </c>
      <c r="E549" s="3"/>
      <c r="F549" s="3"/>
      <c r="G549" s="3"/>
      <c r="H549" s="3"/>
      <c r="I549" s="3"/>
      <c r="J549" s="3"/>
      <c r="K549" s="3"/>
      <c r="O549" s="4"/>
      <c r="R549" s="5"/>
    </row>
    <row r="550" ht="15.75" customHeight="1">
      <c r="A550" s="35" t="str">
        <f t="shared" si="17"/>
        <v/>
      </c>
      <c r="E550" s="3"/>
      <c r="F550" s="3"/>
      <c r="G550" s="3"/>
      <c r="H550" s="3"/>
      <c r="I550" s="3"/>
      <c r="J550" s="3"/>
      <c r="K550" s="3"/>
      <c r="O550" s="4"/>
      <c r="R550" s="5"/>
    </row>
    <row r="551" ht="15.75" customHeight="1">
      <c r="A551" s="35" t="str">
        <f t="shared" si="17"/>
        <v/>
      </c>
      <c r="E551" s="3"/>
      <c r="F551" s="3"/>
      <c r="G551" s="3"/>
      <c r="H551" s="3"/>
      <c r="I551" s="3"/>
      <c r="J551" s="3"/>
      <c r="K551" s="3"/>
      <c r="O551" s="4"/>
      <c r="R551" s="5"/>
    </row>
    <row r="552" ht="15.75" customHeight="1">
      <c r="A552" s="35" t="str">
        <f t="shared" si="17"/>
        <v/>
      </c>
      <c r="E552" s="3"/>
      <c r="F552" s="3"/>
      <c r="G552" s="3"/>
      <c r="H552" s="3"/>
      <c r="I552" s="3"/>
      <c r="J552" s="3"/>
      <c r="K552" s="3"/>
      <c r="O552" s="4"/>
      <c r="R552" s="5"/>
    </row>
    <row r="553" ht="15.75" customHeight="1">
      <c r="A553" s="35" t="str">
        <f t="shared" si="17"/>
        <v/>
      </c>
      <c r="E553" s="3"/>
      <c r="F553" s="3"/>
      <c r="G553" s="3"/>
      <c r="H553" s="3"/>
      <c r="I553" s="3"/>
      <c r="J553" s="3"/>
      <c r="K553" s="3"/>
      <c r="O553" s="4"/>
      <c r="R553" s="5"/>
    </row>
    <row r="554" ht="15.75" customHeight="1">
      <c r="A554" s="35" t="str">
        <f t="shared" si="17"/>
        <v/>
      </c>
      <c r="E554" s="3"/>
      <c r="F554" s="3"/>
      <c r="G554" s="3"/>
      <c r="H554" s="3"/>
      <c r="I554" s="3"/>
      <c r="J554" s="3"/>
      <c r="K554" s="3"/>
      <c r="O554" s="4"/>
      <c r="R554" s="5"/>
    </row>
    <row r="555" ht="15.75" customHeight="1">
      <c r="A555" s="35" t="str">
        <f t="shared" si="17"/>
        <v/>
      </c>
      <c r="E555" s="3"/>
      <c r="F555" s="3"/>
      <c r="G555" s="3"/>
      <c r="H555" s="3"/>
      <c r="I555" s="3"/>
      <c r="J555" s="3"/>
      <c r="K555" s="3"/>
      <c r="O555" s="4"/>
      <c r="R555" s="5"/>
    </row>
    <row r="556" ht="15.75" customHeight="1">
      <c r="A556" s="35" t="str">
        <f t="shared" si="17"/>
        <v/>
      </c>
      <c r="E556" s="3"/>
      <c r="F556" s="3"/>
      <c r="G556" s="3"/>
      <c r="H556" s="3"/>
      <c r="I556" s="3"/>
      <c r="J556" s="3"/>
      <c r="K556" s="3"/>
      <c r="O556" s="4"/>
      <c r="R556" s="5"/>
    </row>
    <row r="557" ht="15.75" customHeight="1">
      <c r="A557" s="35" t="str">
        <f t="shared" si="17"/>
        <v/>
      </c>
      <c r="E557" s="3"/>
      <c r="F557" s="3"/>
      <c r="G557" s="3"/>
      <c r="H557" s="3"/>
      <c r="I557" s="3"/>
      <c r="J557" s="3"/>
      <c r="K557" s="3"/>
      <c r="O557" s="4"/>
      <c r="R557" s="5"/>
    </row>
    <row r="558" ht="15.75" customHeight="1">
      <c r="A558" s="35" t="str">
        <f t="shared" si="17"/>
        <v/>
      </c>
      <c r="E558" s="3"/>
      <c r="F558" s="3"/>
      <c r="G558" s="3"/>
      <c r="H558" s="3"/>
      <c r="I558" s="3"/>
      <c r="J558" s="3"/>
      <c r="K558" s="3"/>
      <c r="O558" s="4"/>
      <c r="R558" s="5"/>
    </row>
    <row r="559" ht="15.75" customHeight="1">
      <c r="A559" s="35" t="str">
        <f t="shared" si="17"/>
        <v/>
      </c>
      <c r="E559" s="3"/>
      <c r="F559" s="3"/>
      <c r="G559" s="3"/>
      <c r="H559" s="3"/>
      <c r="I559" s="3"/>
      <c r="J559" s="3"/>
      <c r="K559" s="3"/>
      <c r="O559" s="4"/>
      <c r="R559" s="5"/>
    </row>
    <row r="560" ht="15.75" customHeight="1">
      <c r="A560" s="35" t="str">
        <f t="shared" si="17"/>
        <v/>
      </c>
      <c r="E560" s="3"/>
      <c r="F560" s="3"/>
      <c r="G560" s="3"/>
      <c r="H560" s="3"/>
      <c r="I560" s="3"/>
      <c r="J560" s="3"/>
      <c r="K560" s="3"/>
      <c r="O560" s="4"/>
      <c r="R560" s="5"/>
    </row>
    <row r="561" ht="15.75" customHeight="1">
      <c r="A561" s="35" t="str">
        <f t="shared" si="17"/>
        <v/>
      </c>
      <c r="E561" s="3"/>
      <c r="F561" s="3"/>
      <c r="G561" s="3"/>
      <c r="H561" s="3"/>
      <c r="I561" s="3"/>
      <c r="J561" s="3"/>
      <c r="K561" s="3"/>
      <c r="O561" s="4"/>
      <c r="R561" s="5"/>
    </row>
    <row r="562" ht="15.75" customHeight="1">
      <c r="A562" s="35" t="str">
        <f t="shared" si="17"/>
        <v/>
      </c>
      <c r="E562" s="3"/>
      <c r="F562" s="3"/>
      <c r="G562" s="3"/>
      <c r="H562" s="3"/>
      <c r="I562" s="3"/>
      <c r="J562" s="3"/>
      <c r="K562" s="3"/>
      <c r="O562" s="4"/>
      <c r="R562" s="5"/>
    </row>
    <row r="563" ht="15.75" customHeight="1">
      <c r="A563" s="35" t="str">
        <f t="shared" si="17"/>
        <v/>
      </c>
      <c r="E563" s="3"/>
      <c r="F563" s="3"/>
      <c r="G563" s="3"/>
      <c r="H563" s="3"/>
      <c r="I563" s="3"/>
      <c r="J563" s="3"/>
      <c r="K563" s="3"/>
      <c r="O563" s="4"/>
      <c r="R563" s="5"/>
    </row>
    <row r="564" ht="15.75" customHeight="1">
      <c r="A564" s="35" t="str">
        <f t="shared" si="17"/>
        <v/>
      </c>
      <c r="E564" s="3"/>
      <c r="F564" s="3"/>
      <c r="G564" s="3"/>
      <c r="H564" s="3"/>
      <c r="I564" s="3"/>
      <c r="J564" s="3"/>
      <c r="K564" s="3"/>
      <c r="O564" s="4"/>
      <c r="R564" s="5"/>
    </row>
    <row r="565" ht="15.75" customHeight="1">
      <c r="A565" s="35" t="str">
        <f t="shared" si="17"/>
        <v/>
      </c>
      <c r="E565" s="3"/>
      <c r="F565" s="3"/>
      <c r="G565" s="3"/>
      <c r="H565" s="3"/>
      <c r="I565" s="3"/>
      <c r="J565" s="3"/>
      <c r="K565" s="3"/>
      <c r="O565" s="4"/>
      <c r="R565" s="5"/>
    </row>
    <row r="566" ht="15.75" customHeight="1">
      <c r="A566" s="35" t="str">
        <f t="shared" si="17"/>
        <v/>
      </c>
      <c r="E566" s="3"/>
      <c r="F566" s="3"/>
      <c r="G566" s="3"/>
      <c r="H566" s="3"/>
      <c r="I566" s="3"/>
      <c r="J566" s="3"/>
      <c r="K566" s="3"/>
      <c r="O566" s="4"/>
      <c r="R566" s="5"/>
    </row>
    <row r="567" ht="15.75" customHeight="1">
      <c r="A567" s="35" t="str">
        <f t="shared" si="17"/>
        <v/>
      </c>
      <c r="E567" s="3"/>
      <c r="F567" s="3"/>
      <c r="G567" s="3"/>
      <c r="H567" s="3"/>
      <c r="I567" s="3"/>
      <c r="J567" s="3"/>
      <c r="K567" s="3"/>
      <c r="O567" s="4"/>
      <c r="R567" s="5"/>
    </row>
    <row r="568" ht="15.75" customHeight="1">
      <c r="A568" s="35" t="str">
        <f t="shared" si="17"/>
        <v/>
      </c>
      <c r="E568" s="3"/>
      <c r="F568" s="3"/>
      <c r="G568" s="3"/>
      <c r="H568" s="3"/>
      <c r="I568" s="3"/>
      <c r="J568" s="3"/>
      <c r="K568" s="3"/>
      <c r="O568" s="4"/>
      <c r="R568" s="5"/>
    </row>
    <row r="569" ht="15.75" customHeight="1">
      <c r="A569" s="35" t="str">
        <f t="shared" si="17"/>
        <v/>
      </c>
      <c r="E569" s="3"/>
      <c r="F569" s="3"/>
      <c r="G569" s="3"/>
      <c r="H569" s="3"/>
      <c r="I569" s="3"/>
      <c r="J569" s="3"/>
      <c r="K569" s="3"/>
      <c r="O569" s="4"/>
      <c r="R569" s="5"/>
    </row>
    <row r="570" ht="15.75" customHeight="1">
      <c r="A570" s="35" t="str">
        <f t="shared" si="17"/>
        <v/>
      </c>
      <c r="E570" s="3"/>
      <c r="F570" s="3"/>
      <c r="G570" s="3"/>
      <c r="H570" s="3"/>
      <c r="I570" s="3"/>
      <c r="J570" s="3"/>
      <c r="K570" s="3"/>
      <c r="O570" s="4"/>
      <c r="R570" s="5"/>
    </row>
    <row r="571" ht="15.75" customHeight="1">
      <c r="A571" s="35" t="str">
        <f t="shared" si="17"/>
        <v/>
      </c>
      <c r="E571" s="3"/>
      <c r="F571" s="3"/>
      <c r="G571" s="3"/>
      <c r="H571" s="3"/>
      <c r="I571" s="3"/>
      <c r="J571" s="3"/>
      <c r="K571" s="3"/>
      <c r="O571" s="4"/>
      <c r="R571" s="5"/>
    </row>
    <row r="572" ht="15.75" customHeight="1">
      <c r="A572" s="35" t="str">
        <f t="shared" si="17"/>
        <v/>
      </c>
      <c r="E572" s="3"/>
      <c r="F572" s="3"/>
      <c r="G572" s="3"/>
      <c r="H572" s="3"/>
      <c r="I572" s="3"/>
      <c r="J572" s="3"/>
      <c r="K572" s="3"/>
      <c r="O572" s="4"/>
      <c r="R572" s="5"/>
    </row>
    <row r="573" ht="15.75" customHeight="1">
      <c r="A573" s="35" t="str">
        <f t="shared" si="17"/>
        <v/>
      </c>
      <c r="E573" s="3"/>
      <c r="F573" s="3"/>
      <c r="G573" s="3"/>
      <c r="H573" s="3"/>
      <c r="I573" s="3"/>
      <c r="J573" s="3"/>
      <c r="K573" s="3"/>
      <c r="O573" s="4"/>
      <c r="R573" s="5"/>
    </row>
    <row r="574" ht="15.75" customHeight="1">
      <c r="A574" s="35" t="str">
        <f t="shared" si="17"/>
        <v/>
      </c>
      <c r="E574" s="3"/>
      <c r="F574" s="3"/>
      <c r="G574" s="3"/>
      <c r="H574" s="3"/>
      <c r="I574" s="3"/>
      <c r="J574" s="3"/>
      <c r="K574" s="3"/>
      <c r="O574" s="4"/>
      <c r="R574" s="5"/>
    </row>
    <row r="575" ht="15.75" customHeight="1">
      <c r="A575" s="35" t="str">
        <f t="shared" si="17"/>
        <v/>
      </c>
      <c r="E575" s="3"/>
      <c r="F575" s="3"/>
      <c r="G575" s="3"/>
      <c r="H575" s="3"/>
      <c r="I575" s="3"/>
      <c r="J575" s="3"/>
      <c r="K575" s="3"/>
      <c r="O575" s="4"/>
      <c r="R575" s="5"/>
    </row>
    <row r="576" ht="15.75" customHeight="1">
      <c r="A576" s="35" t="str">
        <f t="shared" si="17"/>
        <v/>
      </c>
      <c r="E576" s="3"/>
      <c r="F576" s="3"/>
      <c r="G576" s="3"/>
      <c r="H576" s="3"/>
      <c r="I576" s="3"/>
      <c r="J576" s="3"/>
      <c r="K576" s="3"/>
      <c r="O576" s="4"/>
      <c r="R576" s="5"/>
    </row>
    <row r="577" ht="15.75" customHeight="1">
      <c r="A577" s="35" t="str">
        <f t="shared" si="17"/>
        <v/>
      </c>
      <c r="E577" s="3"/>
      <c r="F577" s="3"/>
      <c r="G577" s="3"/>
      <c r="H577" s="3"/>
      <c r="I577" s="3"/>
      <c r="J577" s="3"/>
      <c r="K577" s="3"/>
      <c r="O577" s="4"/>
      <c r="R577" s="5"/>
    </row>
    <row r="578" ht="15.75" customHeight="1">
      <c r="A578" s="35" t="str">
        <f t="shared" si="17"/>
        <v/>
      </c>
      <c r="E578" s="3"/>
      <c r="F578" s="3"/>
      <c r="G578" s="3"/>
      <c r="H578" s="3"/>
      <c r="I578" s="3"/>
      <c r="J578" s="3"/>
      <c r="K578" s="3"/>
      <c r="O578" s="4"/>
      <c r="R578" s="5"/>
    </row>
    <row r="579" ht="15.75" customHeight="1">
      <c r="A579" s="35" t="str">
        <f t="shared" si="17"/>
        <v/>
      </c>
      <c r="E579" s="3"/>
      <c r="F579" s="3"/>
      <c r="G579" s="3"/>
      <c r="H579" s="3"/>
      <c r="I579" s="3"/>
      <c r="J579" s="3"/>
      <c r="K579" s="3"/>
      <c r="O579" s="4"/>
      <c r="R579" s="5"/>
    </row>
    <row r="580" ht="15.75" customHeight="1">
      <c r="A580" s="35" t="str">
        <f t="shared" si="17"/>
        <v/>
      </c>
      <c r="E580" s="3"/>
      <c r="F580" s="3"/>
      <c r="G580" s="3"/>
      <c r="H580" s="3"/>
      <c r="I580" s="3"/>
      <c r="J580" s="3"/>
      <c r="K580" s="3"/>
      <c r="O580" s="4"/>
      <c r="R580" s="5"/>
    </row>
    <row r="581" ht="15.75" customHeight="1">
      <c r="A581" s="35" t="str">
        <f t="shared" si="17"/>
        <v/>
      </c>
      <c r="E581" s="3"/>
      <c r="F581" s="3"/>
      <c r="G581" s="3"/>
      <c r="H581" s="3"/>
      <c r="I581" s="3"/>
      <c r="J581" s="3"/>
      <c r="K581" s="3"/>
      <c r="O581" s="4"/>
      <c r="R581" s="5"/>
    </row>
    <row r="582" ht="15.75" customHeight="1">
      <c r="A582" s="35" t="str">
        <f t="shared" si="17"/>
        <v/>
      </c>
      <c r="E582" s="3"/>
      <c r="F582" s="3"/>
      <c r="G582" s="3"/>
      <c r="H582" s="3"/>
      <c r="I582" s="3"/>
      <c r="J582" s="3"/>
      <c r="K582" s="3"/>
      <c r="O582" s="4"/>
      <c r="R582" s="5"/>
    </row>
    <row r="583" ht="15.75" customHeight="1">
      <c r="A583" s="35" t="str">
        <f t="shared" si="17"/>
        <v/>
      </c>
      <c r="E583" s="3"/>
      <c r="F583" s="3"/>
      <c r="G583" s="3"/>
      <c r="H583" s="3"/>
      <c r="I583" s="3"/>
      <c r="J583" s="3"/>
      <c r="K583" s="3"/>
      <c r="O583" s="4"/>
      <c r="R583" s="5"/>
    </row>
    <row r="584" ht="15.75" customHeight="1">
      <c r="A584" s="35" t="str">
        <f t="shared" si="17"/>
        <v/>
      </c>
      <c r="E584" s="3"/>
      <c r="F584" s="3"/>
      <c r="G584" s="3"/>
      <c r="H584" s="3"/>
      <c r="I584" s="3"/>
      <c r="J584" s="3"/>
      <c r="K584" s="3"/>
      <c r="O584" s="4"/>
      <c r="R584" s="5"/>
    </row>
    <row r="585" ht="15.75" customHeight="1">
      <c r="A585" s="35" t="str">
        <f t="shared" si="17"/>
        <v/>
      </c>
      <c r="E585" s="3"/>
      <c r="F585" s="3"/>
      <c r="G585" s="3"/>
      <c r="H585" s="3"/>
      <c r="I585" s="3"/>
      <c r="J585" s="3"/>
      <c r="K585" s="3"/>
      <c r="O585" s="4"/>
      <c r="R585" s="5"/>
    </row>
    <row r="586" ht="15.75" customHeight="1">
      <c r="A586" s="35" t="str">
        <f t="shared" si="17"/>
        <v/>
      </c>
      <c r="E586" s="3"/>
      <c r="F586" s="3"/>
      <c r="G586" s="3"/>
      <c r="H586" s="3"/>
      <c r="I586" s="3"/>
      <c r="J586" s="3"/>
      <c r="K586" s="3"/>
      <c r="O586" s="4"/>
      <c r="R586" s="5"/>
    </row>
    <row r="587" ht="15.75" customHeight="1">
      <c r="A587" s="35" t="str">
        <f t="shared" si="17"/>
        <v/>
      </c>
      <c r="E587" s="3"/>
      <c r="F587" s="3"/>
      <c r="G587" s="3"/>
      <c r="H587" s="3"/>
      <c r="I587" s="3"/>
      <c r="J587" s="3"/>
      <c r="K587" s="3"/>
      <c r="O587" s="4"/>
      <c r="R587" s="5"/>
    </row>
    <row r="588" ht="15.75" customHeight="1">
      <c r="A588" s="35" t="str">
        <f t="shared" si="17"/>
        <v/>
      </c>
      <c r="E588" s="3"/>
      <c r="F588" s="3"/>
      <c r="G588" s="3"/>
      <c r="H588" s="3"/>
      <c r="I588" s="3"/>
      <c r="J588" s="3"/>
      <c r="K588" s="3"/>
      <c r="O588" s="4"/>
      <c r="R588" s="5"/>
    </row>
    <row r="589" ht="15.75" customHeight="1">
      <c r="A589" s="35" t="str">
        <f t="shared" si="17"/>
        <v/>
      </c>
      <c r="E589" s="3"/>
      <c r="F589" s="3"/>
      <c r="G589" s="3"/>
      <c r="H589" s="3"/>
      <c r="I589" s="3"/>
      <c r="J589" s="3"/>
      <c r="K589" s="3"/>
      <c r="O589" s="4"/>
      <c r="R589" s="5"/>
    </row>
    <row r="590" ht="15.75" customHeight="1">
      <c r="A590" s="35" t="str">
        <f t="shared" si="17"/>
        <v/>
      </c>
      <c r="E590" s="3"/>
      <c r="F590" s="3"/>
      <c r="G590" s="3"/>
      <c r="H590" s="3"/>
      <c r="I590" s="3"/>
      <c r="J590" s="3"/>
      <c r="K590" s="3"/>
      <c r="O590" s="4"/>
      <c r="R590" s="5"/>
    </row>
    <row r="591" ht="15.75" customHeight="1">
      <c r="A591" s="35" t="str">
        <f t="shared" si="17"/>
        <v/>
      </c>
      <c r="E591" s="3"/>
      <c r="F591" s="3"/>
      <c r="G591" s="3"/>
      <c r="H591" s="3"/>
      <c r="I591" s="3"/>
      <c r="J591" s="3"/>
      <c r="K591" s="3"/>
      <c r="O591" s="4"/>
      <c r="R591" s="5"/>
    </row>
    <row r="592" ht="15.75" customHeight="1">
      <c r="A592" s="35" t="str">
        <f t="shared" si="17"/>
        <v/>
      </c>
      <c r="E592" s="3"/>
      <c r="F592" s="3"/>
      <c r="G592" s="3"/>
      <c r="H592" s="3"/>
      <c r="I592" s="3"/>
      <c r="J592" s="3"/>
      <c r="K592" s="3"/>
      <c r="O592" s="4"/>
      <c r="R592" s="5"/>
    </row>
    <row r="593" ht="15.75" customHeight="1">
      <c r="A593" s="35" t="str">
        <f t="shared" si="17"/>
        <v/>
      </c>
      <c r="E593" s="3"/>
      <c r="F593" s="3"/>
      <c r="G593" s="3"/>
      <c r="H593" s="3"/>
      <c r="I593" s="3"/>
      <c r="J593" s="3"/>
      <c r="K593" s="3"/>
      <c r="O593" s="4"/>
      <c r="R593" s="5"/>
    </row>
    <row r="594" ht="15.75" customHeight="1">
      <c r="A594" s="35" t="str">
        <f t="shared" si="17"/>
        <v/>
      </c>
      <c r="E594" s="3"/>
      <c r="F594" s="3"/>
      <c r="G594" s="3"/>
      <c r="H594" s="3"/>
      <c r="I594" s="3"/>
      <c r="J594" s="3"/>
      <c r="K594" s="3"/>
      <c r="O594" s="4"/>
      <c r="R594" s="5"/>
    </row>
    <row r="595" ht="15.75" customHeight="1">
      <c r="A595" s="35" t="str">
        <f t="shared" si="17"/>
        <v/>
      </c>
      <c r="E595" s="3"/>
      <c r="F595" s="3"/>
      <c r="G595" s="3"/>
      <c r="H595" s="3"/>
      <c r="I595" s="3"/>
      <c r="J595" s="3"/>
      <c r="K595" s="3"/>
      <c r="O595" s="4"/>
      <c r="R595" s="5"/>
    </row>
    <row r="596" ht="15.75" customHeight="1">
      <c r="A596" s="35" t="str">
        <f t="shared" si="17"/>
        <v/>
      </c>
      <c r="E596" s="3"/>
      <c r="F596" s="3"/>
      <c r="G596" s="3"/>
      <c r="H596" s="3"/>
      <c r="I596" s="3"/>
      <c r="J596" s="3"/>
      <c r="K596" s="3"/>
      <c r="O596" s="4"/>
      <c r="R596" s="5"/>
    </row>
    <row r="597" ht="15.75" customHeight="1">
      <c r="A597" s="35" t="str">
        <f t="shared" si="17"/>
        <v/>
      </c>
      <c r="E597" s="3"/>
      <c r="F597" s="3"/>
      <c r="G597" s="3"/>
      <c r="H597" s="3"/>
      <c r="I597" s="3"/>
      <c r="J597" s="3"/>
      <c r="K597" s="3"/>
      <c r="O597" s="4"/>
      <c r="R597" s="5"/>
    </row>
    <row r="598" ht="15.75" customHeight="1">
      <c r="A598" s="35" t="str">
        <f t="shared" si="17"/>
        <v/>
      </c>
      <c r="E598" s="3"/>
      <c r="F598" s="3"/>
      <c r="G598" s="3"/>
      <c r="H598" s="3"/>
      <c r="I598" s="3"/>
      <c r="J598" s="3"/>
      <c r="K598" s="3"/>
      <c r="O598" s="4"/>
      <c r="R598" s="5"/>
    </row>
    <row r="599" ht="15.75" customHeight="1">
      <c r="A599" s="35" t="str">
        <f t="shared" si="17"/>
        <v/>
      </c>
      <c r="E599" s="3"/>
      <c r="F599" s="3"/>
      <c r="G599" s="3"/>
      <c r="H599" s="3"/>
      <c r="I599" s="3"/>
      <c r="J599" s="3"/>
      <c r="K599" s="3"/>
      <c r="O599" s="4"/>
      <c r="R599" s="5"/>
    </row>
    <row r="600" ht="15.75" customHeight="1">
      <c r="A600" s="35" t="str">
        <f t="shared" si="17"/>
        <v/>
      </c>
      <c r="E600" s="3"/>
      <c r="F600" s="3"/>
      <c r="G600" s="3"/>
      <c r="H600" s="3"/>
      <c r="I600" s="3"/>
      <c r="J600" s="3"/>
      <c r="K600" s="3"/>
      <c r="O600" s="4"/>
      <c r="R600" s="5"/>
    </row>
    <row r="601" ht="15.75" customHeight="1">
      <c r="A601" s="35" t="str">
        <f t="shared" si="17"/>
        <v/>
      </c>
      <c r="E601" s="3"/>
      <c r="F601" s="3"/>
      <c r="G601" s="3"/>
      <c r="H601" s="3"/>
      <c r="I601" s="3"/>
      <c r="J601" s="3"/>
      <c r="K601" s="3"/>
      <c r="O601" s="4"/>
      <c r="R601" s="5"/>
    </row>
    <row r="602" ht="15.75" customHeight="1">
      <c r="A602" s="35" t="str">
        <f t="shared" si="17"/>
        <v/>
      </c>
      <c r="E602" s="3"/>
      <c r="F602" s="3"/>
      <c r="G602" s="3"/>
      <c r="H602" s="3"/>
      <c r="I602" s="3"/>
      <c r="J602" s="3"/>
      <c r="K602" s="3"/>
      <c r="O602" s="4"/>
      <c r="R602" s="5"/>
    </row>
    <row r="603" ht="15.75" customHeight="1">
      <c r="A603" s="35" t="str">
        <f t="shared" si="17"/>
        <v/>
      </c>
      <c r="E603" s="3"/>
      <c r="F603" s="3"/>
      <c r="G603" s="3"/>
      <c r="H603" s="3"/>
      <c r="I603" s="3"/>
      <c r="J603" s="3"/>
      <c r="K603" s="3"/>
      <c r="O603" s="4"/>
      <c r="R603" s="5"/>
    </row>
    <row r="604" ht="15.75" customHeight="1">
      <c r="A604" s="35" t="str">
        <f t="shared" si="17"/>
        <v/>
      </c>
      <c r="E604" s="3"/>
      <c r="F604" s="3"/>
      <c r="G604" s="3"/>
      <c r="H604" s="3"/>
      <c r="I604" s="3"/>
      <c r="J604" s="3"/>
      <c r="K604" s="3"/>
      <c r="O604" s="4"/>
      <c r="R604" s="5"/>
    </row>
    <row r="605" ht="15.75" customHeight="1">
      <c r="A605" s="35" t="str">
        <f t="shared" si="17"/>
        <v/>
      </c>
      <c r="E605" s="3"/>
      <c r="F605" s="3"/>
      <c r="G605" s="3"/>
      <c r="H605" s="3"/>
      <c r="I605" s="3"/>
      <c r="J605" s="3"/>
      <c r="K605" s="3"/>
      <c r="O605" s="4"/>
      <c r="R605" s="5"/>
    </row>
    <row r="606" ht="15.75" customHeight="1">
      <c r="A606" s="35" t="str">
        <f t="shared" si="17"/>
        <v/>
      </c>
      <c r="E606" s="3"/>
      <c r="F606" s="3"/>
      <c r="G606" s="3"/>
      <c r="H606" s="3"/>
      <c r="I606" s="3"/>
      <c r="J606" s="3"/>
      <c r="K606" s="3"/>
      <c r="O606" s="4"/>
      <c r="R606" s="5"/>
    </row>
    <row r="607" ht="15.75" customHeight="1">
      <c r="A607" s="35" t="str">
        <f t="shared" si="17"/>
        <v/>
      </c>
      <c r="E607" s="3"/>
      <c r="F607" s="3"/>
      <c r="G607" s="3"/>
      <c r="H607" s="3"/>
      <c r="I607" s="3"/>
      <c r="J607" s="3"/>
      <c r="K607" s="3"/>
      <c r="O607" s="4"/>
      <c r="R607" s="5"/>
    </row>
    <row r="608" ht="15.75" customHeight="1">
      <c r="A608" s="35" t="str">
        <f t="shared" si="17"/>
        <v/>
      </c>
      <c r="E608" s="3"/>
      <c r="F608" s="3"/>
      <c r="G608" s="3"/>
      <c r="H608" s="3"/>
      <c r="I608" s="3"/>
      <c r="J608" s="3"/>
      <c r="K608" s="3"/>
      <c r="O608" s="4"/>
      <c r="R608" s="5"/>
    </row>
    <row r="609" ht="15.75" customHeight="1">
      <c r="A609" s="35" t="str">
        <f t="shared" si="17"/>
        <v/>
      </c>
      <c r="E609" s="3"/>
      <c r="F609" s="3"/>
      <c r="G609" s="3"/>
      <c r="H609" s="3"/>
      <c r="I609" s="3"/>
      <c r="J609" s="3"/>
      <c r="K609" s="3"/>
      <c r="O609" s="4"/>
      <c r="R609" s="5"/>
    </row>
    <row r="610" ht="15.75" customHeight="1">
      <c r="A610" s="35" t="str">
        <f t="shared" si="17"/>
        <v/>
      </c>
      <c r="E610" s="3"/>
      <c r="F610" s="3"/>
      <c r="G610" s="3"/>
      <c r="H610" s="3"/>
      <c r="I610" s="3"/>
      <c r="J610" s="3"/>
      <c r="K610" s="3"/>
      <c r="O610" s="4"/>
      <c r="R610" s="5"/>
    </row>
    <row r="611" ht="15.75" customHeight="1">
      <c r="A611" s="35" t="str">
        <f t="shared" si="17"/>
        <v/>
      </c>
      <c r="E611" s="3"/>
      <c r="F611" s="3"/>
      <c r="G611" s="3"/>
      <c r="H611" s="3"/>
      <c r="I611" s="3"/>
      <c r="J611" s="3"/>
      <c r="K611" s="3"/>
      <c r="O611" s="4"/>
      <c r="R611" s="5"/>
    </row>
    <row r="612" ht="15.75" customHeight="1">
      <c r="A612" s="35" t="str">
        <f t="shared" si="17"/>
        <v/>
      </c>
      <c r="E612" s="3"/>
      <c r="F612" s="3"/>
      <c r="G612" s="3"/>
      <c r="H612" s="3"/>
      <c r="I612" s="3"/>
      <c r="J612" s="3"/>
      <c r="K612" s="3"/>
      <c r="O612" s="4"/>
      <c r="R612" s="5"/>
    </row>
    <row r="613" ht="15.75" customHeight="1">
      <c r="A613" s="35" t="str">
        <f t="shared" si="17"/>
        <v/>
      </c>
      <c r="E613" s="3"/>
      <c r="F613" s="3"/>
      <c r="G613" s="3"/>
      <c r="H613" s="3"/>
      <c r="I613" s="3"/>
      <c r="J613" s="3"/>
      <c r="K613" s="3"/>
      <c r="O613" s="4"/>
      <c r="R613" s="5"/>
    </row>
    <row r="614" ht="15.75" customHeight="1">
      <c r="A614" s="35" t="str">
        <f t="shared" si="17"/>
        <v/>
      </c>
      <c r="E614" s="3"/>
      <c r="F614" s="3"/>
      <c r="G614" s="3"/>
      <c r="H614" s="3"/>
      <c r="I614" s="3"/>
      <c r="J614" s="3"/>
      <c r="K614" s="3"/>
      <c r="O614" s="4"/>
      <c r="R614" s="5"/>
    </row>
    <row r="615" ht="15.75" customHeight="1">
      <c r="A615" s="35" t="str">
        <f t="shared" si="17"/>
        <v/>
      </c>
      <c r="E615" s="3"/>
      <c r="F615" s="3"/>
      <c r="G615" s="3"/>
      <c r="H615" s="3"/>
      <c r="I615" s="3"/>
      <c r="J615" s="3"/>
      <c r="K615" s="3"/>
      <c r="O615" s="4"/>
      <c r="R615" s="5"/>
    </row>
    <row r="616" ht="15.75" customHeight="1">
      <c r="A616" s="35" t="str">
        <f t="shared" si="17"/>
        <v/>
      </c>
      <c r="E616" s="3"/>
      <c r="F616" s="3"/>
      <c r="G616" s="3"/>
      <c r="H616" s="3"/>
      <c r="I616" s="3"/>
      <c r="J616" s="3"/>
      <c r="K616" s="3"/>
      <c r="O616" s="4"/>
      <c r="R616" s="5"/>
    </row>
    <row r="617" ht="15.75" customHeight="1">
      <c r="A617" s="35" t="str">
        <f t="shared" si="17"/>
        <v/>
      </c>
      <c r="E617" s="3"/>
      <c r="F617" s="3"/>
      <c r="G617" s="3"/>
      <c r="H617" s="3"/>
      <c r="I617" s="3"/>
      <c r="J617" s="3"/>
      <c r="K617" s="3"/>
      <c r="O617" s="4"/>
      <c r="R617" s="5"/>
    </row>
    <row r="618" ht="15.75" customHeight="1">
      <c r="A618" s="35" t="str">
        <f t="shared" si="17"/>
        <v/>
      </c>
      <c r="E618" s="3"/>
      <c r="F618" s="3"/>
      <c r="G618" s="3"/>
      <c r="H618" s="3"/>
      <c r="I618" s="3"/>
      <c r="J618" s="3"/>
      <c r="K618" s="3"/>
      <c r="O618" s="4"/>
      <c r="R618" s="5"/>
    </row>
    <row r="619" ht="15.75" customHeight="1">
      <c r="A619" s="35" t="str">
        <f t="shared" si="17"/>
        <v/>
      </c>
      <c r="E619" s="3"/>
      <c r="F619" s="3"/>
      <c r="G619" s="3"/>
      <c r="H619" s="3"/>
      <c r="I619" s="3"/>
      <c r="J619" s="3"/>
      <c r="K619" s="3"/>
      <c r="O619" s="4"/>
      <c r="R619" s="5"/>
    </row>
    <row r="620" ht="15.75" customHeight="1">
      <c r="A620" s="35" t="str">
        <f t="shared" si="17"/>
        <v/>
      </c>
      <c r="E620" s="3"/>
      <c r="F620" s="3"/>
      <c r="G620" s="3"/>
      <c r="H620" s="3"/>
      <c r="I620" s="3"/>
      <c r="J620" s="3"/>
      <c r="K620" s="3"/>
      <c r="O620" s="4"/>
      <c r="R620" s="5"/>
    </row>
    <row r="621" ht="15.75" customHeight="1">
      <c r="A621" s="35" t="str">
        <f t="shared" si="17"/>
        <v/>
      </c>
      <c r="E621" s="3"/>
      <c r="F621" s="3"/>
      <c r="G621" s="3"/>
      <c r="H621" s="3"/>
      <c r="I621" s="3"/>
      <c r="J621" s="3"/>
      <c r="K621" s="3"/>
      <c r="O621" s="4"/>
      <c r="R621" s="5"/>
    </row>
    <row r="622" ht="15.75" customHeight="1">
      <c r="A622" s="35" t="str">
        <f t="shared" si="17"/>
        <v/>
      </c>
      <c r="E622" s="3"/>
      <c r="F622" s="3"/>
      <c r="G622" s="3"/>
      <c r="H622" s="3"/>
      <c r="I622" s="3"/>
      <c r="J622" s="3"/>
      <c r="K622" s="3"/>
      <c r="O622" s="4"/>
      <c r="R622" s="5"/>
    </row>
    <row r="623" ht="15.75" customHeight="1">
      <c r="A623" s="35" t="str">
        <f t="shared" si="17"/>
        <v/>
      </c>
      <c r="E623" s="3"/>
      <c r="F623" s="3"/>
      <c r="G623" s="3"/>
      <c r="H623" s="3"/>
      <c r="I623" s="3"/>
      <c r="J623" s="3"/>
      <c r="K623" s="3"/>
      <c r="O623" s="4"/>
      <c r="R623" s="5"/>
    </row>
    <row r="624" ht="15.75" customHeight="1">
      <c r="A624" s="35" t="str">
        <f t="shared" si="17"/>
        <v/>
      </c>
      <c r="E624" s="3"/>
      <c r="F624" s="3"/>
      <c r="G624" s="3"/>
      <c r="H624" s="3"/>
      <c r="I624" s="3"/>
      <c r="J624" s="3"/>
      <c r="K624" s="3"/>
      <c r="O624" s="4"/>
      <c r="R624" s="5"/>
    </row>
    <row r="625" ht="15.75" customHeight="1">
      <c r="A625" s="35" t="str">
        <f t="shared" si="17"/>
        <v/>
      </c>
      <c r="E625" s="3"/>
      <c r="F625" s="3"/>
      <c r="G625" s="3"/>
      <c r="H625" s="3"/>
      <c r="I625" s="3"/>
      <c r="J625" s="3"/>
      <c r="K625" s="3"/>
      <c r="O625" s="4"/>
      <c r="R625" s="5"/>
    </row>
    <row r="626" ht="15.75" customHeight="1">
      <c r="A626" s="35" t="str">
        <f t="shared" si="17"/>
        <v/>
      </c>
      <c r="E626" s="3"/>
      <c r="F626" s="3"/>
      <c r="G626" s="3"/>
      <c r="H626" s="3"/>
      <c r="I626" s="3"/>
      <c r="J626" s="3"/>
      <c r="K626" s="3"/>
      <c r="O626" s="4"/>
      <c r="R626" s="5"/>
    </row>
    <row r="627" ht="15.75" customHeight="1">
      <c r="A627" s="35" t="str">
        <f t="shared" si="17"/>
        <v/>
      </c>
      <c r="E627" s="3"/>
      <c r="F627" s="3"/>
      <c r="G627" s="3"/>
      <c r="H627" s="3"/>
      <c r="I627" s="3"/>
      <c r="J627" s="3"/>
      <c r="K627" s="3"/>
      <c r="O627" s="4"/>
      <c r="R627" s="5"/>
    </row>
    <row r="628" ht="15.75" customHeight="1">
      <c r="A628" s="35" t="str">
        <f t="shared" si="17"/>
        <v/>
      </c>
      <c r="E628" s="3"/>
      <c r="F628" s="3"/>
      <c r="G628" s="3"/>
      <c r="H628" s="3"/>
      <c r="I628" s="3"/>
      <c r="J628" s="3"/>
      <c r="K628" s="3"/>
      <c r="O628" s="4"/>
      <c r="R628" s="5"/>
    </row>
    <row r="629" ht="15.75" customHeight="1">
      <c r="A629" s="35" t="str">
        <f t="shared" si="17"/>
        <v/>
      </c>
      <c r="E629" s="3"/>
      <c r="F629" s="3"/>
      <c r="G629" s="3"/>
      <c r="H629" s="3"/>
      <c r="I629" s="3"/>
      <c r="J629" s="3"/>
      <c r="K629" s="3"/>
      <c r="O629" s="4"/>
      <c r="R629" s="5"/>
    </row>
    <row r="630" ht="15.75" customHeight="1">
      <c r="A630" s="35" t="str">
        <f t="shared" si="17"/>
        <v/>
      </c>
      <c r="E630" s="3"/>
      <c r="F630" s="3"/>
      <c r="G630" s="3"/>
      <c r="H630" s="3"/>
      <c r="I630" s="3"/>
      <c r="J630" s="3"/>
      <c r="K630" s="3"/>
      <c r="O630" s="4"/>
      <c r="R630" s="5"/>
    </row>
    <row r="631" ht="15.75" customHeight="1">
      <c r="A631" s="35" t="str">
        <f t="shared" si="17"/>
        <v/>
      </c>
      <c r="E631" s="3"/>
      <c r="F631" s="3"/>
      <c r="G631" s="3"/>
      <c r="H631" s="3"/>
      <c r="I631" s="3"/>
      <c r="J631" s="3"/>
      <c r="K631" s="3"/>
      <c r="O631" s="4"/>
      <c r="R631" s="5"/>
    </row>
    <row r="632" ht="15.75" customHeight="1">
      <c r="A632" s="35" t="str">
        <f t="shared" si="17"/>
        <v/>
      </c>
      <c r="E632" s="3"/>
      <c r="F632" s="3"/>
      <c r="G632" s="3"/>
      <c r="H632" s="3"/>
      <c r="I632" s="3"/>
      <c r="J632" s="3"/>
      <c r="K632" s="3"/>
      <c r="O632" s="4"/>
      <c r="R632" s="5"/>
    </row>
    <row r="633" ht="15.75" customHeight="1">
      <c r="A633" s="35" t="str">
        <f t="shared" si="17"/>
        <v/>
      </c>
      <c r="E633" s="3"/>
      <c r="F633" s="3"/>
      <c r="G633" s="3"/>
      <c r="H633" s="3"/>
      <c r="I633" s="3"/>
      <c r="J633" s="3"/>
      <c r="K633" s="3"/>
      <c r="O633" s="4"/>
      <c r="R633" s="5"/>
    </row>
    <row r="634" ht="15.75" customHeight="1">
      <c r="A634" s="35" t="str">
        <f t="shared" si="17"/>
        <v/>
      </c>
      <c r="E634" s="3"/>
      <c r="F634" s="3"/>
      <c r="G634" s="3"/>
      <c r="H634" s="3"/>
      <c r="I634" s="3"/>
      <c r="J634" s="3"/>
      <c r="K634" s="3"/>
      <c r="O634" s="4"/>
      <c r="R634" s="5"/>
    </row>
    <row r="635" ht="15.75" customHeight="1">
      <c r="A635" s="35" t="str">
        <f t="shared" si="17"/>
        <v/>
      </c>
      <c r="E635" s="3"/>
      <c r="F635" s="3"/>
      <c r="G635" s="3"/>
      <c r="H635" s="3"/>
      <c r="I635" s="3"/>
      <c r="J635" s="3"/>
      <c r="K635" s="3"/>
      <c r="O635" s="4"/>
      <c r="R635" s="5"/>
    </row>
    <row r="636" ht="15.75" customHeight="1">
      <c r="A636" s="35" t="str">
        <f t="shared" si="17"/>
        <v/>
      </c>
      <c r="E636" s="3"/>
      <c r="F636" s="3"/>
      <c r="G636" s="3"/>
      <c r="H636" s="3"/>
      <c r="I636" s="3"/>
      <c r="J636" s="3"/>
      <c r="K636" s="3"/>
      <c r="O636" s="4"/>
      <c r="R636" s="5"/>
    </row>
    <row r="637" ht="15.75" customHeight="1">
      <c r="A637" s="35" t="str">
        <f t="shared" si="17"/>
        <v/>
      </c>
      <c r="E637" s="3"/>
      <c r="F637" s="3"/>
      <c r="G637" s="3"/>
      <c r="H637" s="3"/>
      <c r="I637" s="3"/>
      <c r="J637" s="3"/>
      <c r="K637" s="3"/>
      <c r="O637" s="4"/>
      <c r="R637" s="5"/>
    </row>
    <row r="638" ht="15.75" customHeight="1">
      <c r="A638" s="35" t="str">
        <f t="shared" si="17"/>
        <v/>
      </c>
      <c r="E638" s="3"/>
      <c r="F638" s="3"/>
      <c r="G638" s="3"/>
      <c r="H638" s="3"/>
      <c r="I638" s="3"/>
      <c r="J638" s="3"/>
      <c r="K638" s="3"/>
      <c r="O638" s="4"/>
      <c r="R638" s="5"/>
    </row>
    <row r="639" ht="15.75" customHeight="1">
      <c r="A639" s="35" t="str">
        <f t="shared" si="17"/>
        <v/>
      </c>
      <c r="E639" s="3"/>
      <c r="F639" s="3"/>
      <c r="G639" s="3"/>
      <c r="H639" s="3"/>
      <c r="I639" s="3"/>
      <c r="J639" s="3"/>
      <c r="K639" s="3"/>
      <c r="O639" s="4"/>
      <c r="R639" s="5"/>
    </row>
    <row r="640" ht="15.75" customHeight="1">
      <c r="A640" s="35" t="str">
        <f t="shared" si="17"/>
        <v/>
      </c>
      <c r="E640" s="3"/>
      <c r="F640" s="3"/>
      <c r="G640" s="3"/>
      <c r="H640" s="3"/>
      <c r="I640" s="3"/>
      <c r="J640" s="3"/>
      <c r="K640" s="3"/>
      <c r="O640" s="4"/>
      <c r="R640" s="5"/>
    </row>
    <row r="641" ht="15.75" customHeight="1">
      <c r="A641" s="35" t="str">
        <f t="shared" si="17"/>
        <v/>
      </c>
      <c r="E641" s="3"/>
      <c r="F641" s="3"/>
      <c r="G641" s="3"/>
      <c r="H641" s="3"/>
      <c r="I641" s="3"/>
      <c r="J641" s="3"/>
      <c r="K641" s="3"/>
      <c r="O641" s="4"/>
      <c r="R641" s="5"/>
    </row>
    <row r="642" ht="15.75" customHeight="1">
      <c r="A642" s="35" t="str">
        <f t="shared" si="17"/>
        <v/>
      </c>
      <c r="E642" s="3"/>
      <c r="F642" s="3"/>
      <c r="G642" s="3"/>
      <c r="H642" s="3"/>
      <c r="I642" s="3"/>
      <c r="J642" s="3"/>
      <c r="K642" s="3"/>
      <c r="O642" s="4"/>
      <c r="R642" s="5"/>
    </row>
    <row r="643" ht="15.75" customHeight="1">
      <c r="A643" s="35" t="str">
        <f t="shared" si="17"/>
        <v/>
      </c>
      <c r="E643" s="3"/>
      <c r="F643" s="3"/>
      <c r="G643" s="3"/>
      <c r="H643" s="3"/>
      <c r="I643" s="3"/>
      <c r="J643" s="3"/>
      <c r="K643" s="3"/>
      <c r="O643" s="4"/>
      <c r="R643" s="5"/>
    </row>
    <row r="644" ht="15.75" customHeight="1">
      <c r="A644" s="35" t="str">
        <f t="shared" si="17"/>
        <v/>
      </c>
      <c r="E644" s="3"/>
      <c r="F644" s="3"/>
      <c r="G644" s="3"/>
      <c r="H644" s="3"/>
      <c r="I644" s="3"/>
      <c r="J644" s="3"/>
      <c r="K644" s="3"/>
      <c r="O644" s="4"/>
      <c r="R644" s="5"/>
    </row>
    <row r="645" ht="15.75" customHeight="1">
      <c r="A645" s="35" t="str">
        <f t="shared" si="17"/>
        <v/>
      </c>
      <c r="E645" s="3"/>
      <c r="F645" s="3"/>
      <c r="G645" s="3"/>
      <c r="H645" s="3"/>
      <c r="I645" s="3"/>
      <c r="J645" s="3"/>
      <c r="K645" s="3"/>
      <c r="O645" s="4"/>
      <c r="R645" s="5"/>
    </row>
    <row r="646" ht="15.75" customHeight="1">
      <c r="A646" s="35" t="str">
        <f t="shared" si="17"/>
        <v/>
      </c>
      <c r="E646" s="3"/>
      <c r="F646" s="3"/>
      <c r="G646" s="3"/>
      <c r="H646" s="3"/>
      <c r="I646" s="3"/>
      <c r="J646" s="3"/>
      <c r="K646" s="3"/>
      <c r="O646" s="4"/>
      <c r="R646" s="5"/>
    </row>
    <row r="647" ht="15.75" customHeight="1">
      <c r="A647" s="35" t="str">
        <f t="shared" si="17"/>
        <v/>
      </c>
      <c r="E647" s="3"/>
      <c r="F647" s="3"/>
      <c r="G647" s="3"/>
      <c r="H647" s="3"/>
      <c r="I647" s="3"/>
      <c r="J647" s="3"/>
      <c r="K647" s="3"/>
      <c r="O647" s="4"/>
      <c r="R647" s="5"/>
    </row>
    <row r="648" ht="15.75" customHeight="1">
      <c r="A648" s="35" t="str">
        <f t="shared" si="17"/>
        <v/>
      </c>
      <c r="E648" s="3"/>
      <c r="F648" s="3"/>
      <c r="G648" s="3"/>
      <c r="H648" s="3"/>
      <c r="I648" s="3"/>
      <c r="J648" s="3"/>
      <c r="K648" s="3"/>
      <c r="O648" s="4"/>
      <c r="R648" s="5"/>
    </row>
    <row r="649" ht="15.75" customHeight="1">
      <c r="A649" s="35" t="str">
        <f t="shared" si="17"/>
        <v/>
      </c>
      <c r="E649" s="3"/>
      <c r="F649" s="3"/>
      <c r="G649" s="3"/>
      <c r="H649" s="3"/>
      <c r="I649" s="3"/>
      <c r="J649" s="3"/>
      <c r="K649" s="3"/>
      <c r="O649" s="4"/>
      <c r="R649" s="5"/>
    </row>
    <row r="650" ht="15.75" customHeight="1">
      <c r="A650" s="35" t="str">
        <f t="shared" si="17"/>
        <v/>
      </c>
      <c r="E650" s="3"/>
      <c r="F650" s="3"/>
      <c r="G650" s="3"/>
      <c r="H650" s="3"/>
      <c r="I650" s="3"/>
      <c r="J650" s="3"/>
      <c r="K650" s="3"/>
      <c r="O650" s="4"/>
      <c r="R650" s="5"/>
    </row>
    <row r="651" ht="15.75" customHeight="1">
      <c r="A651" s="35" t="str">
        <f t="shared" si="17"/>
        <v/>
      </c>
      <c r="E651" s="3"/>
      <c r="F651" s="3"/>
      <c r="G651" s="3"/>
      <c r="H651" s="3"/>
      <c r="I651" s="3"/>
      <c r="J651" s="3"/>
      <c r="K651" s="3"/>
      <c r="O651" s="4"/>
      <c r="R651" s="5"/>
    </row>
    <row r="652" ht="15.75" customHeight="1">
      <c r="A652" s="35" t="str">
        <f t="shared" si="17"/>
        <v/>
      </c>
      <c r="E652" s="3"/>
      <c r="F652" s="3"/>
      <c r="G652" s="3"/>
      <c r="H652" s="3"/>
      <c r="I652" s="3"/>
      <c r="J652" s="3"/>
      <c r="K652" s="3"/>
      <c r="O652" s="4"/>
      <c r="R652" s="5"/>
    </row>
    <row r="653" ht="15.75" customHeight="1">
      <c r="A653" s="35" t="str">
        <f t="shared" si="17"/>
        <v/>
      </c>
      <c r="E653" s="3"/>
      <c r="F653" s="3"/>
      <c r="G653" s="3"/>
      <c r="H653" s="3"/>
      <c r="I653" s="3"/>
      <c r="J653" s="3"/>
      <c r="K653" s="3"/>
      <c r="O653" s="4"/>
      <c r="R653" s="5"/>
    </row>
    <row r="654" ht="15.75" customHeight="1">
      <c r="A654" s="35" t="str">
        <f t="shared" si="17"/>
        <v/>
      </c>
      <c r="E654" s="3"/>
      <c r="F654" s="3"/>
      <c r="G654" s="3"/>
      <c r="H654" s="3"/>
      <c r="I654" s="3"/>
      <c r="J654" s="3"/>
      <c r="K654" s="3"/>
      <c r="O654" s="4"/>
      <c r="R654" s="5"/>
    </row>
    <row r="655" ht="15.75" customHeight="1">
      <c r="A655" s="35" t="str">
        <f t="shared" si="17"/>
        <v/>
      </c>
      <c r="E655" s="3"/>
      <c r="F655" s="3"/>
      <c r="G655" s="3"/>
      <c r="H655" s="3"/>
      <c r="I655" s="3"/>
      <c r="J655" s="3"/>
      <c r="K655" s="3"/>
      <c r="O655" s="4"/>
      <c r="R655" s="5"/>
    </row>
    <row r="656" ht="15.75" customHeight="1">
      <c r="A656" s="35" t="str">
        <f t="shared" si="17"/>
        <v/>
      </c>
      <c r="E656" s="3"/>
      <c r="F656" s="3"/>
      <c r="G656" s="3"/>
      <c r="H656" s="3"/>
      <c r="I656" s="3"/>
      <c r="J656" s="3"/>
      <c r="K656" s="3"/>
      <c r="O656" s="4"/>
      <c r="R656" s="5"/>
    </row>
    <row r="657" ht="15.75" customHeight="1">
      <c r="A657" s="35" t="str">
        <f t="shared" si="17"/>
        <v/>
      </c>
      <c r="E657" s="3"/>
      <c r="F657" s="3"/>
      <c r="G657" s="3"/>
      <c r="H657" s="3"/>
      <c r="I657" s="3"/>
      <c r="J657" s="3"/>
      <c r="K657" s="3"/>
      <c r="O657" s="4"/>
      <c r="R657" s="5"/>
    </row>
    <row r="658" ht="15.75" customHeight="1">
      <c r="A658" s="35" t="str">
        <f t="shared" si="17"/>
        <v/>
      </c>
      <c r="E658" s="3"/>
      <c r="F658" s="3"/>
      <c r="G658" s="3"/>
      <c r="H658" s="3"/>
      <c r="I658" s="3"/>
      <c r="J658" s="3"/>
      <c r="K658" s="3"/>
      <c r="O658" s="4"/>
      <c r="R658" s="5"/>
    </row>
    <row r="659" ht="15.75" customHeight="1">
      <c r="A659" s="35" t="str">
        <f t="shared" si="17"/>
        <v/>
      </c>
      <c r="E659" s="3"/>
      <c r="F659" s="3"/>
      <c r="G659" s="3"/>
      <c r="H659" s="3"/>
      <c r="I659" s="3"/>
      <c r="J659" s="3"/>
      <c r="K659" s="3"/>
      <c r="O659" s="4"/>
      <c r="R659" s="5"/>
    </row>
    <row r="660" ht="15.75" customHeight="1">
      <c r="A660" s="35" t="str">
        <f t="shared" si="17"/>
        <v/>
      </c>
      <c r="E660" s="3"/>
      <c r="F660" s="3"/>
      <c r="G660" s="3"/>
      <c r="H660" s="3"/>
      <c r="I660" s="3"/>
      <c r="J660" s="3"/>
      <c r="K660" s="3"/>
      <c r="O660" s="4"/>
      <c r="R660" s="5"/>
    </row>
    <row r="661" ht="15.75" customHeight="1">
      <c r="A661" s="35" t="str">
        <f t="shared" si="17"/>
        <v/>
      </c>
      <c r="E661" s="3"/>
      <c r="F661" s="3"/>
      <c r="G661" s="3"/>
      <c r="H661" s="3"/>
      <c r="I661" s="3"/>
      <c r="J661" s="3"/>
      <c r="K661" s="3"/>
      <c r="O661" s="4"/>
      <c r="R661" s="5"/>
    </row>
    <row r="662" ht="15.75" customHeight="1">
      <c r="A662" s="35" t="str">
        <f t="shared" si="17"/>
        <v/>
      </c>
      <c r="E662" s="3"/>
      <c r="F662" s="3"/>
      <c r="G662" s="3"/>
      <c r="H662" s="3"/>
      <c r="I662" s="3"/>
      <c r="J662" s="3"/>
      <c r="K662" s="3"/>
      <c r="O662" s="4"/>
      <c r="R662" s="5"/>
    </row>
    <row r="663" ht="15.75" customHeight="1">
      <c r="A663" s="35" t="str">
        <f t="shared" si="17"/>
        <v/>
      </c>
      <c r="E663" s="3"/>
      <c r="F663" s="3"/>
      <c r="G663" s="3"/>
      <c r="H663" s="3"/>
      <c r="I663" s="3"/>
      <c r="J663" s="3"/>
      <c r="K663" s="3"/>
      <c r="O663" s="4"/>
      <c r="R663" s="5"/>
    </row>
    <row r="664" ht="15.75" customHeight="1">
      <c r="A664" s="35" t="str">
        <f t="shared" si="17"/>
        <v/>
      </c>
      <c r="E664" s="3"/>
      <c r="F664" s="3"/>
      <c r="G664" s="3"/>
      <c r="H664" s="3"/>
      <c r="I664" s="3"/>
      <c r="J664" s="3"/>
      <c r="K664" s="3"/>
      <c r="O664" s="4"/>
      <c r="R664" s="5"/>
    </row>
    <row r="665" ht="15.75" customHeight="1">
      <c r="A665" s="35" t="str">
        <f t="shared" si="17"/>
        <v/>
      </c>
      <c r="E665" s="3"/>
      <c r="F665" s="3"/>
      <c r="G665" s="3"/>
      <c r="H665" s="3"/>
      <c r="I665" s="3"/>
      <c r="J665" s="3"/>
      <c r="K665" s="3"/>
      <c r="O665" s="4"/>
      <c r="R665" s="5"/>
    </row>
    <row r="666" ht="15.75" customHeight="1">
      <c r="A666" s="35" t="str">
        <f t="shared" si="17"/>
        <v/>
      </c>
      <c r="E666" s="3"/>
      <c r="F666" s="3"/>
      <c r="G666" s="3"/>
      <c r="H666" s="3"/>
      <c r="I666" s="3"/>
      <c r="J666" s="3"/>
      <c r="K666" s="3"/>
      <c r="O666" s="4"/>
      <c r="R666" s="5"/>
    </row>
    <row r="667" ht="15.75" customHeight="1">
      <c r="A667" s="35" t="str">
        <f t="shared" si="17"/>
        <v/>
      </c>
      <c r="E667" s="3"/>
      <c r="F667" s="3"/>
      <c r="G667" s="3"/>
      <c r="H667" s="3"/>
      <c r="I667" s="3"/>
      <c r="J667" s="3"/>
      <c r="K667" s="3"/>
      <c r="O667" s="4"/>
      <c r="R667" s="5"/>
    </row>
    <row r="668" ht="15.75" customHeight="1">
      <c r="A668" s="35" t="str">
        <f t="shared" si="17"/>
        <v/>
      </c>
      <c r="E668" s="3"/>
      <c r="F668" s="3"/>
      <c r="G668" s="3"/>
      <c r="H668" s="3"/>
      <c r="I668" s="3"/>
      <c r="J668" s="3"/>
      <c r="K668" s="3"/>
      <c r="O668" s="4"/>
      <c r="R668" s="5"/>
    </row>
    <row r="669" ht="15.75" customHeight="1">
      <c r="A669" s="35" t="str">
        <f t="shared" si="17"/>
        <v/>
      </c>
      <c r="E669" s="3"/>
      <c r="F669" s="3"/>
      <c r="G669" s="3"/>
      <c r="H669" s="3"/>
      <c r="I669" s="3"/>
      <c r="J669" s="3"/>
      <c r="K669" s="3"/>
      <c r="O669" s="4"/>
      <c r="R669" s="5"/>
    </row>
    <row r="670" ht="15.75" customHeight="1">
      <c r="A670" s="35" t="str">
        <f t="shared" si="17"/>
        <v/>
      </c>
      <c r="E670" s="3"/>
      <c r="F670" s="3"/>
      <c r="G670" s="3"/>
      <c r="H670" s="3"/>
      <c r="I670" s="3"/>
      <c r="J670" s="3"/>
      <c r="K670" s="3"/>
      <c r="O670" s="4"/>
      <c r="R670" s="5"/>
    </row>
    <row r="671" ht="15.75" customHeight="1">
      <c r="A671" s="35" t="str">
        <f t="shared" si="17"/>
        <v/>
      </c>
      <c r="E671" s="3"/>
      <c r="F671" s="3"/>
      <c r="G671" s="3"/>
      <c r="H671" s="3"/>
      <c r="I671" s="3"/>
      <c r="J671" s="3"/>
      <c r="K671" s="3"/>
      <c r="O671" s="4"/>
      <c r="R671" s="5"/>
    </row>
    <row r="672" ht="15.75" customHeight="1">
      <c r="A672" s="35" t="str">
        <f t="shared" si="17"/>
        <v/>
      </c>
      <c r="E672" s="3"/>
      <c r="F672" s="3"/>
      <c r="G672" s="3"/>
      <c r="H672" s="3"/>
      <c r="I672" s="3"/>
      <c r="J672" s="3"/>
      <c r="K672" s="3"/>
      <c r="O672" s="4"/>
      <c r="R672" s="5"/>
    </row>
    <row r="673" ht="15.75" customHeight="1">
      <c r="A673" s="35" t="str">
        <f t="shared" si="17"/>
        <v/>
      </c>
      <c r="E673" s="3"/>
      <c r="F673" s="3"/>
      <c r="G673" s="3"/>
      <c r="H673" s="3"/>
      <c r="I673" s="3"/>
      <c r="J673" s="3"/>
      <c r="K673" s="3"/>
      <c r="O673" s="4"/>
      <c r="R673" s="5"/>
    </row>
    <row r="674" ht="15.75" customHeight="1">
      <c r="A674" s="35" t="str">
        <f t="shared" si="17"/>
        <v/>
      </c>
      <c r="E674" s="3"/>
      <c r="F674" s="3"/>
      <c r="G674" s="3"/>
      <c r="H674" s="3"/>
      <c r="I674" s="3"/>
      <c r="J674" s="3"/>
      <c r="K674" s="3"/>
      <c r="O674" s="4"/>
      <c r="R674" s="5"/>
    </row>
    <row r="675" ht="15.75" customHeight="1">
      <c r="A675" s="35" t="str">
        <f t="shared" si="17"/>
        <v/>
      </c>
      <c r="E675" s="3"/>
      <c r="F675" s="3"/>
      <c r="G675" s="3"/>
      <c r="H675" s="3"/>
      <c r="I675" s="3"/>
      <c r="J675" s="3"/>
      <c r="K675" s="3"/>
      <c r="O675" s="4"/>
      <c r="R675" s="5"/>
    </row>
    <row r="676" ht="15.75" customHeight="1">
      <c r="A676" s="35" t="str">
        <f t="shared" si="17"/>
        <v/>
      </c>
      <c r="E676" s="3"/>
      <c r="F676" s="3"/>
      <c r="G676" s="3"/>
      <c r="H676" s="3"/>
      <c r="I676" s="3"/>
      <c r="J676" s="3"/>
      <c r="K676" s="3"/>
      <c r="O676" s="4"/>
      <c r="R676" s="5"/>
    </row>
    <row r="677" ht="15.75" customHeight="1">
      <c r="A677" s="35" t="str">
        <f t="shared" si="17"/>
        <v/>
      </c>
      <c r="E677" s="3"/>
      <c r="F677" s="3"/>
      <c r="G677" s="3"/>
      <c r="H677" s="3"/>
      <c r="I677" s="3"/>
      <c r="J677" s="3"/>
      <c r="K677" s="3"/>
      <c r="O677" s="4"/>
      <c r="R677" s="5"/>
    </row>
    <row r="678" ht="15.75" customHeight="1">
      <c r="A678" s="35" t="str">
        <f t="shared" si="17"/>
        <v/>
      </c>
      <c r="E678" s="3"/>
      <c r="F678" s="3"/>
      <c r="G678" s="3"/>
      <c r="H678" s="3"/>
      <c r="I678" s="3"/>
      <c r="J678" s="3"/>
      <c r="K678" s="3"/>
      <c r="O678" s="4"/>
      <c r="R678" s="5"/>
    </row>
    <row r="679" ht="15.75" customHeight="1">
      <c r="A679" s="35" t="str">
        <f t="shared" si="17"/>
        <v/>
      </c>
      <c r="E679" s="3"/>
      <c r="F679" s="3"/>
      <c r="G679" s="3"/>
      <c r="H679" s="3"/>
      <c r="I679" s="3"/>
      <c r="J679" s="3"/>
      <c r="K679" s="3"/>
      <c r="O679" s="4"/>
      <c r="R679" s="5"/>
    </row>
    <row r="680" ht="15.75" customHeight="1">
      <c r="A680" s="35" t="str">
        <f t="shared" si="17"/>
        <v/>
      </c>
      <c r="E680" s="3"/>
      <c r="F680" s="3"/>
      <c r="G680" s="3"/>
      <c r="H680" s="3"/>
      <c r="I680" s="3"/>
      <c r="J680" s="3"/>
      <c r="K680" s="3"/>
      <c r="O680" s="4"/>
      <c r="R680" s="5"/>
    </row>
    <row r="681" ht="15.75" customHeight="1">
      <c r="A681" s="35" t="str">
        <f t="shared" si="17"/>
        <v/>
      </c>
      <c r="E681" s="3"/>
      <c r="F681" s="3"/>
      <c r="G681" s="3"/>
      <c r="H681" s="3"/>
      <c r="I681" s="3"/>
      <c r="J681" s="3"/>
      <c r="K681" s="3"/>
      <c r="O681" s="4"/>
      <c r="R681" s="5"/>
    </row>
    <row r="682" ht="15.75" customHeight="1">
      <c r="A682" s="35" t="str">
        <f t="shared" si="17"/>
        <v/>
      </c>
      <c r="E682" s="3"/>
      <c r="F682" s="3"/>
      <c r="G682" s="3"/>
      <c r="H682" s="3"/>
      <c r="I682" s="3"/>
      <c r="J682" s="3"/>
      <c r="K682" s="3"/>
      <c r="O682" s="4"/>
      <c r="R682" s="5"/>
    </row>
    <row r="683" ht="15.75" customHeight="1">
      <c r="A683" s="35" t="str">
        <f t="shared" si="17"/>
        <v/>
      </c>
      <c r="E683" s="3"/>
      <c r="F683" s="3"/>
      <c r="G683" s="3"/>
      <c r="H683" s="3"/>
      <c r="I683" s="3"/>
      <c r="J683" s="3"/>
      <c r="K683" s="3"/>
      <c r="O683" s="4"/>
      <c r="R683" s="5"/>
    </row>
    <row r="684" ht="15.75" customHeight="1">
      <c r="A684" s="35" t="str">
        <f t="shared" si="17"/>
        <v/>
      </c>
      <c r="E684" s="3"/>
      <c r="F684" s="3"/>
      <c r="G684" s="3"/>
      <c r="H684" s="3"/>
      <c r="I684" s="3"/>
      <c r="J684" s="3"/>
      <c r="K684" s="3"/>
      <c r="O684" s="4"/>
      <c r="R684" s="5"/>
    </row>
    <row r="685" ht="15.75" customHeight="1">
      <c r="A685" s="35" t="str">
        <f t="shared" si="17"/>
        <v/>
      </c>
      <c r="E685" s="3"/>
      <c r="F685" s="3"/>
      <c r="G685" s="3"/>
      <c r="H685" s="3"/>
      <c r="I685" s="3"/>
      <c r="J685" s="3"/>
      <c r="K685" s="3"/>
      <c r="O685" s="4"/>
      <c r="R685" s="5"/>
    </row>
    <row r="686" ht="15.75" customHeight="1">
      <c r="A686" s="35" t="str">
        <f t="shared" si="17"/>
        <v/>
      </c>
      <c r="E686" s="3"/>
      <c r="F686" s="3"/>
      <c r="G686" s="3"/>
      <c r="H686" s="3"/>
      <c r="I686" s="3"/>
      <c r="J686" s="3"/>
      <c r="K686" s="3"/>
      <c r="O686" s="4"/>
      <c r="R686" s="5"/>
    </row>
    <row r="687" ht="15.75" customHeight="1">
      <c r="A687" s="35" t="str">
        <f t="shared" si="17"/>
        <v/>
      </c>
      <c r="E687" s="3"/>
      <c r="F687" s="3"/>
      <c r="G687" s="3"/>
      <c r="H687" s="3"/>
      <c r="I687" s="3"/>
      <c r="J687" s="3"/>
      <c r="K687" s="3"/>
      <c r="O687" s="4"/>
      <c r="R687" s="5"/>
    </row>
    <row r="688" ht="15.75" customHeight="1">
      <c r="A688" s="35" t="str">
        <f t="shared" si="17"/>
        <v/>
      </c>
      <c r="E688" s="3"/>
      <c r="F688" s="3"/>
      <c r="G688" s="3"/>
      <c r="H688" s="3"/>
      <c r="I688" s="3"/>
      <c r="J688" s="3"/>
      <c r="K688" s="3"/>
      <c r="O688" s="4"/>
      <c r="R688" s="5"/>
    </row>
    <row r="689" ht="15.75" customHeight="1">
      <c r="A689" s="35" t="str">
        <f t="shared" si="17"/>
        <v/>
      </c>
      <c r="E689" s="3"/>
      <c r="F689" s="3"/>
      <c r="G689" s="3"/>
      <c r="H689" s="3"/>
      <c r="I689" s="3"/>
      <c r="J689" s="3"/>
      <c r="K689" s="3"/>
      <c r="O689" s="4"/>
      <c r="R689" s="5"/>
    </row>
    <row r="690" ht="15.75" customHeight="1">
      <c r="A690" s="35" t="str">
        <f t="shared" si="17"/>
        <v/>
      </c>
      <c r="E690" s="3"/>
      <c r="F690" s="3"/>
      <c r="G690" s="3"/>
      <c r="H690" s="3"/>
      <c r="I690" s="3"/>
      <c r="J690" s="3"/>
      <c r="K690" s="3"/>
      <c r="O690" s="4"/>
      <c r="R690" s="5"/>
    </row>
    <row r="691" ht="15.75" customHeight="1">
      <c r="A691" s="35" t="str">
        <f t="shared" si="17"/>
        <v/>
      </c>
      <c r="E691" s="3"/>
      <c r="F691" s="3"/>
      <c r="G691" s="3"/>
      <c r="H691" s="3"/>
      <c r="I691" s="3"/>
      <c r="J691" s="3"/>
      <c r="K691" s="3"/>
      <c r="O691" s="4"/>
      <c r="R691" s="5"/>
    </row>
    <row r="692" ht="15.75" customHeight="1">
      <c r="A692" s="35" t="str">
        <f t="shared" si="17"/>
        <v/>
      </c>
      <c r="E692" s="3"/>
      <c r="F692" s="3"/>
      <c r="G692" s="3"/>
      <c r="H692" s="3"/>
      <c r="I692" s="3"/>
      <c r="J692" s="3"/>
      <c r="K692" s="3"/>
      <c r="O692" s="4"/>
      <c r="R692" s="5"/>
    </row>
    <row r="693" ht="15.75" customHeight="1">
      <c r="A693" s="35" t="str">
        <f t="shared" si="17"/>
        <v/>
      </c>
      <c r="E693" s="3"/>
      <c r="F693" s="3"/>
      <c r="G693" s="3"/>
      <c r="H693" s="3"/>
      <c r="I693" s="3"/>
      <c r="J693" s="3"/>
      <c r="K693" s="3"/>
      <c r="O693" s="4"/>
      <c r="R693" s="5"/>
    </row>
    <row r="694" ht="15.75" customHeight="1">
      <c r="A694" s="35" t="str">
        <f t="shared" si="17"/>
        <v/>
      </c>
      <c r="E694" s="3"/>
      <c r="F694" s="3"/>
      <c r="G694" s="3"/>
      <c r="H694" s="3"/>
      <c r="I694" s="3"/>
      <c r="J694" s="3"/>
      <c r="K694" s="3"/>
      <c r="O694" s="4"/>
      <c r="R694" s="5"/>
    </row>
    <row r="695" ht="15.75" customHeight="1">
      <c r="A695" s="35" t="str">
        <f t="shared" si="17"/>
        <v/>
      </c>
      <c r="E695" s="3"/>
      <c r="F695" s="3"/>
      <c r="G695" s="3"/>
      <c r="H695" s="3"/>
      <c r="I695" s="3"/>
      <c r="J695" s="3"/>
      <c r="K695" s="3"/>
      <c r="O695" s="4"/>
      <c r="R695" s="5"/>
    </row>
    <row r="696" ht="15.75" customHeight="1">
      <c r="A696" s="35" t="str">
        <f t="shared" si="17"/>
        <v/>
      </c>
      <c r="E696" s="3"/>
      <c r="F696" s="3"/>
      <c r="G696" s="3"/>
      <c r="H696" s="3"/>
      <c r="I696" s="3"/>
      <c r="J696" s="3"/>
      <c r="K696" s="3"/>
      <c r="O696" s="4"/>
      <c r="R696" s="5"/>
    </row>
    <row r="697" ht="15.75" customHeight="1">
      <c r="A697" s="35" t="str">
        <f t="shared" si="17"/>
        <v/>
      </c>
      <c r="E697" s="3"/>
      <c r="F697" s="3"/>
      <c r="G697" s="3"/>
      <c r="H697" s="3"/>
      <c r="I697" s="3"/>
      <c r="J697" s="3"/>
      <c r="K697" s="3"/>
      <c r="O697" s="4"/>
      <c r="R697" s="5"/>
    </row>
    <row r="698" ht="15.75" customHeight="1">
      <c r="E698" s="3"/>
      <c r="F698" s="3"/>
      <c r="G698" s="3"/>
      <c r="H698" s="3"/>
      <c r="I698" s="3"/>
      <c r="J698" s="3"/>
      <c r="K698" s="3"/>
      <c r="O698" s="4"/>
      <c r="R698" s="5"/>
      <c r="S698" s="19"/>
      <c r="T698" s="63"/>
    </row>
    <row r="699" ht="15.75" customHeight="1">
      <c r="E699" s="3"/>
      <c r="F699" s="3"/>
      <c r="G699" s="3"/>
      <c r="H699" s="3"/>
      <c r="I699" s="3"/>
      <c r="J699" s="3"/>
      <c r="K699" s="3"/>
      <c r="L699" s="20"/>
      <c r="O699" s="4"/>
      <c r="R699" s="5"/>
    </row>
    <row r="700" ht="15.75" customHeight="1">
      <c r="E700" s="3"/>
      <c r="F700" s="3"/>
      <c r="G700" s="3"/>
      <c r="H700" s="3"/>
      <c r="I700" s="3"/>
      <c r="J700" s="3"/>
      <c r="K700" s="3"/>
      <c r="O700" s="4"/>
      <c r="R700" s="5"/>
      <c r="S700" s="20"/>
      <c r="T700" s="20"/>
      <c r="U700" s="20"/>
    </row>
    <row r="701" ht="15.75" customHeight="1">
      <c r="E701" s="3"/>
      <c r="F701" s="3"/>
      <c r="G701" s="3"/>
      <c r="H701" s="3"/>
      <c r="I701" s="3"/>
      <c r="J701" s="3"/>
      <c r="K701" s="3"/>
      <c r="O701" s="4"/>
      <c r="R701" s="5"/>
      <c r="T701" s="63"/>
      <c r="U701" s="63"/>
    </row>
    <row r="702" ht="15.75" customHeight="1">
      <c r="E702" s="3"/>
      <c r="F702" s="3"/>
      <c r="G702" s="3"/>
      <c r="H702" s="3"/>
      <c r="I702" s="3"/>
      <c r="J702" s="3"/>
      <c r="K702" s="3"/>
      <c r="O702" s="4"/>
      <c r="R702" s="5"/>
      <c r="U702" s="21"/>
    </row>
    <row r="703" ht="15.75" customHeight="1">
      <c r="E703" s="3"/>
      <c r="F703" s="3"/>
      <c r="G703" s="3"/>
      <c r="H703" s="3"/>
      <c r="I703" s="3"/>
      <c r="J703" s="3"/>
      <c r="K703" s="3"/>
      <c r="O703" s="4"/>
      <c r="R703" s="5"/>
      <c r="T703" s="63"/>
    </row>
    <row r="704" ht="15.75" customHeight="1">
      <c r="E704" s="3"/>
      <c r="F704" s="3"/>
      <c r="G704" s="3"/>
      <c r="H704" s="3"/>
      <c r="I704" s="3"/>
      <c r="J704" s="3"/>
      <c r="K704" s="3"/>
      <c r="O704" s="4"/>
      <c r="R704" s="5"/>
    </row>
    <row r="705" ht="15.75" customHeight="1">
      <c r="E705" s="3"/>
      <c r="F705" s="3"/>
      <c r="G705" s="3"/>
      <c r="H705" s="3"/>
      <c r="I705" s="3"/>
      <c r="J705" s="3"/>
      <c r="K705" s="3"/>
      <c r="O705" s="4"/>
      <c r="R705" s="5"/>
      <c r="T705" s="63"/>
    </row>
    <row r="706" ht="15.75" customHeight="1">
      <c r="E706" s="3"/>
      <c r="F706" s="3"/>
      <c r="G706" s="3"/>
      <c r="H706" s="3"/>
      <c r="I706" s="3"/>
      <c r="J706" s="3"/>
      <c r="K706" s="3"/>
      <c r="O706" s="4"/>
      <c r="R706" s="5"/>
    </row>
    <row r="707" ht="15.75" customHeight="1">
      <c r="E707" s="3"/>
      <c r="F707" s="3"/>
      <c r="G707" s="3"/>
      <c r="H707" s="3"/>
      <c r="I707" s="3"/>
      <c r="J707" s="3"/>
      <c r="K707" s="3"/>
      <c r="O707" s="4"/>
      <c r="R707" s="5"/>
    </row>
    <row r="708" ht="15.75" customHeight="1">
      <c r="E708" s="3"/>
      <c r="F708" s="3"/>
      <c r="G708" s="3"/>
      <c r="H708" s="3"/>
      <c r="I708" s="3"/>
      <c r="J708" s="3"/>
      <c r="K708" s="3"/>
      <c r="O708" s="4"/>
      <c r="R708" s="5"/>
      <c r="T708" s="63"/>
    </row>
    <row r="709" ht="15.75" customHeight="1">
      <c r="E709" s="3"/>
      <c r="F709" s="3"/>
      <c r="G709" s="3"/>
      <c r="H709" s="3"/>
      <c r="I709" s="3"/>
      <c r="J709" s="3"/>
      <c r="K709" s="3"/>
      <c r="O709" s="4"/>
      <c r="R709" s="64"/>
    </row>
    <row r="710" ht="15.75" customHeight="1">
      <c r="E710" s="3"/>
      <c r="F710" s="3"/>
      <c r="G710" s="3"/>
      <c r="H710" s="3"/>
      <c r="I710" s="3"/>
      <c r="J710" s="3"/>
      <c r="K710" s="3"/>
      <c r="O710" s="4"/>
      <c r="R710" s="5"/>
    </row>
    <row r="711" ht="15.75" customHeight="1">
      <c r="E711" s="3"/>
      <c r="F711" s="3"/>
      <c r="G711" s="3"/>
      <c r="H711" s="3"/>
      <c r="I711" s="3"/>
      <c r="J711" s="3"/>
      <c r="K711" s="3"/>
      <c r="O711" s="4"/>
      <c r="R711" s="64"/>
    </row>
  </sheetData>
  <autoFilter ref="$A$2:$Q$697"/>
  <conditionalFormatting sqref="L167:L172">
    <cfRule type="expression" dxfId="0" priority="1">
      <formula>A167="Inflow"</formula>
    </cfRule>
  </conditionalFormatting>
  <conditionalFormatting sqref="L167:L172">
    <cfRule type="expression" dxfId="1" priority="2">
      <formula>A167="Outflow"</formula>
    </cfRule>
  </conditionalFormatting>
  <conditionalFormatting sqref="L174:L178">
    <cfRule type="expression" dxfId="0" priority="3">
      <formula>A174="Inflow"</formula>
    </cfRule>
  </conditionalFormatting>
  <conditionalFormatting sqref="L174:L178">
    <cfRule type="expression" dxfId="1" priority="4">
      <formula>A174="Outflow"</formula>
    </cfRule>
  </conditionalFormatting>
  <conditionalFormatting sqref="L184:L191">
    <cfRule type="expression" dxfId="0" priority="5">
      <formula>A184="Inflow"</formula>
    </cfRule>
  </conditionalFormatting>
  <conditionalFormatting sqref="L184:L191">
    <cfRule type="expression" dxfId="1" priority="6">
      <formula>A184="Outflow"</formula>
    </cfRule>
  </conditionalFormatting>
  <conditionalFormatting sqref="L205">
    <cfRule type="expression" dxfId="0" priority="7">
      <formula>A205="Inflow"</formula>
    </cfRule>
  </conditionalFormatting>
  <conditionalFormatting sqref="L205">
    <cfRule type="expression" dxfId="1" priority="8">
      <formula>A205="Outflow"</formula>
    </cfRule>
  </conditionalFormatting>
  <conditionalFormatting sqref="L222">
    <cfRule type="expression" dxfId="0" priority="9">
      <formula>A222="Inflow"</formula>
    </cfRule>
  </conditionalFormatting>
  <conditionalFormatting sqref="L222">
    <cfRule type="expression" dxfId="1" priority="10">
      <formula>A222="Outflow"</formula>
    </cfRule>
  </conditionalFormatting>
  <conditionalFormatting sqref="L232">
    <cfRule type="expression" dxfId="0" priority="11">
      <formula>A232="Inflow"</formula>
    </cfRule>
  </conditionalFormatting>
  <conditionalFormatting sqref="L232">
    <cfRule type="expression" dxfId="1" priority="12">
      <formula>A232="Outflow"</formula>
    </cfRule>
  </conditionalFormatting>
  <conditionalFormatting sqref="O222">
    <cfRule type="expression" dxfId="0" priority="13">
      <formula>C222="Inflow"</formula>
    </cfRule>
  </conditionalFormatting>
  <conditionalFormatting sqref="O222">
    <cfRule type="expression" dxfId="1" priority="14">
      <formula>C222="Outflow"</formula>
    </cfRule>
  </conditionalFormatting>
  <conditionalFormatting sqref="O232">
    <cfRule type="expression" dxfId="0" priority="15">
      <formula>C232="Inflow"</formula>
    </cfRule>
  </conditionalFormatting>
  <conditionalFormatting sqref="O232">
    <cfRule type="expression" dxfId="1" priority="16">
      <formula>C232="Outflow"</formula>
    </cfRule>
  </conditionalFormatting>
  <conditionalFormatting sqref="P3:P236 P238:P691">
    <cfRule type="expression" dxfId="0" priority="17">
      <formula>D3="Inflow"</formula>
    </cfRule>
  </conditionalFormatting>
  <conditionalFormatting sqref="P3:P236 P238:P691">
    <cfRule type="expression" dxfId="1" priority="18">
      <formula>D3="Outflow"</formula>
    </cfRule>
  </conditionalFormatting>
  <conditionalFormatting sqref="Q2">
    <cfRule type="cellIs" dxfId="2" priority="19" operator="lessThan">
      <formula>0</formula>
    </cfRule>
  </conditionalFormatting>
  <conditionalFormatting sqref="AD94:AE94">
    <cfRule type="expression" dxfId="0" priority="20">
      <formula>S94="Inflow"</formula>
    </cfRule>
  </conditionalFormatting>
  <conditionalFormatting sqref="AD94:AE94">
    <cfRule type="expression" dxfId="1" priority="21">
      <formula>S94="Outflow"</formula>
    </cfRule>
  </conditionalFormatting>
  <printOptions/>
  <pageMargins bottom="0.75" footer="0.0" header="0.0" left="0.7" right="0.7" top="0.75"/>
  <pageSetup orientation="landscape"/>
  <headerFooter>
    <oddHeader>&amp;L000000 Restricted-confidential#_x000D_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2.63"/>
    <col customWidth="1" min="2" max="2" width="14.13"/>
    <col customWidth="1" min="3" max="4" width="12.63"/>
    <col customWidth="1" min="5" max="6" width="14.13"/>
    <col customWidth="1" min="7" max="7" width="12.63"/>
    <col customWidth="1" min="8" max="8" width="15.13"/>
    <col customWidth="1" min="9" max="10" width="14.13"/>
    <col customWidth="1" min="11" max="11" width="15.13"/>
    <col customWidth="1" min="12" max="14" width="14.13"/>
    <col customWidth="1" min="15" max="15" width="16.88"/>
    <col customWidth="1" min="16" max="16" width="16.0"/>
    <col customWidth="1" min="17" max="19" width="12.63"/>
    <col customWidth="1" min="20" max="20" width="14.13"/>
    <col customWidth="1" min="21" max="21" width="16.88"/>
    <col customWidth="1" min="22" max="22" width="14.13"/>
    <col customWidth="1" min="23" max="25" width="12.63"/>
    <col customWidth="1" min="26" max="26" width="14.13"/>
    <col customWidth="1" min="27" max="27" width="18.0"/>
    <col customWidth="1" min="28" max="28" width="14.13"/>
    <col customWidth="1" min="29" max="29" width="15.13"/>
    <col customWidth="1" min="30" max="49" width="14.13"/>
    <col customWidth="1" min="50" max="50" width="15.13"/>
    <col customWidth="1" min="51" max="51" width="12.63"/>
    <col customWidth="1" min="52" max="52" width="14.13"/>
    <col customWidth="1" min="53" max="53" width="17.25"/>
    <col customWidth="1" min="54" max="54" width="12.63"/>
    <col customWidth="1" min="55" max="58" width="14.13"/>
    <col customWidth="1" min="59" max="59" width="15.13"/>
    <col customWidth="1" min="60" max="60" width="14.13"/>
    <col customWidth="1" min="61" max="61" width="15.13"/>
    <col customWidth="1" min="62" max="62" width="11.38"/>
    <col customWidth="1" min="63" max="63" width="15.13"/>
    <col customWidth="1" min="64" max="64" width="11.38"/>
    <col customWidth="1" min="65" max="65" width="14.13"/>
    <col customWidth="1" min="66" max="66" width="11.38"/>
    <col customWidth="1" min="67" max="67" width="15.13"/>
    <col customWidth="1" min="68" max="78" width="11.38"/>
  </cols>
  <sheetData>
    <row r="1">
      <c r="A1" s="56"/>
      <c r="B1" s="65" t="s">
        <v>110</v>
      </c>
      <c r="C1" s="65" t="s">
        <v>111</v>
      </c>
      <c r="D1" s="66" t="s">
        <v>24</v>
      </c>
      <c r="E1" s="65" t="s">
        <v>112</v>
      </c>
      <c r="F1" s="65" t="s">
        <v>113</v>
      </c>
      <c r="G1" s="65" t="s">
        <v>114</v>
      </c>
      <c r="H1" s="65" t="s">
        <v>115</v>
      </c>
      <c r="I1" s="65" t="s">
        <v>116</v>
      </c>
      <c r="J1" s="65" t="s">
        <v>117</v>
      </c>
      <c r="K1" s="65" t="s">
        <v>118</v>
      </c>
      <c r="L1" s="65" t="s">
        <v>119</v>
      </c>
      <c r="M1" s="65" t="s">
        <v>120</v>
      </c>
      <c r="N1" s="65" t="s">
        <v>121</v>
      </c>
      <c r="O1" s="65" t="s">
        <v>122</v>
      </c>
      <c r="P1" s="65" t="s">
        <v>123</v>
      </c>
      <c r="Q1" s="65" t="s">
        <v>124</v>
      </c>
      <c r="R1" s="65" t="s">
        <v>125</v>
      </c>
      <c r="S1" s="65" t="s">
        <v>126</v>
      </c>
      <c r="T1" s="65" t="s">
        <v>127</v>
      </c>
      <c r="U1" s="65" t="s">
        <v>128</v>
      </c>
      <c r="V1" s="65" t="s">
        <v>129</v>
      </c>
      <c r="W1" s="65" t="s">
        <v>130</v>
      </c>
      <c r="X1" s="65" t="s">
        <v>131</v>
      </c>
      <c r="Y1" s="65" t="s">
        <v>132</v>
      </c>
      <c r="Z1" s="65" t="s">
        <v>133</v>
      </c>
      <c r="AA1" s="65" t="s">
        <v>134</v>
      </c>
      <c r="AB1" s="65" t="s">
        <v>135</v>
      </c>
      <c r="AC1" s="65" t="s">
        <v>136</v>
      </c>
      <c r="AD1" s="65" t="s">
        <v>137</v>
      </c>
      <c r="AE1" s="65" t="s">
        <v>138</v>
      </c>
      <c r="AF1" s="65" t="s">
        <v>139</v>
      </c>
      <c r="AG1" s="65" t="s">
        <v>140</v>
      </c>
      <c r="AH1" s="65" t="s">
        <v>141</v>
      </c>
      <c r="AI1" s="65" t="s">
        <v>142</v>
      </c>
      <c r="AJ1" s="65" t="s">
        <v>143</v>
      </c>
      <c r="AK1" s="65" t="s">
        <v>144</v>
      </c>
      <c r="AL1" s="65" t="s">
        <v>145</v>
      </c>
      <c r="AM1" s="67" t="s">
        <v>80</v>
      </c>
      <c r="AN1" s="67" t="s">
        <v>81</v>
      </c>
      <c r="AO1" s="67" t="s">
        <v>79</v>
      </c>
      <c r="AP1" s="67" t="s">
        <v>82</v>
      </c>
      <c r="AQ1" s="67" t="s">
        <v>83</v>
      </c>
      <c r="AR1" s="67" t="s">
        <v>84</v>
      </c>
      <c r="AS1" s="67" t="s">
        <v>87</v>
      </c>
      <c r="AT1" s="67" t="s">
        <v>88</v>
      </c>
      <c r="AU1" s="67" t="s">
        <v>89</v>
      </c>
      <c r="AV1" s="67" t="s">
        <v>90</v>
      </c>
      <c r="AW1" s="21"/>
      <c r="AX1" s="68" t="s">
        <v>146</v>
      </c>
      <c r="AY1" s="68" t="s">
        <v>147</v>
      </c>
      <c r="AZ1" s="68" t="s">
        <v>148</v>
      </c>
      <c r="BA1" s="69" t="s">
        <v>44</v>
      </c>
      <c r="BB1" s="68" t="s">
        <v>149</v>
      </c>
      <c r="BC1" s="68" t="s">
        <v>150</v>
      </c>
      <c r="BD1" s="68" t="s">
        <v>151</v>
      </c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</row>
    <row r="2">
      <c r="A2" s="56">
        <v>45657.0</v>
      </c>
      <c r="B2" s="70">
        <v>1124.6</v>
      </c>
      <c r="C2" s="70">
        <v>1228.0</v>
      </c>
      <c r="D2" s="70">
        <v>1182.0</v>
      </c>
      <c r="E2" s="70">
        <v>16.78</v>
      </c>
      <c r="F2" s="70">
        <v>6.343</v>
      </c>
      <c r="G2" s="70">
        <v>1.38</v>
      </c>
      <c r="H2" s="70">
        <v>1.735</v>
      </c>
      <c r="I2" s="70">
        <v>1.3559999999999999</v>
      </c>
      <c r="J2" s="70">
        <v>1.4319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1"/>
      <c r="AR2" s="71"/>
      <c r="AS2" s="71"/>
      <c r="AT2" s="71"/>
      <c r="AU2" s="71"/>
      <c r="AV2" s="71"/>
      <c r="AW2" s="72"/>
      <c r="AX2" s="73">
        <v>21525.0</v>
      </c>
      <c r="AY2" s="73">
        <v>895.0</v>
      </c>
      <c r="AZ2" s="73"/>
      <c r="BA2" s="73"/>
      <c r="BB2" s="73"/>
      <c r="BC2" s="73"/>
      <c r="BD2" s="73"/>
      <c r="BE2" s="72"/>
      <c r="BF2" s="72"/>
      <c r="BG2" s="72"/>
      <c r="BH2" s="72"/>
      <c r="BI2" s="72"/>
      <c r="BJ2" s="72"/>
      <c r="BK2" s="72"/>
      <c r="BL2" s="72"/>
      <c r="BM2" s="72"/>
      <c r="BN2" s="72"/>
      <c r="BO2" s="72"/>
      <c r="BP2" s="72"/>
      <c r="BQ2" s="72"/>
      <c r="BR2" s="72"/>
      <c r="BS2" s="72"/>
      <c r="BT2" s="72"/>
      <c r="BU2" s="72"/>
      <c r="BV2" s="72"/>
      <c r="BW2" s="72"/>
      <c r="BX2" s="72"/>
      <c r="BY2" s="72"/>
      <c r="BZ2" s="72"/>
    </row>
    <row r="3">
      <c r="A3" s="56">
        <v>45660.0</v>
      </c>
      <c r="B3" s="70">
        <v>1129.0</v>
      </c>
      <c r="C3" s="70">
        <v>1170.0</v>
      </c>
      <c r="D3" s="70">
        <v>1197.4</v>
      </c>
      <c r="E3" s="70">
        <v>16.97</v>
      </c>
      <c r="F3" s="70">
        <v>6.38</v>
      </c>
      <c r="G3" s="70">
        <v>1.3975</v>
      </c>
      <c r="H3" s="70">
        <v>1.75</v>
      </c>
      <c r="I3" s="70">
        <v>1.37</v>
      </c>
      <c r="J3" s="70">
        <v>1.4485</v>
      </c>
      <c r="K3" s="70">
        <v>1.30232</v>
      </c>
      <c r="L3" s="70">
        <v>1.2355</v>
      </c>
      <c r="M3" s="70"/>
      <c r="N3" s="70">
        <v>1.102</v>
      </c>
      <c r="O3" s="70"/>
      <c r="P3" s="70"/>
      <c r="Q3" s="70"/>
      <c r="R3" s="70"/>
      <c r="S3" s="70"/>
      <c r="T3" s="70">
        <v>1.465</v>
      </c>
      <c r="U3" s="70">
        <v>1.0</v>
      </c>
      <c r="V3" s="70">
        <v>1.014</v>
      </c>
      <c r="W3" s="70"/>
      <c r="X3" s="70">
        <v>1.26563</v>
      </c>
      <c r="Y3" s="70">
        <v>884.1</v>
      </c>
      <c r="Z3" s="70">
        <v>1.5975</v>
      </c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21"/>
      <c r="AX3" s="73">
        <v>21425.0</v>
      </c>
      <c r="AY3" s="73">
        <v>882.0</v>
      </c>
      <c r="AZ3" s="73">
        <v>8073.970774</v>
      </c>
      <c r="BA3" s="73">
        <v>18075.0</v>
      </c>
      <c r="BB3" s="73">
        <v>8700.0</v>
      </c>
      <c r="BC3" s="73">
        <v>13000.0</v>
      </c>
      <c r="BD3" s="73"/>
      <c r="BE3" s="21"/>
      <c r="BF3" s="21"/>
      <c r="BG3" s="21">
        <v>2728911.12</v>
      </c>
      <c r="BH3" s="21"/>
      <c r="BI3" s="72"/>
      <c r="BJ3" s="21"/>
      <c r="BK3" s="72"/>
      <c r="BL3" s="21"/>
      <c r="BM3" s="72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</row>
    <row r="4">
      <c r="A4" s="56">
        <v>45663.0</v>
      </c>
      <c r="B4" s="70">
        <v>1140.5</v>
      </c>
      <c r="C4" s="70">
        <v>1161.1</v>
      </c>
      <c r="D4" s="70">
        <v>1187.4</v>
      </c>
      <c r="E4" s="70">
        <v>17.05</v>
      </c>
      <c r="F4" s="70">
        <v>6.392</v>
      </c>
      <c r="G4" s="70">
        <v>1.3940000000000001</v>
      </c>
      <c r="H4" s="70">
        <v>1.7634999999999998</v>
      </c>
      <c r="I4" s="70">
        <v>1.38</v>
      </c>
      <c r="J4" s="70">
        <v>1.4539</v>
      </c>
      <c r="K4" s="70">
        <v>1.311</v>
      </c>
      <c r="L4" s="70">
        <v>1.2365000000000002</v>
      </c>
      <c r="M4" s="70"/>
      <c r="N4" s="70">
        <v>1.0975</v>
      </c>
      <c r="O4" s="70"/>
      <c r="P4" s="70"/>
      <c r="Q4" s="70"/>
      <c r="R4" s="70"/>
      <c r="S4" s="70"/>
      <c r="T4" s="70">
        <v>1.4780000000000002</v>
      </c>
      <c r="U4" s="70">
        <v>1.0</v>
      </c>
      <c r="V4" s="70">
        <v>1.0134999999999998</v>
      </c>
      <c r="W4" s="70"/>
      <c r="X4" s="70">
        <v>1.27399</v>
      </c>
      <c r="Y4" s="70">
        <v>895.8</v>
      </c>
      <c r="Z4" s="70">
        <v>1.61</v>
      </c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21"/>
      <c r="AX4" s="73">
        <v>21650.0</v>
      </c>
      <c r="AY4" s="73">
        <v>866.0</v>
      </c>
      <c r="AZ4" s="73">
        <v>8348.662368</v>
      </c>
      <c r="BA4" s="73">
        <v>17800.0</v>
      </c>
      <c r="BB4" s="73">
        <v>9480.0</v>
      </c>
      <c r="BC4" s="73">
        <v>13825.0</v>
      </c>
      <c r="BD4" s="73"/>
      <c r="BE4" s="21"/>
      <c r="BF4" s="21"/>
      <c r="BG4" s="21">
        <v>2801220.76</v>
      </c>
      <c r="BH4" s="21"/>
      <c r="BI4" s="72"/>
      <c r="BJ4" s="21"/>
      <c r="BK4" s="72"/>
      <c r="BL4" s="21"/>
      <c r="BM4" s="72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</row>
    <row r="5">
      <c r="A5" s="56">
        <v>45665.0</v>
      </c>
      <c r="B5" s="70">
        <v>1142.0</v>
      </c>
      <c r="C5" s="70">
        <v>1200.0</v>
      </c>
      <c r="D5" s="70">
        <v>1175.1</v>
      </c>
      <c r="E5" s="70">
        <v>17.345</v>
      </c>
      <c r="F5" s="70">
        <v>6.4270000000000005</v>
      </c>
      <c r="G5" s="70">
        <v>1.4025</v>
      </c>
      <c r="H5" s="70">
        <v>1.785</v>
      </c>
      <c r="I5" s="70">
        <v>1.401</v>
      </c>
      <c r="J5" s="70">
        <v>1.4579</v>
      </c>
      <c r="K5" s="70">
        <v>1.3165</v>
      </c>
      <c r="L5" s="70">
        <v>1.24599</v>
      </c>
      <c r="M5" s="70"/>
      <c r="N5" s="70">
        <v>1.105</v>
      </c>
      <c r="O5" s="70"/>
      <c r="P5" s="70"/>
      <c r="Q5" s="70"/>
      <c r="R5" s="70"/>
      <c r="S5" s="70"/>
      <c r="T5" s="70">
        <v>1.5090000000000001</v>
      </c>
      <c r="U5" s="70">
        <v>1.0</v>
      </c>
      <c r="V5" s="70">
        <v>1.02</v>
      </c>
      <c r="W5" s="70"/>
      <c r="X5" s="70">
        <v>1.285</v>
      </c>
      <c r="Y5" s="70">
        <v>895.2</v>
      </c>
      <c r="Z5" s="70">
        <v>1.6384999999999998</v>
      </c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21"/>
      <c r="AX5" s="73">
        <v>22450.0</v>
      </c>
      <c r="AY5" s="73">
        <v>864.0</v>
      </c>
      <c r="AZ5" s="73">
        <v>8319.231126</v>
      </c>
      <c r="BA5" s="73">
        <v>17350.0</v>
      </c>
      <c r="BB5" s="73">
        <v>9080.0</v>
      </c>
      <c r="BC5" s="73">
        <v>13675.0</v>
      </c>
      <c r="BD5" s="73"/>
      <c r="BE5" s="21"/>
      <c r="BF5" s="21"/>
      <c r="BG5" s="21">
        <v>2782477.05</v>
      </c>
      <c r="BH5" s="21"/>
      <c r="BI5" s="72"/>
      <c r="BJ5" s="21"/>
      <c r="BK5" s="72"/>
      <c r="BL5" s="21"/>
      <c r="BM5" s="72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</row>
    <row r="6">
      <c r="A6" s="56">
        <v>45666.0</v>
      </c>
      <c r="B6" s="70">
        <v>1142.9</v>
      </c>
      <c r="C6" s="70">
        <v>1175.2</v>
      </c>
      <c r="D6" s="70">
        <v>1179.8</v>
      </c>
      <c r="E6" s="70">
        <v>17.385</v>
      </c>
      <c r="F6" s="70">
        <v>6.431</v>
      </c>
      <c r="G6" s="70">
        <v>1.4069999999999998</v>
      </c>
      <c r="H6" s="70">
        <v>1.7890000000000001</v>
      </c>
      <c r="I6" s="70">
        <v>1.403</v>
      </c>
      <c r="J6" s="70">
        <v>1.4572</v>
      </c>
      <c r="K6" s="70">
        <v>1.3175</v>
      </c>
      <c r="L6" s="70">
        <v>1.245</v>
      </c>
      <c r="M6" s="70"/>
      <c r="N6" s="70">
        <v>1.1105</v>
      </c>
      <c r="O6" s="70"/>
      <c r="P6" s="70"/>
      <c r="Q6" s="70"/>
      <c r="R6" s="70"/>
      <c r="S6" s="70"/>
      <c r="T6" s="70">
        <v>1.514</v>
      </c>
      <c r="U6" s="70">
        <v>1.0</v>
      </c>
      <c r="V6" s="70">
        <v>1.0215</v>
      </c>
      <c r="W6" s="70"/>
      <c r="X6" s="70">
        <v>1.276</v>
      </c>
      <c r="Y6" s="70">
        <v>797.8</v>
      </c>
      <c r="Z6" s="70">
        <v>1.6469999999999998</v>
      </c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21"/>
      <c r="AX6" s="73">
        <v>22900.0</v>
      </c>
      <c r="AY6" s="73">
        <v>878.0</v>
      </c>
      <c r="AZ6" s="73">
        <v>8476.197751</v>
      </c>
      <c r="BA6" s="73">
        <v>17550.0</v>
      </c>
      <c r="BB6" s="73">
        <v>9350.0</v>
      </c>
      <c r="BC6" s="73">
        <v>14175.0</v>
      </c>
      <c r="BD6" s="73"/>
      <c r="BE6" s="21"/>
      <c r="BF6" s="21"/>
      <c r="BG6" s="21">
        <v>2829730.44</v>
      </c>
      <c r="BH6" s="21"/>
      <c r="BI6" s="72"/>
      <c r="BJ6" s="21"/>
      <c r="BK6" s="72"/>
      <c r="BL6" s="21"/>
      <c r="BM6" s="72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</row>
    <row r="7">
      <c r="A7" s="56">
        <v>45667.0</v>
      </c>
      <c r="B7" s="70">
        <v>1137.0</v>
      </c>
      <c r="C7" s="70">
        <v>1173.0</v>
      </c>
      <c r="D7" s="70">
        <v>1180.0</v>
      </c>
      <c r="E7" s="70">
        <v>17.45</v>
      </c>
      <c r="F7" s="70">
        <v>6.447</v>
      </c>
      <c r="G7" s="70">
        <v>1.4144999999999999</v>
      </c>
      <c r="H7" s="70">
        <v>1.797</v>
      </c>
      <c r="I7" s="70">
        <v>1.4075</v>
      </c>
      <c r="J7" s="70">
        <v>1.4609</v>
      </c>
      <c r="K7" s="70">
        <v>1.3195</v>
      </c>
      <c r="L7" s="70">
        <v>1.2458</v>
      </c>
      <c r="M7" s="70"/>
      <c r="N7" s="70">
        <v>1.113</v>
      </c>
      <c r="O7" s="70"/>
      <c r="P7" s="70"/>
      <c r="Q7" s="70"/>
      <c r="R7" s="70"/>
      <c r="S7" s="70"/>
      <c r="T7" s="70">
        <v>1.5225</v>
      </c>
      <c r="U7" s="70">
        <v>1.0</v>
      </c>
      <c r="V7" s="70">
        <v>1.023</v>
      </c>
      <c r="W7" s="70"/>
      <c r="X7" s="70">
        <v>1.287</v>
      </c>
      <c r="Y7" s="70">
        <v>794.2</v>
      </c>
      <c r="Z7" s="70">
        <v>1.65</v>
      </c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21"/>
      <c r="AX7" s="73">
        <v>22825.0</v>
      </c>
      <c r="AY7" s="73">
        <v>901.0</v>
      </c>
      <c r="AZ7" s="73">
        <v>8466.387337</v>
      </c>
      <c r="BA7" s="73">
        <v>17500.0</v>
      </c>
      <c r="BB7" s="73">
        <v>9410.0</v>
      </c>
      <c r="BC7" s="73">
        <v>13675.0</v>
      </c>
      <c r="BD7" s="73"/>
      <c r="BE7" s="21"/>
      <c r="BF7" s="21"/>
      <c r="BG7" s="21">
        <v>2805139.64</v>
      </c>
      <c r="BH7" s="21"/>
      <c r="BI7" s="72"/>
      <c r="BJ7" s="21"/>
      <c r="BK7" s="72"/>
      <c r="BL7" s="21"/>
      <c r="BM7" s="72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</row>
    <row r="8">
      <c r="A8" s="56">
        <v>45670.0</v>
      </c>
      <c r="B8" s="70">
        <v>1147.0</v>
      </c>
      <c r="C8" s="70">
        <v>1200.0</v>
      </c>
      <c r="D8" s="70">
        <v>1187.5</v>
      </c>
      <c r="E8" s="70">
        <v>17.53</v>
      </c>
      <c r="F8" s="70">
        <v>6.454</v>
      </c>
      <c r="G8" s="70">
        <v>1.415</v>
      </c>
      <c r="H8" s="70">
        <v>1.8065</v>
      </c>
      <c r="I8" s="70">
        <v>1.412</v>
      </c>
      <c r="J8" s="70">
        <v>1.4585</v>
      </c>
      <c r="K8" s="70">
        <v>1.3118</v>
      </c>
      <c r="L8" s="70">
        <v>1.2409999999999999</v>
      </c>
      <c r="M8" s="70"/>
      <c r="N8" s="70">
        <v>1.1095</v>
      </c>
      <c r="O8" s="70"/>
      <c r="P8" s="70"/>
      <c r="Q8" s="70"/>
      <c r="R8" s="70"/>
      <c r="S8" s="70"/>
      <c r="T8" s="70">
        <v>1.521</v>
      </c>
      <c r="U8" s="70">
        <v>1.0</v>
      </c>
      <c r="V8" s="70">
        <v>1.032</v>
      </c>
      <c r="W8" s="70"/>
      <c r="X8" s="70">
        <v>1.28</v>
      </c>
      <c r="Y8" s="70">
        <v>798.9</v>
      </c>
      <c r="Z8" s="70">
        <v>1.65</v>
      </c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21"/>
      <c r="AX8" s="73">
        <v>22650.0</v>
      </c>
      <c r="AY8" s="73">
        <v>873.0</v>
      </c>
      <c r="AZ8" s="73">
        <v>7956.245806</v>
      </c>
      <c r="BA8" s="73">
        <v>17300.0</v>
      </c>
      <c r="BB8" s="73">
        <v>8640.0</v>
      </c>
      <c r="BC8" s="73">
        <v>12725.0</v>
      </c>
      <c r="BD8" s="73"/>
      <c r="BE8" s="21"/>
      <c r="BF8" s="21"/>
      <c r="BG8" s="21">
        <v>2655178.58</v>
      </c>
      <c r="BH8" s="21"/>
      <c r="BI8" s="72"/>
      <c r="BJ8" s="21"/>
      <c r="BK8" s="72"/>
      <c r="BL8" s="21"/>
      <c r="BM8" s="72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</row>
    <row r="9">
      <c r="A9" s="56">
        <v>45671.0</v>
      </c>
      <c r="B9" s="70">
        <v>1146.0</v>
      </c>
      <c r="C9" s="70">
        <v>1172.0</v>
      </c>
      <c r="D9" s="70">
        <v>1189.9</v>
      </c>
      <c r="E9" s="70">
        <v>17.62</v>
      </c>
      <c r="F9" s="70">
        <v>6.468999999999999</v>
      </c>
      <c r="G9" s="70">
        <v>1.4155000000000002</v>
      </c>
      <c r="H9" s="70">
        <v>1.8205</v>
      </c>
      <c r="I9" s="70">
        <v>1.426</v>
      </c>
      <c r="J9" s="70">
        <v>1.4628999999999999</v>
      </c>
      <c r="K9" s="70">
        <v>1.3193000000000001</v>
      </c>
      <c r="L9" s="70">
        <v>1.244</v>
      </c>
      <c r="M9" s="70"/>
      <c r="N9" s="70">
        <v>1.1115000000000002</v>
      </c>
      <c r="O9" s="70"/>
      <c r="P9" s="70"/>
      <c r="Q9" s="70"/>
      <c r="R9" s="70"/>
      <c r="S9" s="70"/>
      <c r="T9" s="70">
        <v>1.534</v>
      </c>
      <c r="U9" s="70">
        <v>1.0</v>
      </c>
      <c r="V9" s="70">
        <v>1.04</v>
      </c>
      <c r="W9" s="70"/>
      <c r="X9" s="70">
        <v>1.2945</v>
      </c>
      <c r="Y9" s="70">
        <v>801.6</v>
      </c>
      <c r="Z9" s="70">
        <v>1.6575</v>
      </c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21"/>
      <c r="AX9" s="73">
        <v>23025.0</v>
      </c>
      <c r="AY9" s="73">
        <v>846.0</v>
      </c>
      <c r="AZ9" s="73">
        <v>8270.179056</v>
      </c>
      <c r="BA9" s="73">
        <v>17525.0</v>
      </c>
      <c r="BB9" s="73">
        <v>9190.0</v>
      </c>
      <c r="BC9" s="73">
        <v>13675.0</v>
      </c>
      <c r="BD9" s="73"/>
      <c r="BE9" s="21"/>
      <c r="BF9" s="21"/>
      <c r="BG9" s="21">
        <v>2733273.32</v>
      </c>
      <c r="BH9" s="21"/>
      <c r="BI9" s="72"/>
      <c r="BJ9" s="21"/>
      <c r="BK9" s="72"/>
      <c r="BL9" s="21"/>
      <c r="BM9" s="72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</row>
    <row r="10">
      <c r="A10" s="56">
        <v>45678.0</v>
      </c>
      <c r="B10" s="70">
        <v>1149.4</v>
      </c>
      <c r="C10" s="70">
        <v>1225.0</v>
      </c>
      <c r="D10" s="70">
        <v>1200.0</v>
      </c>
      <c r="E10" s="70">
        <v>17.64</v>
      </c>
      <c r="F10" s="70">
        <v>6.497000000000001</v>
      </c>
      <c r="G10" s="70">
        <v>1.426</v>
      </c>
      <c r="H10" s="70">
        <v>1.8175</v>
      </c>
      <c r="I10" s="70">
        <v>1.4255000000000002</v>
      </c>
      <c r="J10" s="70">
        <v>1.4667400000000002</v>
      </c>
      <c r="K10" s="70">
        <v>1.315</v>
      </c>
      <c r="L10" s="70">
        <v>1.247</v>
      </c>
      <c r="M10" s="70">
        <v>1.0165</v>
      </c>
      <c r="N10" s="70">
        <v>1.1075</v>
      </c>
      <c r="O10" s="70"/>
      <c r="P10" s="70"/>
      <c r="Q10" s="70"/>
      <c r="R10" s="70"/>
      <c r="S10" s="70"/>
      <c r="T10" s="70">
        <v>1.5234999999999999</v>
      </c>
      <c r="U10" s="70">
        <v>1.0</v>
      </c>
      <c r="V10" s="70">
        <v>1.047</v>
      </c>
      <c r="W10" s="70"/>
      <c r="X10" s="70">
        <v>1.2822</v>
      </c>
      <c r="Y10" s="70">
        <v>782.1</v>
      </c>
      <c r="Z10" s="70">
        <v>1.6640000000000001</v>
      </c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21"/>
      <c r="AX10" s="73">
        <v>22625.0</v>
      </c>
      <c r="AY10" s="73">
        <v>782.0</v>
      </c>
      <c r="AZ10" s="73">
        <v>8093.591603</v>
      </c>
      <c r="BA10" s="73">
        <v>18225.0</v>
      </c>
      <c r="BB10" s="73">
        <v>9120.0</v>
      </c>
      <c r="BC10" s="73">
        <v>12725.0</v>
      </c>
      <c r="BD10" s="73"/>
      <c r="BE10" s="21"/>
      <c r="BF10" s="21"/>
      <c r="BG10" s="21">
        <v>2619719.26</v>
      </c>
      <c r="BH10" s="21"/>
      <c r="BI10" s="72"/>
      <c r="BJ10" s="21"/>
      <c r="BK10" s="72"/>
      <c r="BL10" s="21"/>
      <c r="BM10" s="72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</row>
    <row r="11">
      <c r="A11" s="56">
        <v>45679.0</v>
      </c>
      <c r="B11" s="70">
        <v>1156.9</v>
      </c>
      <c r="C11" s="70">
        <v>1200.0</v>
      </c>
      <c r="D11" s="70">
        <v>1186.8</v>
      </c>
      <c r="E11" s="70">
        <v>17.685</v>
      </c>
      <c r="F11" s="70">
        <v>6.502000000000001</v>
      </c>
      <c r="G11" s="70">
        <v>1.4295</v>
      </c>
      <c r="H11" s="70">
        <v>1.82</v>
      </c>
      <c r="I11" s="70">
        <v>1.4275</v>
      </c>
      <c r="J11" s="70">
        <v>1.4684</v>
      </c>
      <c r="K11" s="70">
        <v>1.3254</v>
      </c>
      <c r="L11" s="70">
        <v>1.2585</v>
      </c>
      <c r="M11" s="70">
        <v>1.006</v>
      </c>
      <c r="N11" s="70">
        <v>1.097</v>
      </c>
      <c r="O11" s="70"/>
      <c r="P11" s="70"/>
      <c r="Q11" s="70"/>
      <c r="R11" s="70"/>
      <c r="S11" s="70"/>
      <c r="T11" s="70">
        <v>1.531</v>
      </c>
      <c r="U11" s="70">
        <v>1.0</v>
      </c>
      <c r="V11" s="70">
        <v>1.0490000000000002</v>
      </c>
      <c r="W11" s="70"/>
      <c r="X11" s="70">
        <v>1.29</v>
      </c>
      <c r="Y11" s="70">
        <v>776.8</v>
      </c>
      <c r="Z11" s="70">
        <v>1.669</v>
      </c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21"/>
      <c r="AX11" s="73">
        <v>23575.0</v>
      </c>
      <c r="AY11" s="73">
        <v>808.0</v>
      </c>
      <c r="AZ11" s="73">
        <v>8348.662368</v>
      </c>
      <c r="BA11" s="73">
        <v>18100.0</v>
      </c>
      <c r="BB11" s="73">
        <v>9470.0</v>
      </c>
      <c r="BC11" s="73">
        <v>13100.0</v>
      </c>
      <c r="BD11" s="73"/>
      <c r="BE11" s="21"/>
      <c r="BF11" s="21"/>
      <c r="BG11" s="21">
        <v>2680945.64</v>
      </c>
      <c r="BH11" s="21"/>
      <c r="BI11" s="72"/>
      <c r="BJ11" s="21"/>
      <c r="BK11" s="72"/>
      <c r="BL11" s="21"/>
      <c r="BM11" s="72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</row>
    <row r="12">
      <c r="A12" s="56">
        <v>45680.0</v>
      </c>
      <c r="B12" s="70">
        <v>1130.0</v>
      </c>
      <c r="C12" s="70">
        <v>1200.0</v>
      </c>
      <c r="D12" s="70">
        <v>1162.5</v>
      </c>
      <c r="E12" s="70">
        <v>17.7</v>
      </c>
      <c r="F12" s="70">
        <v>6.518</v>
      </c>
      <c r="G12" s="70">
        <v>1.4295</v>
      </c>
      <c r="H12" s="70">
        <v>1.825</v>
      </c>
      <c r="I12" s="70">
        <v>1.43</v>
      </c>
      <c r="J12" s="70">
        <v>1.4725</v>
      </c>
      <c r="K12" s="70">
        <v>1.32675</v>
      </c>
      <c r="L12" s="70">
        <v>1.2585</v>
      </c>
      <c r="M12" s="70">
        <v>1.008</v>
      </c>
      <c r="N12" s="70">
        <v>1.1045</v>
      </c>
      <c r="O12" s="70">
        <v>1.0</v>
      </c>
      <c r="P12" s="70"/>
      <c r="Q12" s="70"/>
      <c r="R12" s="70"/>
      <c r="S12" s="70"/>
      <c r="T12" s="70">
        <v>1.5294999999999999</v>
      </c>
      <c r="U12" s="70">
        <v>1.0</v>
      </c>
      <c r="V12" s="70">
        <v>1.044</v>
      </c>
      <c r="W12" s="70"/>
      <c r="X12" s="70">
        <v>1.2915</v>
      </c>
      <c r="Y12" s="70">
        <v>766.9</v>
      </c>
      <c r="Z12" s="70">
        <v>1.672</v>
      </c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21"/>
      <c r="AX12" s="73">
        <v>23050.0</v>
      </c>
      <c r="AY12" s="73">
        <v>827.0</v>
      </c>
      <c r="AZ12" s="73">
        <v>8191.695743</v>
      </c>
      <c r="BA12" s="73">
        <v>18075.0</v>
      </c>
      <c r="BB12" s="73">
        <v>9150.0</v>
      </c>
      <c r="BC12" s="73">
        <v>12650.0</v>
      </c>
      <c r="BD12" s="73"/>
      <c r="BE12" s="21"/>
      <c r="BF12" s="21"/>
      <c r="BG12" s="21">
        <v>2625049.91</v>
      </c>
      <c r="BH12" s="21"/>
      <c r="BI12" s="72"/>
      <c r="BJ12" s="21"/>
      <c r="BK12" s="72"/>
      <c r="BL12" s="21"/>
      <c r="BM12" s="72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</row>
    <row r="13">
      <c r="A13" s="56">
        <v>45681.0</v>
      </c>
      <c r="B13" s="70">
        <v>1119.0</v>
      </c>
      <c r="C13" s="70">
        <v>1190.0</v>
      </c>
      <c r="D13" s="70">
        <v>1137.3</v>
      </c>
      <c r="E13" s="70">
        <v>17.85</v>
      </c>
      <c r="F13" s="70">
        <v>6.5360000000000005</v>
      </c>
      <c r="G13" s="70">
        <v>1.4340000000000002</v>
      </c>
      <c r="H13" s="70">
        <v>1.8595</v>
      </c>
      <c r="I13" s="70">
        <v>1.4525</v>
      </c>
      <c r="J13" s="70">
        <v>1.4797900000000002</v>
      </c>
      <c r="K13" s="70">
        <v>1.334</v>
      </c>
      <c r="L13" s="70">
        <v>1.2624</v>
      </c>
      <c r="M13" s="70">
        <v>1.0155</v>
      </c>
      <c r="N13" s="70">
        <v>1.1135</v>
      </c>
      <c r="O13" s="70">
        <v>1.0</v>
      </c>
      <c r="P13" s="70"/>
      <c r="Q13" s="70"/>
      <c r="R13" s="70"/>
      <c r="S13" s="70"/>
      <c r="T13" s="70">
        <v>1.5419999999999998</v>
      </c>
      <c r="U13" s="70">
        <v>1.0</v>
      </c>
      <c r="V13" s="70">
        <v>1.0434999999999999</v>
      </c>
      <c r="W13" s="70"/>
      <c r="X13" s="70">
        <v>1.296</v>
      </c>
      <c r="Y13" s="70">
        <v>758.7</v>
      </c>
      <c r="Z13" s="70">
        <v>1.685</v>
      </c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21"/>
      <c r="AX13" s="73">
        <v>22475.0</v>
      </c>
      <c r="AY13" s="73">
        <v>816.0</v>
      </c>
      <c r="AZ13" s="73">
        <v>8083.781188</v>
      </c>
      <c r="BA13" s="73">
        <v>18000.0</v>
      </c>
      <c r="BB13" s="73">
        <v>8880.0</v>
      </c>
      <c r="BC13" s="73">
        <v>12150.0</v>
      </c>
      <c r="BD13" s="73"/>
      <c r="BE13" s="21"/>
      <c r="BF13" s="21"/>
      <c r="BG13" s="21">
        <v>2566082.22</v>
      </c>
      <c r="BH13" s="21"/>
      <c r="BI13" s="72"/>
      <c r="BJ13" s="21"/>
      <c r="BK13" s="72"/>
      <c r="BL13" s="21"/>
      <c r="BM13" s="72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</row>
    <row r="14">
      <c r="A14" s="56">
        <v>45684.0</v>
      </c>
      <c r="B14" s="70">
        <v>1122.5</v>
      </c>
      <c r="C14" s="70">
        <v>1190.0</v>
      </c>
      <c r="D14" s="70">
        <v>1178.5</v>
      </c>
      <c r="E14" s="70">
        <v>17.86</v>
      </c>
      <c r="F14" s="70">
        <v>6.539</v>
      </c>
      <c r="G14" s="70">
        <v>1.4355000000000002</v>
      </c>
      <c r="H14" s="70">
        <v>1.841</v>
      </c>
      <c r="I14" s="70">
        <v>1.4445</v>
      </c>
      <c r="J14" s="70">
        <v>1.48</v>
      </c>
      <c r="K14" s="70">
        <v>1.338</v>
      </c>
      <c r="L14" s="70">
        <v>1.2625</v>
      </c>
      <c r="M14" s="70">
        <v>1.016</v>
      </c>
      <c r="N14" s="70">
        <v>1.111</v>
      </c>
      <c r="O14" s="70">
        <v>1.0</v>
      </c>
      <c r="P14" s="70"/>
      <c r="Q14" s="70"/>
      <c r="R14" s="70"/>
      <c r="S14" s="70"/>
      <c r="T14" s="70">
        <v>1.545</v>
      </c>
      <c r="U14" s="70">
        <v>1.0</v>
      </c>
      <c r="V14" s="70">
        <v>1.0475</v>
      </c>
      <c r="W14" s="70"/>
      <c r="X14" s="70">
        <v>1.2976599999999998</v>
      </c>
      <c r="Y14" s="70">
        <v>760.9</v>
      </c>
      <c r="Z14" s="70">
        <v>1.6875</v>
      </c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21"/>
      <c r="AX14" s="73">
        <v>21075.0</v>
      </c>
      <c r="AY14" s="73">
        <v>798.0</v>
      </c>
      <c r="AZ14" s="73">
        <v>7549.0439</v>
      </c>
      <c r="BA14" s="73">
        <v>17875.0</v>
      </c>
      <c r="BB14" s="73">
        <v>8210.0</v>
      </c>
      <c r="BC14" s="73">
        <v>11425.0</v>
      </c>
      <c r="BD14" s="73"/>
      <c r="BE14" s="21"/>
      <c r="BF14" s="21"/>
      <c r="BG14" s="21">
        <v>2439098.66</v>
      </c>
      <c r="BH14" s="21"/>
      <c r="BI14" s="72"/>
      <c r="BJ14" s="21"/>
      <c r="BK14" s="72"/>
      <c r="BL14" s="21"/>
      <c r="BM14" s="72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</row>
    <row r="15">
      <c r="A15" s="56">
        <v>45686.0</v>
      </c>
      <c r="B15" s="70">
        <v>1130.0</v>
      </c>
      <c r="C15" s="70">
        <v>1180.0</v>
      </c>
      <c r="D15" s="70">
        <v>1190.0</v>
      </c>
      <c r="E15" s="70">
        <v>17.91</v>
      </c>
      <c r="F15" s="70">
        <v>6.558</v>
      </c>
      <c r="G15" s="70">
        <v>1.442</v>
      </c>
      <c r="H15" s="70">
        <v>1.8435</v>
      </c>
      <c r="I15" s="70">
        <v>1.4469999999999998</v>
      </c>
      <c r="J15" s="70">
        <v>1.4809999999999999</v>
      </c>
      <c r="K15" s="70">
        <v>1.338</v>
      </c>
      <c r="L15" s="70">
        <v>1.264</v>
      </c>
      <c r="M15" s="70">
        <v>1.012</v>
      </c>
      <c r="N15" s="70">
        <v>1.112</v>
      </c>
      <c r="O15" s="70">
        <v>1.0</v>
      </c>
      <c r="P15" s="70"/>
      <c r="Q15" s="70"/>
      <c r="R15" s="70"/>
      <c r="S15" s="70"/>
      <c r="T15" s="70">
        <v>1.5505000000000002</v>
      </c>
      <c r="U15" s="70">
        <v>1.0</v>
      </c>
      <c r="V15" s="70">
        <v>1.0495</v>
      </c>
      <c r="W15" s="70"/>
      <c r="X15" s="70">
        <v>1.3009899999999999</v>
      </c>
      <c r="Y15" s="70">
        <v>776.1</v>
      </c>
      <c r="Z15" s="70">
        <v>1.6945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21"/>
      <c r="AX15" s="73">
        <v>21550.0</v>
      </c>
      <c r="AY15" s="73">
        <v>808.0</v>
      </c>
      <c r="AZ15" s="73">
        <v>8025.1991</v>
      </c>
      <c r="BA15" s="73">
        <v>18525.0</v>
      </c>
      <c r="BB15" s="73">
        <v>8760.0</v>
      </c>
      <c r="BC15" s="73">
        <v>11925.0</v>
      </c>
      <c r="BD15" s="73"/>
      <c r="BE15" s="21"/>
      <c r="BF15" s="21"/>
      <c r="BG15" s="21">
        <v>2545355.53</v>
      </c>
      <c r="BH15" s="21"/>
      <c r="BI15" s="72"/>
      <c r="BJ15" s="21"/>
      <c r="BK15" s="72"/>
      <c r="BL15" s="21"/>
      <c r="BM15" s="72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</row>
    <row r="16">
      <c r="A16" s="56">
        <v>45687.0</v>
      </c>
      <c r="B16" s="70">
        <v>1134.5</v>
      </c>
      <c r="C16" s="70">
        <v>1185.0</v>
      </c>
      <c r="D16" s="70">
        <v>1182.9</v>
      </c>
      <c r="E16" s="70">
        <v>17.93</v>
      </c>
      <c r="F16" s="70">
        <v>6.564</v>
      </c>
      <c r="G16" s="70">
        <v>1.455</v>
      </c>
      <c r="H16" s="70">
        <v>1.8465</v>
      </c>
      <c r="I16" s="70">
        <v>1.4465000000000001</v>
      </c>
      <c r="J16" s="70">
        <v>1.485</v>
      </c>
      <c r="K16" s="70">
        <v>1.3370199999999999</v>
      </c>
      <c r="L16" s="70">
        <v>1.2655</v>
      </c>
      <c r="M16" s="70">
        <v>1.012</v>
      </c>
      <c r="N16" s="70">
        <v>1.1125</v>
      </c>
      <c r="O16" s="70">
        <v>1.0</v>
      </c>
      <c r="P16" s="70">
        <v>1.025</v>
      </c>
      <c r="Q16" s="70">
        <v>1.025</v>
      </c>
      <c r="R16" s="70">
        <v>1.025</v>
      </c>
      <c r="S16" s="70">
        <v>1.0290000000000001</v>
      </c>
      <c r="T16" s="70">
        <v>1.5525</v>
      </c>
      <c r="U16" s="70">
        <v>1.0</v>
      </c>
      <c r="V16" s="70">
        <v>1.052</v>
      </c>
      <c r="W16" s="70"/>
      <c r="X16" s="70">
        <v>1.30001</v>
      </c>
      <c r="Y16" s="70">
        <v>776.0</v>
      </c>
      <c r="Z16" s="70">
        <v>1.694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21"/>
      <c r="AX16" s="73">
        <v>21625.0</v>
      </c>
      <c r="AY16" s="73">
        <v>838.0</v>
      </c>
      <c r="AZ16" s="73">
        <v>8144.2379</v>
      </c>
      <c r="BA16" s="73">
        <v>19375.0</v>
      </c>
      <c r="BB16" s="73">
        <v>8950.0</v>
      </c>
      <c r="BC16" s="73">
        <v>12100.0</v>
      </c>
      <c r="BD16" s="73"/>
      <c r="BE16" s="21"/>
      <c r="BF16" s="21"/>
      <c r="BG16" s="21">
        <v>2599328.57</v>
      </c>
      <c r="BH16" s="21"/>
      <c r="BI16" s="72"/>
      <c r="BJ16" s="21"/>
      <c r="BK16" s="72"/>
      <c r="BL16" s="21"/>
      <c r="BM16" s="72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</row>
    <row r="17">
      <c r="A17" s="56">
        <v>45688.0</v>
      </c>
      <c r="B17" s="70">
        <v>1141.1</v>
      </c>
      <c r="C17" s="70">
        <v>1205.0</v>
      </c>
      <c r="D17" s="70">
        <v>1190.0</v>
      </c>
      <c r="E17" s="70">
        <v>17.97</v>
      </c>
      <c r="F17" s="70">
        <v>6.5889999999999995</v>
      </c>
      <c r="G17" s="70">
        <v>1.45</v>
      </c>
      <c r="H17" s="70">
        <v>1.865</v>
      </c>
      <c r="I17" s="70">
        <v>1.4469999999999998</v>
      </c>
      <c r="J17" s="70">
        <v>1.49152</v>
      </c>
      <c r="K17" s="70">
        <v>1.3375</v>
      </c>
      <c r="L17" s="70">
        <v>1.2703</v>
      </c>
      <c r="M17" s="70">
        <v>1.016</v>
      </c>
      <c r="N17" s="70">
        <v>1.117</v>
      </c>
      <c r="O17" s="70">
        <v>1.0</v>
      </c>
      <c r="P17" s="70">
        <v>1.024</v>
      </c>
      <c r="Q17" s="70">
        <v>1.023</v>
      </c>
      <c r="R17" s="70">
        <v>1.023</v>
      </c>
      <c r="S17" s="70">
        <v>1.0265</v>
      </c>
      <c r="T17" s="70">
        <v>1.5519999999999998</v>
      </c>
      <c r="U17" s="70">
        <v>1.0</v>
      </c>
      <c r="V17" s="70">
        <v>1.0585</v>
      </c>
      <c r="W17" s="70"/>
      <c r="X17" s="70">
        <v>1.3030000000000002</v>
      </c>
      <c r="Y17" s="70">
        <v>775.2</v>
      </c>
      <c r="Z17" s="70">
        <v>1.694</v>
      </c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21"/>
      <c r="AX17" s="73">
        <v>21375.0</v>
      </c>
      <c r="AY17" s="73">
        <v>854.0</v>
      </c>
      <c r="AZ17" s="73">
        <v>8015.2792</v>
      </c>
      <c r="BA17" s="73">
        <v>19125.0</v>
      </c>
      <c r="BB17" s="73">
        <v>8770.0</v>
      </c>
      <c r="BC17" s="73">
        <v>11950.0</v>
      </c>
      <c r="BD17" s="73"/>
      <c r="BE17" s="21"/>
      <c r="BF17" s="21"/>
      <c r="BG17" s="21">
        <v>2564658.95</v>
      </c>
      <c r="BH17" s="21"/>
      <c r="BI17" s="72"/>
      <c r="BJ17" s="21"/>
      <c r="BK17" s="72"/>
      <c r="BL17" s="21"/>
      <c r="BM17" s="72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</row>
    <row r="18">
      <c r="A18" s="56">
        <v>45691.0</v>
      </c>
      <c r="B18" s="70">
        <v>1151.9</v>
      </c>
      <c r="C18" s="70">
        <v>1220.0</v>
      </c>
      <c r="D18" s="70">
        <v>1185.0</v>
      </c>
      <c r="E18" s="70">
        <v>17.98</v>
      </c>
      <c r="F18" s="70">
        <v>6.5920000000000005</v>
      </c>
      <c r="G18" s="70">
        <v>1.45</v>
      </c>
      <c r="H18" s="70">
        <v>1.8525</v>
      </c>
      <c r="I18" s="70">
        <v>1.446</v>
      </c>
      <c r="J18" s="70">
        <v>1.4905099999999998</v>
      </c>
      <c r="K18" s="70">
        <v>1.339</v>
      </c>
      <c r="L18" s="70">
        <v>1.271</v>
      </c>
      <c r="M18" s="70">
        <v>1.0155</v>
      </c>
      <c r="N18" s="70">
        <v>1.114</v>
      </c>
      <c r="O18" s="70">
        <v>1.0</v>
      </c>
      <c r="P18" s="70">
        <v>1.022</v>
      </c>
      <c r="Q18" s="70">
        <v>1.0215</v>
      </c>
      <c r="R18" s="70">
        <v>1.0205</v>
      </c>
      <c r="S18" s="70">
        <v>1.0225</v>
      </c>
      <c r="T18" s="70">
        <v>1.551</v>
      </c>
      <c r="U18" s="70">
        <v>1.0</v>
      </c>
      <c r="V18" s="70">
        <v>1.0595</v>
      </c>
      <c r="W18" s="70">
        <v>1.003</v>
      </c>
      <c r="X18" s="70">
        <v>1.3055</v>
      </c>
      <c r="Y18" s="70">
        <v>778.7</v>
      </c>
      <c r="Z18" s="70">
        <v>1.692</v>
      </c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21"/>
      <c r="AX18" s="73">
        <v>20975.0</v>
      </c>
      <c r="AY18" s="73">
        <v>841.0</v>
      </c>
      <c r="AZ18" s="73">
        <v>7697.8424</v>
      </c>
      <c r="BA18" s="73">
        <v>18850.0</v>
      </c>
      <c r="BB18" s="73">
        <v>8420.0</v>
      </c>
      <c r="BC18" s="73">
        <v>11450.0</v>
      </c>
      <c r="BD18" s="73"/>
      <c r="BE18" s="21"/>
      <c r="BF18" s="21"/>
      <c r="BG18" s="21">
        <v>2484135.71</v>
      </c>
      <c r="BH18" s="21"/>
      <c r="BI18" s="72"/>
      <c r="BJ18" s="21"/>
      <c r="BK18" s="72"/>
      <c r="BL18" s="21"/>
      <c r="BM18" s="72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</row>
    <row r="19">
      <c r="A19" s="56">
        <v>45692.0</v>
      </c>
      <c r="B19" s="70">
        <v>1160.8</v>
      </c>
      <c r="C19" s="70">
        <v>1220.0</v>
      </c>
      <c r="D19" s="70">
        <v>1187.0</v>
      </c>
      <c r="E19" s="70">
        <v>17.975</v>
      </c>
      <c r="F19" s="70">
        <v>6.597</v>
      </c>
      <c r="G19" s="70">
        <v>1.4565000000000001</v>
      </c>
      <c r="H19" s="70">
        <v>1.854</v>
      </c>
      <c r="I19" s="70">
        <v>1.4455</v>
      </c>
      <c r="J19" s="70">
        <v>1.4944</v>
      </c>
      <c r="K19" s="70">
        <v>1.3419999999999999</v>
      </c>
      <c r="L19" s="70">
        <v>1.27299</v>
      </c>
      <c r="M19" s="70">
        <v>1.012</v>
      </c>
      <c r="N19" s="70">
        <v>1.112</v>
      </c>
      <c r="O19" s="70">
        <v>1.0</v>
      </c>
      <c r="P19" s="70">
        <v>1.0215</v>
      </c>
      <c r="Q19" s="70">
        <v>1.0190000000000001</v>
      </c>
      <c r="R19" s="70">
        <v>1.02</v>
      </c>
      <c r="S19" s="70">
        <v>1.0225</v>
      </c>
      <c r="T19" s="70">
        <v>1.5515</v>
      </c>
      <c r="U19" s="70">
        <v>1.0</v>
      </c>
      <c r="V19" s="70">
        <v>1.061</v>
      </c>
      <c r="W19" s="70">
        <v>1.003</v>
      </c>
      <c r="X19" s="70">
        <v>1.30457</v>
      </c>
      <c r="Y19" s="70">
        <v>773.5</v>
      </c>
      <c r="Z19" s="70">
        <v>1.695</v>
      </c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21"/>
      <c r="AX19" s="73">
        <v>21375.0</v>
      </c>
      <c r="AY19" s="73">
        <v>850.0</v>
      </c>
      <c r="AZ19" s="73">
        <v>7816.8812</v>
      </c>
      <c r="BA19" s="73">
        <v>19525.0</v>
      </c>
      <c r="BB19" s="73">
        <v>8540.0</v>
      </c>
      <c r="BC19" s="73">
        <v>11475.0</v>
      </c>
      <c r="BD19" s="73"/>
      <c r="BE19" s="21"/>
      <c r="BF19" s="21"/>
      <c r="BG19" s="21">
        <v>2523647.04</v>
      </c>
      <c r="BH19" s="21"/>
      <c r="BI19" s="72"/>
      <c r="BJ19" s="21"/>
      <c r="BK19" s="72"/>
      <c r="BL19" s="21"/>
      <c r="BM19" s="72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</row>
    <row r="20">
      <c r="A20" s="56">
        <v>45693.0</v>
      </c>
      <c r="B20" s="70">
        <v>1167.3</v>
      </c>
      <c r="C20" s="70">
        <v>1221.5</v>
      </c>
      <c r="D20" s="70">
        <v>1193.1</v>
      </c>
      <c r="E20" s="70">
        <v>17.975</v>
      </c>
      <c r="F20" s="70">
        <v>6.604</v>
      </c>
      <c r="G20" s="70">
        <v>1.4569999999999999</v>
      </c>
      <c r="H20" s="70">
        <v>1.8530000000000002</v>
      </c>
      <c r="I20" s="70">
        <v>1.4480000000000002</v>
      </c>
      <c r="J20" s="70">
        <v>1.4953999999999998</v>
      </c>
      <c r="K20" s="70">
        <v>1.34</v>
      </c>
      <c r="L20" s="70">
        <v>1.2719799999999999</v>
      </c>
      <c r="M20" s="70">
        <v>1.013</v>
      </c>
      <c r="N20" s="70">
        <v>1.114</v>
      </c>
      <c r="O20" s="70">
        <v>1.0</v>
      </c>
      <c r="P20" s="70">
        <v>1.021</v>
      </c>
      <c r="Q20" s="70">
        <v>1.018</v>
      </c>
      <c r="R20" s="70">
        <v>1.0190000000000001</v>
      </c>
      <c r="S20" s="70">
        <v>1.02</v>
      </c>
      <c r="T20" s="70">
        <v>1.5505000000000002</v>
      </c>
      <c r="U20" s="70">
        <v>1.0</v>
      </c>
      <c r="V20" s="70">
        <v>1.063</v>
      </c>
      <c r="W20" s="70">
        <v>1.0045</v>
      </c>
      <c r="X20" s="70">
        <v>1.307</v>
      </c>
      <c r="Y20" s="70">
        <v>775.0</v>
      </c>
      <c r="Z20" s="70">
        <v>1.6925</v>
      </c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21"/>
      <c r="AX20" s="73">
        <v>21175.0</v>
      </c>
      <c r="AY20" s="73">
        <v>827.0</v>
      </c>
      <c r="AZ20" s="73">
        <v>7678.0026</v>
      </c>
      <c r="BA20" s="73">
        <v>19625.0</v>
      </c>
      <c r="BB20" s="73">
        <v>8450.0</v>
      </c>
      <c r="BC20" s="73">
        <v>11275.0</v>
      </c>
      <c r="BD20" s="73"/>
      <c r="BE20" s="21"/>
      <c r="BF20" s="21"/>
      <c r="BG20" s="21">
        <v>2477713.88</v>
      </c>
      <c r="BH20" s="21"/>
      <c r="BI20" s="72"/>
      <c r="BJ20" s="21"/>
      <c r="BK20" s="72"/>
      <c r="BL20" s="21"/>
      <c r="BM20" s="72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</row>
    <row r="21" ht="15.75" customHeight="1">
      <c r="A21" s="56">
        <v>45694.0</v>
      </c>
      <c r="B21" s="70">
        <v>1159.4</v>
      </c>
      <c r="C21" s="70">
        <v>1230.0</v>
      </c>
      <c r="D21" s="70">
        <v>1196.5</v>
      </c>
      <c r="E21" s="70">
        <v>17.94</v>
      </c>
      <c r="F21" s="70">
        <v>6.608</v>
      </c>
      <c r="G21" s="70">
        <v>1.4569999999999999</v>
      </c>
      <c r="H21" s="70">
        <v>1.8530000000000002</v>
      </c>
      <c r="I21" s="70">
        <v>1.4475</v>
      </c>
      <c r="J21" s="70">
        <v>1.4961000000000002</v>
      </c>
      <c r="K21" s="70">
        <v>1.3421</v>
      </c>
      <c r="L21" s="70">
        <v>1.27399</v>
      </c>
      <c r="M21" s="70">
        <v>1.0165</v>
      </c>
      <c r="N21" s="70">
        <v>1.1155</v>
      </c>
      <c r="O21" s="70">
        <v>1.0</v>
      </c>
      <c r="P21" s="70">
        <v>1.022</v>
      </c>
      <c r="Q21" s="70">
        <v>1.018</v>
      </c>
      <c r="R21" s="70">
        <v>1.018</v>
      </c>
      <c r="S21" s="70">
        <v>1.0215</v>
      </c>
      <c r="T21" s="70">
        <v>1.5519999999999998</v>
      </c>
      <c r="U21" s="70">
        <v>1.0</v>
      </c>
      <c r="V21" s="70">
        <v>1.0655</v>
      </c>
      <c r="W21" s="70">
        <v>1.003</v>
      </c>
      <c r="X21" s="70">
        <v>1.3066</v>
      </c>
      <c r="Y21" s="70">
        <v>778.0</v>
      </c>
      <c r="Z21" s="70">
        <v>1.694</v>
      </c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21"/>
      <c r="AX21" s="73">
        <v>21125.0</v>
      </c>
      <c r="AY21" s="73">
        <v>814.0</v>
      </c>
      <c r="AZ21" s="73">
        <v>7836.721</v>
      </c>
      <c r="BA21" s="73">
        <v>20100.0</v>
      </c>
      <c r="BB21" s="73">
        <v>8800.0</v>
      </c>
      <c r="BC21" s="73">
        <v>11875.0</v>
      </c>
      <c r="BD21" s="73"/>
      <c r="BE21" s="21"/>
      <c r="BF21" s="21"/>
      <c r="BG21" s="21">
        <v>2503483.42</v>
      </c>
      <c r="BH21" s="21"/>
      <c r="BI21" s="72"/>
      <c r="BJ21" s="21"/>
      <c r="BK21" s="72"/>
      <c r="BL21" s="21"/>
      <c r="BM21" s="72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</row>
    <row r="22" ht="15.75" customHeight="1">
      <c r="A22" s="56">
        <v>45695.0</v>
      </c>
      <c r="B22" s="70">
        <v>1160.4</v>
      </c>
      <c r="C22" s="70">
        <v>1195.0</v>
      </c>
      <c r="D22" s="70">
        <v>1195.0</v>
      </c>
      <c r="E22" s="70">
        <v>18.03</v>
      </c>
      <c r="F22" s="70">
        <v>6.625</v>
      </c>
      <c r="G22" s="70">
        <v>1.459</v>
      </c>
      <c r="H22" s="70">
        <v>1.8575</v>
      </c>
      <c r="I22" s="70">
        <v>1.4545</v>
      </c>
      <c r="J22" s="70">
        <v>1.4980000000000002</v>
      </c>
      <c r="K22" s="70">
        <v>1.345</v>
      </c>
      <c r="L22" s="70">
        <v>1.276</v>
      </c>
      <c r="M22" s="70">
        <v>1.016</v>
      </c>
      <c r="N22" s="70">
        <v>1.1159999999999999</v>
      </c>
      <c r="O22" s="70">
        <v>1.0</v>
      </c>
      <c r="P22" s="70">
        <v>1.0215</v>
      </c>
      <c r="Q22" s="70">
        <v>1.0175</v>
      </c>
      <c r="R22" s="70">
        <v>1.0185</v>
      </c>
      <c r="S22" s="70">
        <v>1.0215</v>
      </c>
      <c r="T22" s="70">
        <v>1.554</v>
      </c>
      <c r="U22" s="70">
        <v>1.0</v>
      </c>
      <c r="V22" s="70">
        <v>1.069</v>
      </c>
      <c r="W22" s="70">
        <v>1.003</v>
      </c>
      <c r="X22" s="70">
        <v>1.3075</v>
      </c>
      <c r="Y22" s="70">
        <v>774.2</v>
      </c>
      <c r="Z22" s="70">
        <v>1.6975</v>
      </c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21"/>
      <c r="AX22" s="73">
        <v>21050.0</v>
      </c>
      <c r="AY22" s="73">
        <v>804.0</v>
      </c>
      <c r="AZ22" s="73">
        <v>7539.124</v>
      </c>
      <c r="BA22" s="73">
        <v>20000.0</v>
      </c>
      <c r="BB22" s="73">
        <v>8370.0</v>
      </c>
      <c r="BC22" s="73">
        <v>11275.0</v>
      </c>
      <c r="BD22" s="73"/>
      <c r="BE22" s="21"/>
      <c r="BF22" s="21"/>
      <c r="BG22" s="21">
        <v>2416381.75</v>
      </c>
      <c r="BH22" s="21"/>
      <c r="BI22" s="72"/>
      <c r="BJ22" s="21"/>
      <c r="BK22" s="72"/>
      <c r="BL22" s="21"/>
      <c r="BM22" s="72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</row>
    <row r="23" ht="15.75" customHeight="1">
      <c r="A23" s="56">
        <v>45698.0</v>
      </c>
      <c r="B23" s="70">
        <v>1155.6</v>
      </c>
      <c r="C23" s="70">
        <v>1224.8</v>
      </c>
      <c r="D23" s="70">
        <v>1195.0</v>
      </c>
      <c r="E23" s="70">
        <v>18.085</v>
      </c>
      <c r="F23" s="70">
        <v>6.63</v>
      </c>
      <c r="G23" s="70">
        <v>1.462</v>
      </c>
      <c r="H23" s="70">
        <v>1.86</v>
      </c>
      <c r="I23" s="70">
        <v>1.4575</v>
      </c>
      <c r="J23" s="70">
        <v>1.499</v>
      </c>
      <c r="K23" s="70">
        <v>1.345</v>
      </c>
      <c r="L23" s="70">
        <v>1.2775</v>
      </c>
      <c r="M23" s="70">
        <v>1.0095</v>
      </c>
      <c r="N23" s="70">
        <v>1.1125</v>
      </c>
      <c r="O23" s="70">
        <v>1.0</v>
      </c>
      <c r="P23" s="70">
        <v>1.0175</v>
      </c>
      <c r="Q23" s="70">
        <v>1.0170000000000001</v>
      </c>
      <c r="R23" s="70">
        <v>1.0165</v>
      </c>
      <c r="S23" s="70">
        <v>1.0195</v>
      </c>
      <c r="T23" s="70">
        <v>1.557</v>
      </c>
      <c r="U23" s="70">
        <v>1.0</v>
      </c>
      <c r="V23" s="70">
        <v>1.07</v>
      </c>
      <c r="W23" s="70">
        <v>1.0</v>
      </c>
      <c r="X23" s="70">
        <v>1.31</v>
      </c>
      <c r="Y23" s="70">
        <v>767.5</v>
      </c>
      <c r="Z23" s="70">
        <v>1.7</v>
      </c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21"/>
      <c r="AX23" s="73">
        <v>21200.0</v>
      </c>
      <c r="AY23" s="73">
        <v>811.0</v>
      </c>
      <c r="AZ23" s="73">
        <v>7439.925</v>
      </c>
      <c r="BA23" s="73">
        <v>20175.0</v>
      </c>
      <c r="BB23" s="73">
        <v>8200.0</v>
      </c>
      <c r="BC23" s="73">
        <v>11250.0</v>
      </c>
      <c r="BD23" s="73"/>
      <c r="BE23" s="21"/>
      <c r="BF23" s="21"/>
      <c r="BG23" s="21">
        <v>2391367.59</v>
      </c>
      <c r="BH23" s="21"/>
      <c r="BI23" s="72"/>
      <c r="BJ23" s="21"/>
      <c r="BK23" s="72"/>
      <c r="BL23" s="21"/>
      <c r="BM23" s="72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</row>
    <row r="24" ht="15.75" customHeight="1">
      <c r="A24" s="56">
        <v>45699.0</v>
      </c>
      <c r="B24" s="70">
        <v>1153.1</v>
      </c>
      <c r="C24" s="70">
        <v>1215.0</v>
      </c>
      <c r="D24" s="70">
        <v>1198.0</v>
      </c>
      <c r="E24" s="70">
        <v>18.1</v>
      </c>
      <c r="F24" s="70">
        <v>6.6345</v>
      </c>
      <c r="G24" s="70">
        <v>1.459</v>
      </c>
      <c r="H24" s="70">
        <v>1.8615000000000002</v>
      </c>
      <c r="I24" s="70">
        <v>1.4594999999999998</v>
      </c>
      <c r="J24" s="70">
        <v>1.4975</v>
      </c>
      <c r="K24" s="70">
        <v>1.341</v>
      </c>
      <c r="L24" s="70">
        <v>1.278</v>
      </c>
      <c r="M24" s="70">
        <v>1.0045</v>
      </c>
      <c r="N24" s="70">
        <v>1.105</v>
      </c>
      <c r="O24" s="70">
        <v>1.0</v>
      </c>
      <c r="P24" s="70">
        <v>1.013</v>
      </c>
      <c r="Q24" s="70">
        <v>1.011</v>
      </c>
      <c r="R24" s="70">
        <v>1.0070000000000001</v>
      </c>
      <c r="S24" s="70">
        <v>1.012</v>
      </c>
      <c r="T24" s="70">
        <v>1.5555</v>
      </c>
      <c r="U24" s="70">
        <v>1.0</v>
      </c>
      <c r="V24" s="70">
        <v>1.07</v>
      </c>
      <c r="W24" s="70">
        <v>0.9945</v>
      </c>
      <c r="X24" s="70">
        <v>1.3015100000000002</v>
      </c>
      <c r="Y24" s="70">
        <v>761.6</v>
      </c>
      <c r="Z24" s="70">
        <v>1.703</v>
      </c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21"/>
      <c r="AX24" s="73">
        <v>20225.0</v>
      </c>
      <c r="AY24" s="73">
        <v>782.0</v>
      </c>
      <c r="AZ24" s="73">
        <v>6943.93</v>
      </c>
      <c r="BA24" s="73">
        <v>20300.0</v>
      </c>
      <c r="BB24" s="73">
        <v>7640.0</v>
      </c>
      <c r="BC24" s="73">
        <v>10775.0</v>
      </c>
      <c r="BD24" s="73"/>
      <c r="BE24" s="21"/>
      <c r="BF24" s="21"/>
      <c r="BG24" s="21">
        <v>2273567.99</v>
      </c>
      <c r="BH24" s="21"/>
      <c r="BI24" s="72"/>
      <c r="BJ24" s="21"/>
      <c r="BK24" s="72"/>
      <c r="BL24" s="21"/>
      <c r="BM24" s="72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</row>
    <row r="25" ht="15.75" customHeight="1">
      <c r="A25" s="56">
        <v>45700.0</v>
      </c>
      <c r="B25" s="70">
        <v>1153.0</v>
      </c>
      <c r="C25" s="70">
        <v>1220.0</v>
      </c>
      <c r="D25" s="70">
        <v>1199.0</v>
      </c>
      <c r="E25" s="70">
        <v>18.08</v>
      </c>
      <c r="F25" s="70">
        <v>6.6415999999999995</v>
      </c>
      <c r="G25" s="70">
        <v>1.46</v>
      </c>
      <c r="H25" s="70">
        <v>1.8619999999999999</v>
      </c>
      <c r="I25" s="70">
        <v>1.4635</v>
      </c>
      <c r="J25" s="70">
        <v>1.49939</v>
      </c>
      <c r="K25" s="70">
        <v>1.3444999999999998</v>
      </c>
      <c r="L25" s="70">
        <v>1.27735</v>
      </c>
      <c r="M25" s="70">
        <v>1.003</v>
      </c>
      <c r="N25" s="70">
        <v>1.104</v>
      </c>
      <c r="O25" s="70">
        <v>1.0</v>
      </c>
      <c r="P25" s="70">
        <v>1.01</v>
      </c>
      <c r="Q25" s="70">
        <v>1.0095</v>
      </c>
      <c r="R25" s="70">
        <v>1.0090000000000001</v>
      </c>
      <c r="S25" s="70">
        <v>1.0095</v>
      </c>
      <c r="T25" s="70">
        <v>1.5575</v>
      </c>
      <c r="U25" s="70">
        <v>1.0</v>
      </c>
      <c r="V25" s="70">
        <v>1.08</v>
      </c>
      <c r="W25" s="70">
        <v>1.0</v>
      </c>
      <c r="X25" s="70">
        <v>1.3</v>
      </c>
      <c r="Y25" s="70">
        <v>771.4</v>
      </c>
      <c r="Z25" s="70">
        <v>1.7045</v>
      </c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21"/>
      <c r="AX25" s="73">
        <v>20200.0</v>
      </c>
      <c r="AY25" s="73">
        <v>771.0</v>
      </c>
      <c r="AZ25" s="73">
        <v>6894.3305</v>
      </c>
      <c r="BA25" s="73">
        <v>20075.0</v>
      </c>
      <c r="BB25" s="73">
        <v>7630.0</v>
      </c>
      <c r="BC25" s="73">
        <v>10750.0</v>
      </c>
      <c r="BD25" s="73"/>
      <c r="BE25" s="21"/>
      <c r="BF25" s="21"/>
      <c r="BG25" s="21">
        <v>2285846.47</v>
      </c>
      <c r="BH25" s="21"/>
      <c r="BI25" s="72"/>
      <c r="BJ25" s="21"/>
      <c r="BK25" s="72"/>
      <c r="BL25" s="21"/>
      <c r="BM25" s="72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</row>
    <row r="26" ht="15.75" customHeight="1">
      <c r="A26" s="56">
        <v>45701.0</v>
      </c>
      <c r="B26" s="70">
        <v>1154.0</v>
      </c>
      <c r="C26" s="70">
        <v>1210.0</v>
      </c>
      <c r="D26" s="70">
        <v>1197.0</v>
      </c>
      <c r="E26" s="70">
        <v>18.075</v>
      </c>
      <c r="F26" s="70">
        <v>6.6415999999999995</v>
      </c>
      <c r="G26" s="70">
        <v>1.459</v>
      </c>
      <c r="H26" s="70">
        <v>1.8559999999999999</v>
      </c>
      <c r="I26" s="70">
        <v>1.46</v>
      </c>
      <c r="J26" s="70">
        <v>1.5019</v>
      </c>
      <c r="K26" s="70">
        <v>1.344</v>
      </c>
      <c r="L26" s="70">
        <v>1.278</v>
      </c>
      <c r="M26" s="70">
        <v>1.0090000000000001</v>
      </c>
      <c r="N26" s="70">
        <v>1.1075</v>
      </c>
      <c r="O26" s="70">
        <v>1.0</v>
      </c>
      <c r="P26" s="70">
        <v>1.018</v>
      </c>
      <c r="Q26" s="70">
        <v>1.016</v>
      </c>
      <c r="R26" s="70">
        <v>1.015</v>
      </c>
      <c r="S26" s="70">
        <v>1.016</v>
      </c>
      <c r="T26" s="70">
        <v>1.555</v>
      </c>
      <c r="U26" s="70">
        <v>1.0</v>
      </c>
      <c r="V26" s="70">
        <v>1.081</v>
      </c>
      <c r="W26" s="70">
        <v>1.0045</v>
      </c>
      <c r="X26" s="70">
        <v>1.3030000000000002</v>
      </c>
      <c r="Y26" s="70">
        <v>777.0</v>
      </c>
      <c r="Z26" s="70">
        <v>1.704</v>
      </c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21"/>
      <c r="AX26" s="73">
        <v>20825.0</v>
      </c>
      <c r="AY26" s="73">
        <v>782.0</v>
      </c>
      <c r="AZ26" s="73">
        <v>7033.2091</v>
      </c>
      <c r="BA26" s="73">
        <v>20225.0</v>
      </c>
      <c r="BB26" s="73">
        <v>7980.0</v>
      </c>
      <c r="BC26" s="73">
        <v>11025.0</v>
      </c>
      <c r="BD26" s="73"/>
      <c r="BE26" s="21"/>
      <c r="BF26" s="21"/>
      <c r="BG26" s="21">
        <v>2353743.68</v>
      </c>
      <c r="BH26" s="21"/>
      <c r="BI26" s="72"/>
      <c r="BJ26" s="21"/>
      <c r="BK26" s="72"/>
      <c r="BL26" s="21"/>
      <c r="BM26" s="72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</row>
    <row r="27" ht="15.75" customHeight="1">
      <c r="A27" s="56">
        <v>45702.0</v>
      </c>
      <c r="B27" s="70">
        <v>1159.9</v>
      </c>
      <c r="C27" s="70">
        <v>1210.0</v>
      </c>
      <c r="D27" s="70">
        <v>1202.0</v>
      </c>
      <c r="E27" s="70">
        <v>18.11</v>
      </c>
      <c r="F27" s="70">
        <v>6.6415999999999995</v>
      </c>
      <c r="G27" s="70">
        <v>1.465</v>
      </c>
      <c r="H27" s="70">
        <v>1.8659999999999999</v>
      </c>
      <c r="I27" s="70">
        <v>1.462</v>
      </c>
      <c r="J27" s="70">
        <v>1.508</v>
      </c>
      <c r="K27" s="70">
        <v>1.355</v>
      </c>
      <c r="L27" s="70">
        <v>1.2853999999999999</v>
      </c>
      <c r="M27" s="70">
        <v>1.018</v>
      </c>
      <c r="N27" s="70">
        <v>1.119</v>
      </c>
      <c r="O27" s="70">
        <v>1.0</v>
      </c>
      <c r="P27" s="70">
        <v>1.028</v>
      </c>
      <c r="Q27" s="70">
        <v>1.0245</v>
      </c>
      <c r="R27" s="70">
        <v>1.0225</v>
      </c>
      <c r="S27" s="70">
        <v>1.0234999999999999</v>
      </c>
      <c r="T27" s="70">
        <v>1.556</v>
      </c>
      <c r="U27" s="70">
        <v>1.0</v>
      </c>
      <c r="V27" s="70">
        <v>1.0855</v>
      </c>
      <c r="W27" s="70">
        <v>1.0034999999999998</v>
      </c>
      <c r="X27" s="70">
        <v>1.315</v>
      </c>
      <c r="Y27" s="70">
        <v>776.2</v>
      </c>
      <c r="Z27" s="70">
        <v>1.7080000000000002</v>
      </c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21"/>
      <c r="AX27" s="73">
        <v>20525.0</v>
      </c>
      <c r="AY27" s="73">
        <v>819.0</v>
      </c>
      <c r="AZ27" s="73">
        <v>7053.0489</v>
      </c>
      <c r="BA27" s="73">
        <v>21125.0</v>
      </c>
      <c r="BB27" s="73">
        <v>8170.0</v>
      </c>
      <c r="BC27" s="73">
        <v>11025.0</v>
      </c>
      <c r="BD27" s="73"/>
      <c r="BE27" s="21"/>
      <c r="BF27" s="21"/>
      <c r="BG27" s="21">
        <v>2387385.73</v>
      </c>
      <c r="BH27" s="21"/>
      <c r="BI27" s="72"/>
      <c r="BJ27" s="21"/>
      <c r="BK27" s="72"/>
      <c r="BL27" s="21"/>
      <c r="BM27" s="72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</row>
    <row r="28" ht="15.75" customHeight="1">
      <c r="A28" s="56">
        <v>45705.0</v>
      </c>
      <c r="B28" s="70">
        <v>1180.0</v>
      </c>
      <c r="C28" s="70">
        <v>1246.3</v>
      </c>
      <c r="D28" s="70">
        <v>1215.0</v>
      </c>
      <c r="E28" s="70">
        <v>18.15</v>
      </c>
      <c r="F28" s="70">
        <v>6.6415999999999995</v>
      </c>
      <c r="G28" s="70">
        <v>1.4685</v>
      </c>
      <c r="H28" s="70">
        <v>1.859</v>
      </c>
      <c r="I28" s="70">
        <v>1.464</v>
      </c>
      <c r="J28" s="70">
        <v>1.5071</v>
      </c>
      <c r="K28" s="70">
        <v>1.3535</v>
      </c>
      <c r="L28" s="70">
        <v>1.2838</v>
      </c>
      <c r="M28" s="70">
        <v>1.014</v>
      </c>
      <c r="N28" s="70">
        <v>1.117</v>
      </c>
      <c r="O28" s="70">
        <v>1.0</v>
      </c>
      <c r="P28" s="70">
        <v>1.025</v>
      </c>
      <c r="Q28" s="70">
        <v>1.0205</v>
      </c>
      <c r="R28" s="70">
        <v>1.0190000000000001</v>
      </c>
      <c r="S28" s="70">
        <v>1.02</v>
      </c>
      <c r="T28" s="70">
        <v>1.5534999999999999</v>
      </c>
      <c r="U28" s="70">
        <v>1.0</v>
      </c>
      <c r="V28" s="70">
        <v>1.08</v>
      </c>
      <c r="W28" s="70">
        <v>1.0</v>
      </c>
      <c r="X28" s="70">
        <v>1.31559</v>
      </c>
      <c r="Y28" s="70">
        <v>782.4</v>
      </c>
      <c r="Z28" s="70">
        <v>1.7080000000000002</v>
      </c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21"/>
      <c r="AX28" s="73">
        <v>19775.0</v>
      </c>
      <c r="AY28" s="73">
        <v>810.0</v>
      </c>
      <c r="AZ28" s="73">
        <v>6596.7335</v>
      </c>
      <c r="BA28" s="73">
        <v>20625.0</v>
      </c>
      <c r="BB28" s="73">
        <v>7540.0</v>
      </c>
      <c r="BC28" s="73">
        <v>10525.0</v>
      </c>
      <c r="BD28" s="73"/>
      <c r="BE28" s="21"/>
      <c r="BF28" s="21"/>
      <c r="BG28" s="21">
        <v>2254188.63</v>
      </c>
      <c r="BH28" s="21"/>
      <c r="BI28" s="72"/>
      <c r="BJ28" s="21"/>
      <c r="BK28" s="72"/>
      <c r="BL28" s="21"/>
      <c r="BM28" s="72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</row>
    <row r="29" ht="15.75" customHeight="1">
      <c r="A29" s="56">
        <v>45708.0</v>
      </c>
      <c r="B29" s="70">
        <v>1182.0</v>
      </c>
      <c r="C29" s="70">
        <v>1235.0</v>
      </c>
      <c r="D29" s="70">
        <v>1215.0</v>
      </c>
      <c r="E29" s="70">
        <v>18.12</v>
      </c>
      <c r="F29" s="70">
        <v>6.6415999999999995</v>
      </c>
      <c r="G29" s="70">
        <v>1.4694999999999998</v>
      </c>
      <c r="H29" s="70">
        <v>1.8655000000000002</v>
      </c>
      <c r="I29" s="70">
        <v>1.4585</v>
      </c>
      <c r="J29" s="70">
        <v>1.5115</v>
      </c>
      <c r="K29" s="70">
        <v>1.3522999999999998</v>
      </c>
      <c r="L29" s="70">
        <v>1.2845</v>
      </c>
      <c r="M29" s="70">
        <v>1.018</v>
      </c>
      <c r="N29" s="70">
        <v>1.1185</v>
      </c>
      <c r="O29" s="70">
        <v>1.0</v>
      </c>
      <c r="P29" s="70">
        <v>1.0305</v>
      </c>
      <c r="Q29" s="70">
        <v>1.025</v>
      </c>
      <c r="R29" s="70">
        <v>1.0234999999999999</v>
      </c>
      <c r="S29" s="70">
        <v>1.0265</v>
      </c>
      <c r="T29" s="70">
        <v>1.547</v>
      </c>
      <c r="U29" s="70">
        <v>1.0</v>
      </c>
      <c r="V29" s="70">
        <v>1.075</v>
      </c>
      <c r="W29" s="70">
        <v>1.008</v>
      </c>
      <c r="X29" s="70">
        <v>1.3155000000000001</v>
      </c>
      <c r="Y29" s="70">
        <v>781.5</v>
      </c>
      <c r="Z29" s="70">
        <v>1.703</v>
      </c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21"/>
      <c r="AX29" s="73">
        <v>22500.0</v>
      </c>
      <c r="AY29" s="73">
        <v>804.0</v>
      </c>
      <c r="AZ29" s="73">
        <v>7221.6872</v>
      </c>
      <c r="BA29" s="73">
        <v>21300.0</v>
      </c>
      <c r="BB29" s="73">
        <v>8150.0</v>
      </c>
      <c r="BC29" s="73">
        <v>11300.0</v>
      </c>
      <c r="BD29" s="73"/>
      <c r="BE29" s="21"/>
      <c r="BF29" s="21"/>
      <c r="BG29" s="21">
        <v>2410220.95</v>
      </c>
      <c r="BH29" s="21"/>
      <c r="BI29" s="72"/>
      <c r="BJ29" s="21"/>
      <c r="BK29" s="72"/>
      <c r="BL29" s="21"/>
      <c r="BM29" s="72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</row>
    <row r="30" ht="15.75" customHeight="1">
      <c r="A30" s="56">
        <v>45709.0</v>
      </c>
      <c r="B30" s="70">
        <v>1183.6</v>
      </c>
      <c r="C30" s="70">
        <v>1235.0</v>
      </c>
      <c r="D30" s="70">
        <v>1212.0</v>
      </c>
      <c r="E30" s="70">
        <v>18.1</v>
      </c>
      <c r="F30" s="70">
        <v>6.6415999999999995</v>
      </c>
      <c r="G30" s="70">
        <v>1.472</v>
      </c>
      <c r="H30" s="70">
        <v>1.865</v>
      </c>
      <c r="I30" s="70">
        <v>1.4585</v>
      </c>
      <c r="J30" s="70">
        <v>1.5146000000000002</v>
      </c>
      <c r="K30" s="70">
        <v>1.3540999999999999</v>
      </c>
      <c r="L30" s="70">
        <v>1.287</v>
      </c>
      <c r="M30" s="70">
        <v>1.0175</v>
      </c>
      <c r="N30" s="70">
        <v>1.1179999999999999</v>
      </c>
      <c r="O30" s="70">
        <v>1.0</v>
      </c>
      <c r="P30" s="70">
        <v>1.03</v>
      </c>
      <c r="Q30" s="70">
        <v>1.0234999999999999</v>
      </c>
      <c r="R30" s="70">
        <v>1.0225</v>
      </c>
      <c r="S30" s="70">
        <v>1.026</v>
      </c>
      <c r="T30" s="70">
        <v>1.5465</v>
      </c>
      <c r="U30" s="70">
        <v>1.0</v>
      </c>
      <c r="V30" s="70">
        <v>1.0795000000000001</v>
      </c>
      <c r="W30" s="70">
        <v>1.0075</v>
      </c>
      <c r="X30" s="70">
        <v>1.3168</v>
      </c>
      <c r="Y30" s="70">
        <v>779.5</v>
      </c>
      <c r="Z30" s="70">
        <v>1.7009999999999998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21"/>
      <c r="AX30" s="73">
        <v>22050.0</v>
      </c>
      <c r="AY30" s="73">
        <v>795.0</v>
      </c>
      <c r="AZ30" s="73">
        <v>7092.7285</v>
      </c>
      <c r="BA30" s="73">
        <v>22900.0</v>
      </c>
      <c r="BB30" s="73">
        <v>7870.0</v>
      </c>
      <c r="BC30" s="73">
        <v>10975.0</v>
      </c>
      <c r="BD30" s="73"/>
      <c r="BE30" s="21"/>
      <c r="BF30" s="21"/>
      <c r="BG30" s="21">
        <v>2364529.49</v>
      </c>
      <c r="BH30" s="21"/>
      <c r="BI30" s="72"/>
      <c r="BJ30" s="21"/>
      <c r="BK30" s="72"/>
      <c r="BL30" s="21"/>
      <c r="BM30" s="72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</row>
    <row r="31" ht="15.75" customHeight="1">
      <c r="A31" s="56">
        <v>45712.0</v>
      </c>
      <c r="B31" s="70">
        <v>1183.5</v>
      </c>
      <c r="C31" s="70">
        <v>1230.0</v>
      </c>
      <c r="D31" s="70">
        <v>1216.3</v>
      </c>
      <c r="E31" s="70">
        <v>18.08</v>
      </c>
      <c r="F31" s="70">
        <v>6.6415999999999995</v>
      </c>
      <c r="G31" s="70">
        <v>1.4725</v>
      </c>
      <c r="H31" s="70">
        <v>1.8615000000000002</v>
      </c>
      <c r="I31" s="70">
        <v>1.4575</v>
      </c>
      <c r="J31" s="70">
        <v>1.5153999999999999</v>
      </c>
      <c r="K31" s="70">
        <v>1.3553</v>
      </c>
      <c r="L31" s="70">
        <v>1.2919999999999998</v>
      </c>
      <c r="M31" s="70">
        <v>1.0155</v>
      </c>
      <c r="N31" s="70">
        <v>1.115</v>
      </c>
      <c r="O31" s="70">
        <v>1.0</v>
      </c>
      <c r="P31" s="70">
        <v>1.031</v>
      </c>
      <c r="Q31" s="70">
        <v>1.0245</v>
      </c>
      <c r="R31" s="70">
        <v>1.0215</v>
      </c>
      <c r="S31" s="70">
        <v>1.024</v>
      </c>
      <c r="T31" s="70">
        <v>1.5434999999999999</v>
      </c>
      <c r="U31" s="70">
        <v>1.0</v>
      </c>
      <c r="V31" s="70">
        <v>1.0715000000000001</v>
      </c>
      <c r="W31" s="70">
        <v>1.0015</v>
      </c>
      <c r="X31" s="70">
        <v>1.31495</v>
      </c>
      <c r="Y31" s="70">
        <v>780.7</v>
      </c>
      <c r="Z31" s="70">
        <v>1.6969999999999998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21"/>
      <c r="AX31" s="73">
        <v>21250.0</v>
      </c>
      <c r="AY31" s="73">
        <v>772.0</v>
      </c>
      <c r="AZ31" s="73">
        <v>7013.3693</v>
      </c>
      <c r="BA31" s="73">
        <v>22625.0</v>
      </c>
      <c r="BB31" s="73">
        <v>7840.0</v>
      </c>
      <c r="BC31" s="73">
        <v>10725.0</v>
      </c>
      <c r="BD31" s="73"/>
      <c r="BE31" s="21"/>
      <c r="BF31" s="21"/>
      <c r="BG31" s="21">
        <v>2348398.47</v>
      </c>
      <c r="BH31" s="21"/>
      <c r="BI31" s="72"/>
      <c r="BJ31" s="21"/>
      <c r="BK31" s="72"/>
      <c r="BL31" s="21"/>
      <c r="BM31" s="72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</row>
    <row r="32" ht="15.75" customHeight="1">
      <c r="A32" s="56">
        <v>45714.0</v>
      </c>
      <c r="B32" s="70">
        <v>1182.8</v>
      </c>
      <c r="C32" s="70">
        <v>1235.0</v>
      </c>
      <c r="D32" s="70">
        <v>1229.0</v>
      </c>
      <c r="E32" s="70">
        <v>18.075</v>
      </c>
      <c r="F32" s="70">
        <v>6.6415999999999995</v>
      </c>
      <c r="G32" s="70">
        <v>1.4745</v>
      </c>
      <c r="H32" s="70">
        <v>1.86</v>
      </c>
      <c r="I32" s="70">
        <v>1.4569999999999999</v>
      </c>
      <c r="J32" s="70">
        <v>1.5165</v>
      </c>
      <c r="K32" s="70">
        <v>1.3518999999999999</v>
      </c>
      <c r="L32" s="70">
        <v>1.2856</v>
      </c>
      <c r="M32" s="70">
        <v>1.015</v>
      </c>
      <c r="N32" s="70">
        <v>1.1179999999999999</v>
      </c>
      <c r="O32" s="70">
        <v>1.0</v>
      </c>
      <c r="P32" s="70">
        <v>1.0325</v>
      </c>
      <c r="Q32" s="70">
        <v>1.024</v>
      </c>
      <c r="R32" s="70">
        <v>1.021</v>
      </c>
      <c r="S32" s="70">
        <v>1.0215</v>
      </c>
      <c r="T32" s="70">
        <v>1.5530000000000002</v>
      </c>
      <c r="U32" s="70">
        <v>1.0</v>
      </c>
      <c r="V32" s="70">
        <v>1.097</v>
      </c>
      <c r="W32" s="70">
        <v>1.002</v>
      </c>
      <c r="X32" s="70">
        <v>1.31518</v>
      </c>
      <c r="Y32" s="70">
        <v>778.6</v>
      </c>
      <c r="Z32" s="70">
        <v>1.7025</v>
      </c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21"/>
      <c r="AX32" s="73">
        <v>20750.0</v>
      </c>
      <c r="AY32" s="73">
        <v>737.0</v>
      </c>
      <c r="AZ32" s="73">
        <v>7082.8086</v>
      </c>
      <c r="BA32" s="73">
        <v>22250.0</v>
      </c>
      <c r="BB32" s="73">
        <v>7640.0</v>
      </c>
      <c r="BC32" s="73">
        <v>10625.0</v>
      </c>
      <c r="BD32" s="73"/>
      <c r="BE32" s="21"/>
      <c r="BF32" s="21"/>
      <c r="BG32" s="21">
        <v>2275036.79</v>
      </c>
      <c r="BH32" s="21"/>
      <c r="BI32" s="72"/>
      <c r="BJ32" s="21"/>
      <c r="BK32" s="72"/>
      <c r="BL32" s="21"/>
      <c r="BM32" s="72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</row>
    <row r="33" ht="15.75" customHeight="1">
      <c r="A33" s="56">
        <v>45715.0</v>
      </c>
      <c r="B33" s="70">
        <v>1186.0</v>
      </c>
      <c r="C33" s="70">
        <v>1260.0</v>
      </c>
      <c r="D33" s="70">
        <v>1225.0</v>
      </c>
      <c r="E33" s="70">
        <v>17.995</v>
      </c>
      <c r="F33" s="70">
        <v>6.6415999999999995</v>
      </c>
      <c r="G33" s="70">
        <v>1.475</v>
      </c>
      <c r="H33" s="70">
        <v>1.8475</v>
      </c>
      <c r="I33" s="70">
        <v>1.45</v>
      </c>
      <c r="J33" s="70">
        <v>1.5161000000000002</v>
      </c>
      <c r="K33" s="70">
        <v>1.34999</v>
      </c>
      <c r="L33" s="70">
        <v>1.2855</v>
      </c>
      <c r="M33" s="70">
        <v>1.0065</v>
      </c>
      <c r="N33" s="70">
        <v>1.1075</v>
      </c>
      <c r="O33" s="70">
        <v>1.0</v>
      </c>
      <c r="P33" s="70">
        <v>1.023</v>
      </c>
      <c r="Q33" s="70">
        <v>1.008</v>
      </c>
      <c r="R33" s="70">
        <v>1.0065</v>
      </c>
      <c r="S33" s="70">
        <v>1.0070000000000001</v>
      </c>
      <c r="T33" s="70">
        <v>1.54</v>
      </c>
      <c r="U33" s="70">
        <v>1.0</v>
      </c>
      <c r="V33" s="70">
        <v>1.08</v>
      </c>
      <c r="W33" s="70">
        <v>1.0005</v>
      </c>
      <c r="X33" s="70">
        <v>1.30849</v>
      </c>
      <c r="Y33" s="70">
        <v>779.5</v>
      </c>
      <c r="Z33" s="70">
        <v>1.692</v>
      </c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21"/>
      <c r="AX33" s="73">
        <v>20075.0</v>
      </c>
      <c r="AY33" s="73">
        <v>724.0</v>
      </c>
      <c r="AZ33" s="73">
        <v>6765.3718</v>
      </c>
      <c r="BA33" s="73">
        <v>21675.0</v>
      </c>
      <c r="BB33" s="73">
        <v>7350.0</v>
      </c>
      <c r="BC33" s="73">
        <v>9940.0</v>
      </c>
      <c r="BD33" s="73"/>
      <c r="BE33" s="21"/>
      <c r="BF33" s="21"/>
      <c r="BG33" s="21">
        <v>2193656.65</v>
      </c>
      <c r="BH33" s="21"/>
      <c r="BI33" s="72"/>
      <c r="BJ33" s="21"/>
      <c r="BK33" s="72"/>
      <c r="BL33" s="21"/>
      <c r="BM33" s="72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</row>
    <row r="34" ht="15.75" customHeight="1">
      <c r="A34" s="56">
        <v>45716.0</v>
      </c>
      <c r="B34" s="70">
        <v>1188.2</v>
      </c>
      <c r="C34" s="70">
        <v>1260.0</v>
      </c>
      <c r="D34" s="70">
        <v>1236.0</v>
      </c>
      <c r="E34" s="70">
        <v>18.11</v>
      </c>
      <c r="F34" s="70"/>
      <c r="G34" s="70">
        <v>1.483</v>
      </c>
      <c r="H34" s="70">
        <v>1.867</v>
      </c>
      <c r="I34" s="70">
        <v>1.455</v>
      </c>
      <c r="J34" s="70">
        <v>1.52288</v>
      </c>
      <c r="K34" s="70">
        <v>1.3555000000000001</v>
      </c>
      <c r="L34" s="70">
        <v>1.2925</v>
      </c>
      <c r="M34" s="70">
        <v>1.0055</v>
      </c>
      <c r="N34" s="70">
        <v>1.1059999999999999</v>
      </c>
      <c r="O34" s="70">
        <v>1.0</v>
      </c>
      <c r="P34" s="70">
        <v>1.023</v>
      </c>
      <c r="Q34" s="70">
        <v>1.008</v>
      </c>
      <c r="R34" s="70">
        <v>1.005</v>
      </c>
      <c r="S34" s="70">
        <v>1.0045</v>
      </c>
      <c r="T34" s="70">
        <v>1.55</v>
      </c>
      <c r="U34" s="70">
        <v>1.0</v>
      </c>
      <c r="V34" s="70">
        <v>1.0775</v>
      </c>
      <c r="W34" s="70">
        <v>0.99</v>
      </c>
      <c r="X34" s="70">
        <v>1.315</v>
      </c>
      <c r="Y34" s="70">
        <v>778.0</v>
      </c>
      <c r="Z34" s="70">
        <v>1.7175</v>
      </c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21"/>
      <c r="AX34" s="73">
        <v>20750.0</v>
      </c>
      <c r="AY34" s="73">
        <v>720.0</v>
      </c>
      <c r="AZ34" s="73">
        <v>6874.4907</v>
      </c>
      <c r="BA34" s="73">
        <v>21350.0</v>
      </c>
      <c r="BB34" s="73">
        <v>7550.0</v>
      </c>
      <c r="BC34" s="73">
        <v>10075.0</v>
      </c>
      <c r="BD34" s="73"/>
      <c r="BE34" s="21"/>
      <c r="BF34" s="21"/>
      <c r="BG34" s="21">
        <v>2205800.5</v>
      </c>
      <c r="BH34" s="21"/>
      <c r="BI34" s="72"/>
      <c r="BJ34" s="21"/>
      <c r="BK34" s="72"/>
      <c r="BL34" s="21"/>
      <c r="BM34" s="72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</row>
    <row r="35" ht="15.75" customHeight="1">
      <c r="A35" s="56">
        <v>45721.0</v>
      </c>
      <c r="B35" s="70">
        <v>1200.0</v>
      </c>
      <c r="C35" s="70">
        <v>1260.0</v>
      </c>
      <c r="D35" s="70">
        <v>1249.0</v>
      </c>
      <c r="E35" s="70">
        <v>18.05</v>
      </c>
      <c r="F35" s="70"/>
      <c r="G35" s="70">
        <v>1.4825</v>
      </c>
      <c r="H35" s="70">
        <v>1.857</v>
      </c>
      <c r="I35" s="70">
        <v>1.4525</v>
      </c>
      <c r="J35" s="70">
        <v>1.5243</v>
      </c>
      <c r="K35" s="70">
        <v>1.3562</v>
      </c>
      <c r="L35" s="70">
        <v>1.2934999999999999</v>
      </c>
      <c r="M35" s="70">
        <v>0.9990000000000001</v>
      </c>
      <c r="N35" s="70">
        <v>1.0979999999999999</v>
      </c>
      <c r="O35" s="70">
        <v>1.0</v>
      </c>
      <c r="P35" s="70">
        <v>1.015</v>
      </c>
      <c r="Q35" s="70">
        <v>1.0005</v>
      </c>
      <c r="R35" s="70">
        <v>1.001</v>
      </c>
      <c r="S35" s="70">
        <v>0.9990000000000001</v>
      </c>
      <c r="T35" s="70">
        <v>1.545</v>
      </c>
      <c r="U35" s="70">
        <v>1.0</v>
      </c>
      <c r="V35" s="70">
        <v>1.08</v>
      </c>
      <c r="W35" s="70">
        <v>0.9854999999999999</v>
      </c>
      <c r="X35" s="70">
        <v>1.317</v>
      </c>
      <c r="Y35" s="70">
        <v>809.2</v>
      </c>
      <c r="Z35" s="70">
        <v>1.6935</v>
      </c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21"/>
      <c r="AX35" s="73">
        <v>18825.0</v>
      </c>
      <c r="AY35" s="73">
        <v>745.0</v>
      </c>
      <c r="AZ35" s="73">
        <v>7122.4882</v>
      </c>
      <c r="BA35" s="73">
        <v>21525.0</v>
      </c>
      <c r="BB35" s="73">
        <v>7880.0</v>
      </c>
      <c r="BC35" s="73">
        <v>10525.0</v>
      </c>
      <c r="BD35" s="73"/>
      <c r="BE35" s="21"/>
      <c r="BF35" s="21"/>
      <c r="BG35" s="21">
        <v>2290049.88</v>
      </c>
      <c r="BH35" s="21"/>
      <c r="BI35" s="72"/>
      <c r="BJ35" s="21"/>
      <c r="BK35" s="72"/>
      <c r="BL35" s="21"/>
      <c r="BM35" s="72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</row>
    <row r="36" ht="15.75" customHeight="1">
      <c r="A36" s="56">
        <v>45723.0</v>
      </c>
      <c r="B36" s="70">
        <v>1200.0</v>
      </c>
      <c r="C36" s="70">
        <v>1245.0</v>
      </c>
      <c r="D36" s="70">
        <v>1233.0</v>
      </c>
      <c r="E36" s="70">
        <v>18.075</v>
      </c>
      <c r="F36" s="70"/>
      <c r="G36" s="70">
        <v>1.486</v>
      </c>
      <c r="H36" s="70">
        <v>1.8585</v>
      </c>
      <c r="I36" s="70">
        <v>1.455</v>
      </c>
      <c r="J36" s="70">
        <v>1.5284</v>
      </c>
      <c r="K36" s="70">
        <v>1.3559999999999999</v>
      </c>
      <c r="L36" s="70">
        <v>1.2930000000000001</v>
      </c>
      <c r="M36" s="70">
        <v>0.985</v>
      </c>
      <c r="N36" s="70">
        <v>1.0959999999999999</v>
      </c>
      <c r="O36" s="70">
        <v>1.0</v>
      </c>
      <c r="P36" s="70">
        <v>1.012</v>
      </c>
      <c r="Q36" s="70">
        <v>1.0</v>
      </c>
      <c r="R36" s="70">
        <v>0.9851000000000001</v>
      </c>
      <c r="S36" s="70">
        <v>0.985</v>
      </c>
      <c r="T36" s="70">
        <v>1.5415</v>
      </c>
      <c r="U36" s="70">
        <v>1.0</v>
      </c>
      <c r="V36" s="70">
        <v>1.05</v>
      </c>
      <c r="W36" s="70">
        <v>0.9640000000000001</v>
      </c>
      <c r="X36" s="70">
        <v>1.3119900000000002</v>
      </c>
      <c r="Y36" s="70">
        <v>799.0</v>
      </c>
      <c r="Z36" s="70">
        <v>1.6909999999999998</v>
      </c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21"/>
      <c r="AX36" s="73">
        <v>18675.0</v>
      </c>
      <c r="AY36" s="73">
        <v>760.0</v>
      </c>
      <c r="AZ36" s="73">
        <v>6983.6096</v>
      </c>
      <c r="BA36" s="73">
        <v>20225.0</v>
      </c>
      <c r="BB36" s="73">
        <v>7640.0</v>
      </c>
      <c r="BC36" s="73">
        <v>10350.0</v>
      </c>
      <c r="BD36" s="73"/>
      <c r="BE36" s="21"/>
      <c r="BF36" s="21"/>
      <c r="BG36" s="21">
        <v>2262289.29</v>
      </c>
      <c r="BH36" s="21"/>
      <c r="BI36" s="72"/>
      <c r="BJ36" s="21"/>
      <c r="BK36" s="72"/>
      <c r="BL36" s="21"/>
      <c r="BM36" s="72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</row>
    <row r="37" ht="15.75" customHeight="1">
      <c r="A37" s="56">
        <v>45727.0</v>
      </c>
      <c r="B37" s="70">
        <v>1198.6</v>
      </c>
      <c r="C37" s="70">
        <v>1225.2</v>
      </c>
      <c r="D37" s="70">
        <v>1233.0</v>
      </c>
      <c r="E37" s="70">
        <v>17.96</v>
      </c>
      <c r="F37" s="70"/>
      <c r="G37" s="70">
        <v>1.4894999999999998</v>
      </c>
      <c r="H37" s="70">
        <v>1.8565</v>
      </c>
      <c r="I37" s="70">
        <v>1.442</v>
      </c>
      <c r="J37" s="70">
        <v>1.5308000000000002</v>
      </c>
      <c r="K37" s="70">
        <v>1.35845</v>
      </c>
      <c r="L37" s="70">
        <v>1.2956200000000002</v>
      </c>
      <c r="M37" s="70">
        <v>0.9819</v>
      </c>
      <c r="N37" s="70">
        <v>1.0915000000000001</v>
      </c>
      <c r="O37" s="70">
        <v>1.0</v>
      </c>
      <c r="P37" s="70">
        <v>1.012</v>
      </c>
      <c r="Q37" s="70">
        <v>0.9965</v>
      </c>
      <c r="R37" s="70">
        <v>0.987</v>
      </c>
      <c r="S37" s="70">
        <v>0.978</v>
      </c>
      <c r="T37" s="70">
        <v>1.5175</v>
      </c>
      <c r="U37" s="70">
        <v>1.0</v>
      </c>
      <c r="V37" s="70">
        <v>1.075</v>
      </c>
      <c r="W37" s="70">
        <v>0.9555</v>
      </c>
      <c r="X37" s="70">
        <v>1.3115</v>
      </c>
      <c r="Y37" s="70">
        <v>799.5</v>
      </c>
      <c r="Z37" s="70">
        <v>1.673</v>
      </c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21"/>
      <c r="AX37" s="73">
        <v>17500.0</v>
      </c>
      <c r="AY37" s="73">
        <v>722.0</v>
      </c>
      <c r="AZ37" s="73">
        <v>6636.4131</v>
      </c>
      <c r="BA37" s="73">
        <v>20425.0</v>
      </c>
      <c r="BB37" s="73">
        <v>7170.0</v>
      </c>
      <c r="BC37" s="73">
        <v>10000.0</v>
      </c>
      <c r="BD37" s="73"/>
      <c r="BE37" s="21"/>
      <c r="BF37" s="21"/>
      <c r="BG37" s="21">
        <v>2159499.78</v>
      </c>
      <c r="BH37" s="21"/>
      <c r="BI37" s="72"/>
      <c r="BJ37" s="21"/>
      <c r="BK37" s="72"/>
      <c r="BL37" s="21"/>
      <c r="BM37" s="72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</row>
    <row r="38" ht="15.75" customHeight="1">
      <c r="A38" s="56">
        <v>45728.0</v>
      </c>
      <c r="B38" s="70">
        <v>1196.7</v>
      </c>
      <c r="C38" s="70">
        <v>1249.0</v>
      </c>
      <c r="D38" s="70">
        <v>1230.2</v>
      </c>
      <c r="E38" s="70">
        <v>18.07</v>
      </c>
      <c r="F38" s="70"/>
      <c r="G38" s="70">
        <v>1.4905000000000002</v>
      </c>
      <c r="H38" s="70">
        <v>1.855</v>
      </c>
      <c r="I38" s="70">
        <v>1.449</v>
      </c>
      <c r="J38" s="70">
        <v>1.5319</v>
      </c>
      <c r="K38" s="70">
        <v>1.361</v>
      </c>
      <c r="L38" s="70">
        <v>1.296</v>
      </c>
      <c r="M38" s="70">
        <v>0.985</v>
      </c>
      <c r="N38" s="70">
        <v>1.099</v>
      </c>
      <c r="O38" s="70">
        <v>1.0</v>
      </c>
      <c r="P38" s="70">
        <v>1.0165</v>
      </c>
      <c r="Q38" s="70">
        <v>1.001</v>
      </c>
      <c r="R38" s="70">
        <v>0.9948999999999999</v>
      </c>
      <c r="S38" s="70">
        <v>0.9890000000000001</v>
      </c>
      <c r="T38" s="70">
        <v>1.5234999999999999</v>
      </c>
      <c r="U38" s="70">
        <v>1.0</v>
      </c>
      <c r="V38" s="70">
        <v>1.075</v>
      </c>
      <c r="W38" s="70">
        <v>0.956</v>
      </c>
      <c r="X38" s="70">
        <v>1.3130000000000002</v>
      </c>
      <c r="Y38" s="70">
        <v>796.0</v>
      </c>
      <c r="Z38" s="70">
        <v>1.6725</v>
      </c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21"/>
      <c r="AX38" s="73">
        <v>19500.0</v>
      </c>
      <c r="AY38" s="73">
        <v>738.0</v>
      </c>
      <c r="AZ38" s="73">
        <v>7053.0489</v>
      </c>
      <c r="BA38" s="73">
        <v>20425.0</v>
      </c>
      <c r="BB38" s="73">
        <v>7600.0</v>
      </c>
      <c r="BC38" s="73">
        <v>10400.0</v>
      </c>
      <c r="BD38" s="73"/>
      <c r="BE38" s="21"/>
      <c r="BF38" s="21"/>
      <c r="BG38" s="21">
        <v>2272936.82</v>
      </c>
      <c r="BH38" s="21"/>
      <c r="BI38" s="72"/>
      <c r="BJ38" s="21"/>
      <c r="BK38" s="72"/>
      <c r="BL38" s="21"/>
      <c r="BM38" s="72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</row>
    <row r="39" ht="15.75" customHeight="1">
      <c r="A39" s="56">
        <v>45729.0</v>
      </c>
      <c r="B39" s="70">
        <v>1200.0</v>
      </c>
      <c r="C39" s="70">
        <v>1250.0</v>
      </c>
      <c r="D39" s="70">
        <v>1234.0</v>
      </c>
      <c r="E39" s="70">
        <v>18.065</v>
      </c>
      <c r="F39" s="70"/>
      <c r="G39" s="70">
        <v>1.493</v>
      </c>
      <c r="H39" s="70">
        <v>1.861</v>
      </c>
      <c r="I39" s="70">
        <v>1.4509999999999998</v>
      </c>
      <c r="J39" s="70">
        <v>1.53429</v>
      </c>
      <c r="K39" s="70">
        <v>1.3635</v>
      </c>
      <c r="L39" s="70">
        <v>1.3015</v>
      </c>
      <c r="M39" s="70">
        <v>0.9840000000000001</v>
      </c>
      <c r="N39" s="70">
        <v>1.097</v>
      </c>
      <c r="O39" s="70">
        <v>1.0</v>
      </c>
      <c r="P39" s="70">
        <v>1.015</v>
      </c>
      <c r="Q39" s="70">
        <v>1.0</v>
      </c>
      <c r="R39" s="70">
        <v>0.9945</v>
      </c>
      <c r="S39" s="70">
        <v>0.98</v>
      </c>
      <c r="T39" s="70">
        <v>1.5194999999999999</v>
      </c>
      <c r="U39" s="70">
        <v>1.0</v>
      </c>
      <c r="V39" s="70">
        <v>1.0715000000000001</v>
      </c>
      <c r="W39" s="70">
        <v>0.9575</v>
      </c>
      <c r="X39" s="70">
        <v>1.31605</v>
      </c>
      <c r="Y39" s="70">
        <v>793.6</v>
      </c>
      <c r="Z39" s="70">
        <v>1.671</v>
      </c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21"/>
      <c r="AX39" s="73">
        <v>19575.0</v>
      </c>
      <c r="AY39" s="73">
        <v>726.0</v>
      </c>
      <c r="AZ39" s="73">
        <v>7013.3693</v>
      </c>
      <c r="BA39" s="73">
        <v>20575.0</v>
      </c>
      <c r="BB39" s="73">
        <v>7470.0</v>
      </c>
      <c r="BC39" s="73">
        <v>10200.0</v>
      </c>
      <c r="BD39" s="73"/>
      <c r="BE39" s="21"/>
      <c r="BF39" s="21"/>
      <c r="BG39" s="21">
        <v>2232179.96</v>
      </c>
      <c r="BH39" s="21"/>
      <c r="BI39" s="72"/>
      <c r="BJ39" s="21"/>
      <c r="BK39" s="72"/>
      <c r="BL39" s="21"/>
      <c r="BM39" s="72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</row>
    <row r="40" ht="15.75" customHeight="1">
      <c r="A40" s="56">
        <v>45730.0</v>
      </c>
      <c r="B40" s="70">
        <v>1219.8</v>
      </c>
      <c r="C40" s="70">
        <v>1277.9</v>
      </c>
      <c r="D40" s="70">
        <v>1250.0</v>
      </c>
      <c r="E40" s="70">
        <v>18.235</v>
      </c>
      <c r="F40" s="70"/>
      <c r="G40" s="70">
        <v>1.4945</v>
      </c>
      <c r="H40" s="70">
        <v>1.875</v>
      </c>
      <c r="I40" s="70">
        <v>1.4635</v>
      </c>
      <c r="J40" s="70">
        <v>1.5385</v>
      </c>
      <c r="K40" s="70">
        <v>1.369</v>
      </c>
      <c r="L40" s="70">
        <v>1.306</v>
      </c>
      <c r="M40" s="70">
        <v>0.9793000000000001</v>
      </c>
      <c r="N40" s="70">
        <v>1.094</v>
      </c>
      <c r="O40" s="70">
        <v>1.0</v>
      </c>
      <c r="P40" s="70">
        <v>1.02</v>
      </c>
      <c r="Q40" s="70">
        <v>1.004</v>
      </c>
      <c r="R40" s="70">
        <v>0.9990000000000001</v>
      </c>
      <c r="S40" s="70">
        <v>0.9867</v>
      </c>
      <c r="T40" s="70">
        <v>1.5275</v>
      </c>
      <c r="U40" s="70">
        <v>1.0</v>
      </c>
      <c r="V40" s="70">
        <v>1.0775</v>
      </c>
      <c r="W40" s="70">
        <v>0.95</v>
      </c>
      <c r="X40" s="70">
        <v>1.32011</v>
      </c>
      <c r="Y40" s="70">
        <v>795.8</v>
      </c>
      <c r="Z40" s="70">
        <v>1.68</v>
      </c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21"/>
      <c r="AX40" s="73">
        <v>20300.0</v>
      </c>
      <c r="AY40" s="73">
        <v>749.0</v>
      </c>
      <c r="AZ40" s="73">
        <v>7320.8862</v>
      </c>
      <c r="BA40" s="73">
        <v>20900.0</v>
      </c>
      <c r="BB40" s="73">
        <v>7820.0</v>
      </c>
      <c r="BC40" s="73">
        <v>10575.0</v>
      </c>
      <c r="BD40" s="73"/>
      <c r="BE40" s="21"/>
      <c r="BF40" s="21"/>
      <c r="BG40" s="21">
        <v>2335574.83</v>
      </c>
      <c r="BH40" s="21"/>
      <c r="BI40" s="72"/>
      <c r="BJ40" s="21"/>
      <c r="BK40" s="72"/>
      <c r="BL40" s="21"/>
      <c r="BM40" s="72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</row>
    <row r="41" ht="15.75" customHeight="1">
      <c r="A41" s="56">
        <v>45733.0</v>
      </c>
      <c r="B41" s="70">
        <v>1223.5</v>
      </c>
      <c r="C41" s="70">
        <v>1285.0</v>
      </c>
      <c r="D41" s="70">
        <v>1247.5</v>
      </c>
      <c r="E41" s="70">
        <v>18.175</v>
      </c>
      <c r="F41" s="70"/>
      <c r="G41" s="70">
        <v>1.4975</v>
      </c>
      <c r="H41" s="70">
        <v>1.8769999999999998</v>
      </c>
      <c r="I41" s="70">
        <v>1.4605000000000001</v>
      </c>
      <c r="J41" s="70">
        <v>1.53889</v>
      </c>
      <c r="K41" s="70">
        <v>1.3694</v>
      </c>
      <c r="L41" s="70">
        <v>1.3056999999999999</v>
      </c>
      <c r="M41" s="70">
        <v>0.9704999999999999</v>
      </c>
      <c r="N41" s="70">
        <v>1.088</v>
      </c>
      <c r="O41" s="70">
        <v>1.0</v>
      </c>
      <c r="P41" s="70">
        <v>1.0085</v>
      </c>
      <c r="Q41" s="70">
        <v>0.9895</v>
      </c>
      <c r="R41" s="70">
        <v>0.9754999999999999</v>
      </c>
      <c r="S41" s="70">
        <v>0.97</v>
      </c>
      <c r="T41" s="70">
        <v>1.5230000000000001</v>
      </c>
      <c r="U41" s="70">
        <v>1.0</v>
      </c>
      <c r="V41" s="70">
        <v>1.0785</v>
      </c>
      <c r="W41" s="70">
        <v>0.932</v>
      </c>
      <c r="X41" s="70">
        <v>1.318</v>
      </c>
      <c r="Y41" s="70">
        <v>803.1</v>
      </c>
      <c r="Z41" s="70">
        <v>1.6715</v>
      </c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21"/>
      <c r="AX41" s="73">
        <v>20525.0</v>
      </c>
      <c r="AY41" s="73">
        <v>791.0</v>
      </c>
      <c r="AZ41" s="73">
        <v>7261.3668</v>
      </c>
      <c r="BA41" s="73">
        <v>22125.0</v>
      </c>
      <c r="BB41" s="73">
        <v>7740.0</v>
      </c>
      <c r="BC41" s="73">
        <v>10425.0</v>
      </c>
      <c r="BD41" s="73"/>
      <c r="BE41" s="21"/>
      <c r="BF41" s="21"/>
      <c r="BG41" s="21">
        <v>2346305.57</v>
      </c>
      <c r="BH41" s="21"/>
      <c r="BI41" s="72"/>
      <c r="BJ41" s="21"/>
      <c r="BK41" s="72"/>
      <c r="BL41" s="21"/>
      <c r="BM41" s="72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</row>
    <row r="42" ht="15.75" customHeight="1">
      <c r="A42" s="56">
        <v>45734.0</v>
      </c>
      <c r="B42" s="70">
        <v>1265.7</v>
      </c>
      <c r="C42" s="70">
        <v>1310.0</v>
      </c>
      <c r="D42" s="70">
        <v>1260.0</v>
      </c>
      <c r="E42" s="70">
        <v>17.935</v>
      </c>
      <c r="F42" s="70"/>
      <c r="G42" s="70">
        <v>1.4969999999999999</v>
      </c>
      <c r="H42" s="70">
        <v>1.867</v>
      </c>
      <c r="I42" s="70">
        <v>1.444</v>
      </c>
      <c r="J42" s="70">
        <v>1.5383000000000002</v>
      </c>
      <c r="K42" s="70">
        <v>1.347</v>
      </c>
      <c r="L42" s="70">
        <v>1.2969</v>
      </c>
      <c r="M42" s="70">
        <v>0.935</v>
      </c>
      <c r="N42" s="70">
        <v>1.057</v>
      </c>
      <c r="O42" s="70">
        <v>1.0</v>
      </c>
      <c r="P42" s="70">
        <v>0.9725</v>
      </c>
      <c r="Q42" s="70">
        <v>0.9520000000000001</v>
      </c>
      <c r="R42" s="70">
        <v>0.9415</v>
      </c>
      <c r="S42" s="70">
        <v>0.925</v>
      </c>
      <c r="T42" s="70">
        <v>1.499</v>
      </c>
      <c r="U42" s="70">
        <v>1.0</v>
      </c>
      <c r="V42" s="70">
        <v>1.1</v>
      </c>
      <c r="W42" s="70">
        <v>0.8985</v>
      </c>
      <c r="X42" s="70">
        <v>1.3119999999999998</v>
      </c>
      <c r="Y42" s="70">
        <v>818.7</v>
      </c>
      <c r="Z42" s="70">
        <v>1.65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21"/>
      <c r="AX42" s="73">
        <v>19800.0</v>
      </c>
      <c r="AY42" s="73">
        <v>793.0</v>
      </c>
      <c r="AZ42" s="73">
        <v>7062.9688</v>
      </c>
      <c r="BA42" s="73">
        <v>21625.0</v>
      </c>
      <c r="BB42" s="73">
        <v>7630.0</v>
      </c>
      <c r="BC42" s="73">
        <v>10150.0</v>
      </c>
      <c r="BD42" s="73"/>
      <c r="BE42" s="21"/>
      <c r="BF42" s="21"/>
      <c r="BG42" s="21">
        <v>2288537.99</v>
      </c>
      <c r="BH42" s="21"/>
      <c r="BI42" s="72"/>
      <c r="BJ42" s="21"/>
      <c r="BK42" s="72"/>
      <c r="BL42" s="21"/>
      <c r="BM42" s="72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</row>
    <row r="43" ht="15.75" customHeight="1">
      <c r="A43" s="56">
        <v>45735.0</v>
      </c>
      <c r="B43" s="70">
        <v>1278.4</v>
      </c>
      <c r="C43" s="70">
        <v>1329.0</v>
      </c>
      <c r="D43" s="70">
        <v>1268.0</v>
      </c>
      <c r="E43" s="70">
        <v>18.28</v>
      </c>
      <c r="F43" s="70"/>
      <c r="G43" s="70">
        <v>1.4985</v>
      </c>
      <c r="H43" s="70">
        <v>1.885</v>
      </c>
      <c r="I43" s="70">
        <v>1.4725</v>
      </c>
      <c r="J43" s="70">
        <v>1.5427000000000002</v>
      </c>
      <c r="K43" s="70">
        <v>1.3674899999999999</v>
      </c>
      <c r="L43" s="70">
        <v>1.3065</v>
      </c>
      <c r="M43" s="70">
        <v>0.9590000000000001</v>
      </c>
      <c r="N43" s="70">
        <v>1.089</v>
      </c>
      <c r="O43" s="70">
        <v>1.0</v>
      </c>
      <c r="P43" s="70">
        <v>1.005</v>
      </c>
      <c r="Q43" s="70">
        <v>0.9790000000000001</v>
      </c>
      <c r="R43" s="70">
        <v>0.9690000000000001</v>
      </c>
      <c r="S43" s="70">
        <v>0.9690000000000001</v>
      </c>
      <c r="T43" s="70">
        <v>1.51</v>
      </c>
      <c r="U43" s="70">
        <v>1.0</v>
      </c>
      <c r="V43" s="70">
        <v>1.0865</v>
      </c>
      <c r="W43" s="70">
        <v>0.93</v>
      </c>
      <c r="X43" s="70">
        <v>1.32</v>
      </c>
      <c r="Y43" s="70">
        <v>823.9</v>
      </c>
      <c r="Z43" s="70">
        <v>1.69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21"/>
      <c r="AX43" s="73">
        <v>20050.0</v>
      </c>
      <c r="AY43" s="73">
        <v>811.0</v>
      </c>
      <c r="AZ43" s="73">
        <v>7410.1653</v>
      </c>
      <c r="BA43" s="73">
        <v>22125.0</v>
      </c>
      <c r="BB43" s="73">
        <v>8140.0</v>
      </c>
      <c r="BC43" s="73">
        <v>10675.0</v>
      </c>
      <c r="BD43" s="73"/>
      <c r="BE43" s="21"/>
      <c r="BF43" s="21"/>
      <c r="BG43" s="21">
        <v>2392030.0</v>
      </c>
      <c r="BH43" s="21"/>
      <c r="BI43" s="72"/>
      <c r="BJ43" s="21"/>
      <c r="BK43" s="72"/>
      <c r="BL43" s="21"/>
      <c r="BM43" s="72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</row>
    <row r="44" ht="15.75" customHeight="1">
      <c r="A44" s="56">
        <v>45736.0</v>
      </c>
      <c r="B44" s="70">
        <v>1260.9</v>
      </c>
      <c r="C44" s="70">
        <v>1260.0</v>
      </c>
      <c r="D44" s="70">
        <v>1260.0</v>
      </c>
      <c r="E44" s="70">
        <v>18.32</v>
      </c>
      <c r="F44" s="70"/>
      <c r="G44" s="70">
        <v>1.5</v>
      </c>
      <c r="H44" s="70">
        <v>1.886</v>
      </c>
      <c r="I44" s="70">
        <v>1.47</v>
      </c>
      <c r="J44" s="70">
        <v>1.54235</v>
      </c>
      <c r="K44" s="70">
        <v>1.3696899999999999</v>
      </c>
      <c r="L44" s="70">
        <v>1.304</v>
      </c>
      <c r="M44" s="70">
        <v>0.9515</v>
      </c>
      <c r="N44" s="70">
        <v>1.075</v>
      </c>
      <c r="O44" s="70">
        <v>1.0</v>
      </c>
      <c r="P44" s="70">
        <v>0.9990000000000001</v>
      </c>
      <c r="Q44" s="70">
        <v>0.97</v>
      </c>
      <c r="R44" s="70">
        <v>0.9625</v>
      </c>
      <c r="S44" s="70">
        <v>0.9555</v>
      </c>
      <c r="T44" s="70">
        <v>1.5234999999999999</v>
      </c>
      <c r="U44" s="70">
        <v>1.0</v>
      </c>
      <c r="V44" s="70">
        <v>1.089</v>
      </c>
      <c r="W44" s="70">
        <v>0.92</v>
      </c>
      <c r="X44" s="70">
        <v>1.3215000000000001</v>
      </c>
      <c r="Y44" s="70">
        <v>824.0</v>
      </c>
      <c r="Z44" s="70">
        <v>1.6909999999999998</v>
      </c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21"/>
      <c r="AX44" s="73">
        <v>19975.0</v>
      </c>
      <c r="AY44" s="73">
        <v>794.0</v>
      </c>
      <c r="AZ44" s="73">
        <v>7211.7673</v>
      </c>
      <c r="BA44" s="73">
        <v>22100.0</v>
      </c>
      <c r="BB44" s="73">
        <v>7930.0</v>
      </c>
      <c r="BC44" s="73">
        <v>10325.0</v>
      </c>
      <c r="BD44" s="73"/>
      <c r="BE44" s="21"/>
      <c r="BF44" s="21"/>
      <c r="BG44" s="21">
        <v>2361582.89</v>
      </c>
      <c r="BH44" s="21"/>
      <c r="BI44" s="72"/>
      <c r="BJ44" s="21"/>
      <c r="BK44" s="72"/>
      <c r="BL44" s="21"/>
      <c r="BM44" s="72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</row>
    <row r="45" ht="15.75" customHeight="1">
      <c r="A45" s="56">
        <v>45737.0</v>
      </c>
      <c r="B45" s="70">
        <v>1273.8</v>
      </c>
      <c r="C45" s="70">
        <v>1260.0</v>
      </c>
      <c r="D45" s="70">
        <v>1276.0</v>
      </c>
      <c r="E45" s="70">
        <v>18.39</v>
      </c>
      <c r="F45" s="70"/>
      <c r="G45" s="70">
        <v>1.5055</v>
      </c>
      <c r="H45" s="70">
        <v>1.895</v>
      </c>
      <c r="I45" s="70">
        <v>1.472</v>
      </c>
      <c r="J45" s="70">
        <v>1.548</v>
      </c>
      <c r="K45" s="70">
        <v>1.369</v>
      </c>
      <c r="L45" s="70">
        <v>1.308</v>
      </c>
      <c r="M45" s="70">
        <v>0.9359000000000001</v>
      </c>
      <c r="N45" s="70">
        <v>1.0575</v>
      </c>
      <c r="O45" s="70">
        <v>1.0</v>
      </c>
      <c r="P45" s="70">
        <v>0.991</v>
      </c>
      <c r="Q45" s="70">
        <v>0.9605</v>
      </c>
      <c r="R45" s="70">
        <v>0.9525</v>
      </c>
      <c r="S45" s="70">
        <v>0.95</v>
      </c>
      <c r="T45" s="70">
        <v>1.5390000000000001</v>
      </c>
      <c r="U45" s="70">
        <v>1.0</v>
      </c>
      <c r="V45" s="70">
        <v>1.094</v>
      </c>
      <c r="W45" s="70">
        <v>0.899</v>
      </c>
      <c r="X45" s="70">
        <v>1.319</v>
      </c>
      <c r="Y45" s="70">
        <v>825.5</v>
      </c>
      <c r="Z45" s="70">
        <v>1.6869999999999998</v>
      </c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21"/>
      <c r="AX45" s="73">
        <v>20275.0</v>
      </c>
      <c r="AY45" s="73">
        <v>820.0</v>
      </c>
      <c r="AZ45" s="73">
        <v>7479.6046</v>
      </c>
      <c r="BA45" s="73">
        <v>22325.0</v>
      </c>
      <c r="BB45" s="73">
        <v>8180.0</v>
      </c>
      <c r="BC45" s="73">
        <v>10675.0</v>
      </c>
      <c r="BD45" s="73"/>
      <c r="BE45" s="21"/>
      <c r="BF45" s="21"/>
      <c r="BG45" s="21">
        <v>2433538.15</v>
      </c>
      <c r="BH45" s="21"/>
      <c r="BI45" s="72"/>
      <c r="BJ45" s="21"/>
      <c r="BK45" s="72"/>
      <c r="BL45" s="21"/>
      <c r="BM45" s="72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</row>
    <row r="46" ht="15.75" customHeight="1">
      <c r="A46" s="56">
        <v>45741.0</v>
      </c>
      <c r="B46" s="70">
        <v>1277.0</v>
      </c>
      <c r="C46" s="70">
        <v>1315.0</v>
      </c>
      <c r="D46" s="70">
        <v>1280.0</v>
      </c>
      <c r="E46" s="70">
        <v>18.285</v>
      </c>
      <c r="F46" s="70"/>
      <c r="G46" s="70">
        <v>1.5072999999999999</v>
      </c>
      <c r="H46" s="70">
        <v>1.885</v>
      </c>
      <c r="I46" s="70">
        <v>1.465</v>
      </c>
      <c r="J46" s="70">
        <v>1.5490000000000002</v>
      </c>
      <c r="K46" s="70">
        <v>1.3684200000000002</v>
      </c>
      <c r="L46" s="70">
        <v>1.307</v>
      </c>
      <c r="M46" s="70">
        <v>0.9279999999999999</v>
      </c>
      <c r="N46" s="70">
        <v>1.05</v>
      </c>
      <c r="O46" s="70">
        <v>1.0</v>
      </c>
      <c r="P46" s="70">
        <v>0.9834999999999999</v>
      </c>
      <c r="Q46" s="70">
        <v>0.9599</v>
      </c>
      <c r="R46" s="70">
        <v>0.9490000000000001</v>
      </c>
      <c r="S46" s="70">
        <v>0.948</v>
      </c>
      <c r="T46" s="70">
        <v>1.52</v>
      </c>
      <c r="U46" s="70">
        <v>1.0</v>
      </c>
      <c r="V46" s="70">
        <v>1.093</v>
      </c>
      <c r="W46" s="70">
        <v>0.8975</v>
      </c>
      <c r="X46" s="70">
        <v>1.3155000000000001</v>
      </c>
      <c r="Y46" s="70">
        <v>839.1</v>
      </c>
      <c r="Z46" s="70">
        <v>1.6855000000000002</v>
      </c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21"/>
      <c r="AX46" s="73">
        <v>20900.0</v>
      </c>
      <c r="AY46" s="73">
        <v>808.0</v>
      </c>
      <c r="AZ46" s="73">
        <v>7588.7235</v>
      </c>
      <c r="BA46" s="73">
        <v>23700.0</v>
      </c>
      <c r="BB46" s="73">
        <v>8620.0</v>
      </c>
      <c r="BC46" s="73">
        <v>11025.0</v>
      </c>
      <c r="BD46" s="73"/>
      <c r="BE46" s="21"/>
      <c r="BF46" s="21"/>
      <c r="BG46" s="21">
        <v>2487679.86</v>
      </c>
      <c r="BH46" s="21"/>
      <c r="BI46" s="72"/>
      <c r="BJ46" s="21"/>
      <c r="BK46" s="72"/>
      <c r="BL46" s="21"/>
      <c r="BM46" s="72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</row>
    <row r="47" ht="15.75" customHeight="1">
      <c r="A47" s="56">
        <v>45742.0</v>
      </c>
      <c r="B47" s="70">
        <v>1274.0</v>
      </c>
      <c r="C47" s="70">
        <v>1324.9</v>
      </c>
      <c r="D47" s="70">
        <v>1281.9</v>
      </c>
      <c r="E47" s="70">
        <v>18.25</v>
      </c>
      <c r="F47" s="70"/>
      <c r="G47" s="70">
        <v>1.5085</v>
      </c>
      <c r="H47" s="70">
        <v>1.879</v>
      </c>
      <c r="I47" s="70">
        <v>1.469</v>
      </c>
      <c r="J47" s="70">
        <v>1.5500999999999998</v>
      </c>
      <c r="K47" s="70">
        <v>1.37</v>
      </c>
      <c r="L47" s="70">
        <v>1.307</v>
      </c>
      <c r="M47" s="70">
        <v>0.9315000000000001</v>
      </c>
      <c r="N47" s="70">
        <v>1.055</v>
      </c>
      <c r="O47" s="70">
        <v>1.0</v>
      </c>
      <c r="P47" s="70">
        <v>0.9959</v>
      </c>
      <c r="Q47" s="70">
        <v>0.9675</v>
      </c>
      <c r="R47" s="70">
        <v>0.955</v>
      </c>
      <c r="S47" s="70">
        <v>0.9534</v>
      </c>
      <c r="T47" s="70">
        <v>1.5230000000000001</v>
      </c>
      <c r="U47" s="70">
        <v>1.0</v>
      </c>
      <c r="V47" s="70">
        <v>1.09</v>
      </c>
      <c r="W47" s="70">
        <v>0.8987</v>
      </c>
      <c r="X47" s="70">
        <v>1.317</v>
      </c>
      <c r="Y47" s="70">
        <v>834.4</v>
      </c>
      <c r="Z47" s="70">
        <v>1.6869999999999998</v>
      </c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21"/>
      <c r="AX47" s="73">
        <v>20800.0</v>
      </c>
      <c r="AY47" s="73">
        <v>783.0</v>
      </c>
      <c r="AZ47" s="73">
        <v>7420.0852</v>
      </c>
      <c r="BA47" s="73">
        <v>22450.0</v>
      </c>
      <c r="BB47" s="73">
        <v>8450.0</v>
      </c>
      <c r="BC47" s="73">
        <v>10800.0</v>
      </c>
      <c r="BD47" s="73"/>
      <c r="BE47" s="21"/>
      <c r="BF47" s="21"/>
      <c r="BG47" s="21">
        <v>2439966.22</v>
      </c>
      <c r="BH47" s="21"/>
      <c r="BI47" s="72"/>
      <c r="BJ47" s="21"/>
      <c r="BK47" s="72"/>
      <c r="BL47" s="21"/>
      <c r="BM47" s="72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</row>
    <row r="48" ht="15.75" customHeight="1">
      <c r="A48" s="56">
        <v>45743.0</v>
      </c>
      <c r="B48" s="70">
        <v>1273.0</v>
      </c>
      <c r="C48" s="70">
        <v>1305.0</v>
      </c>
      <c r="D48" s="70">
        <v>1277.0</v>
      </c>
      <c r="E48" s="70">
        <v>18.23</v>
      </c>
      <c r="F48" s="70"/>
      <c r="G48" s="70">
        <v>1.51</v>
      </c>
      <c r="H48" s="70">
        <v>1.8815</v>
      </c>
      <c r="I48" s="70">
        <v>1.463</v>
      </c>
      <c r="J48" s="70">
        <v>1.5515999999999999</v>
      </c>
      <c r="K48" s="70">
        <v>1.3730000000000002</v>
      </c>
      <c r="L48" s="70">
        <v>1.30952</v>
      </c>
      <c r="M48" s="70">
        <v>0.9395</v>
      </c>
      <c r="N48" s="70">
        <v>1.0605</v>
      </c>
      <c r="O48" s="70">
        <v>1.0</v>
      </c>
      <c r="P48" s="70">
        <v>1.0</v>
      </c>
      <c r="Q48" s="70">
        <v>0.98</v>
      </c>
      <c r="R48" s="70">
        <v>0.9645</v>
      </c>
      <c r="S48" s="70">
        <v>0.9516</v>
      </c>
      <c r="T48" s="70">
        <v>1.518</v>
      </c>
      <c r="U48" s="70">
        <v>1.0</v>
      </c>
      <c r="V48" s="70">
        <v>1.0935</v>
      </c>
      <c r="W48" s="70">
        <v>0.9005</v>
      </c>
      <c r="X48" s="70">
        <v>1.31799</v>
      </c>
      <c r="Y48" s="70">
        <v>834.9</v>
      </c>
      <c r="Z48" s="70">
        <v>1.6855000000000002</v>
      </c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21"/>
      <c r="AX48" s="73">
        <v>20950.0</v>
      </c>
      <c r="AY48" s="73">
        <v>791.0</v>
      </c>
      <c r="AZ48" s="73">
        <v>7251.4469</v>
      </c>
      <c r="BA48" s="73">
        <v>22575.0</v>
      </c>
      <c r="BB48" s="73">
        <v>8240.0</v>
      </c>
      <c r="BC48" s="73">
        <v>10425.0</v>
      </c>
      <c r="BD48" s="73"/>
      <c r="BE48" s="21"/>
      <c r="BF48" s="21"/>
      <c r="BG48" s="21">
        <v>2412081.5</v>
      </c>
      <c r="BH48" s="21"/>
      <c r="BI48" s="72"/>
      <c r="BJ48" s="21"/>
      <c r="BK48" s="72"/>
      <c r="BL48" s="21"/>
      <c r="BM48" s="72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</row>
    <row r="49" ht="15.75" customHeight="1">
      <c r="A49" s="56">
        <v>45744.0</v>
      </c>
      <c r="B49" s="70">
        <v>1280.1</v>
      </c>
      <c r="C49" s="70">
        <v>1320.0</v>
      </c>
      <c r="D49" s="70">
        <v>1290.0</v>
      </c>
      <c r="E49" s="70">
        <v>18.38</v>
      </c>
      <c r="F49" s="70"/>
      <c r="G49" s="70">
        <v>1.51</v>
      </c>
      <c r="H49" s="70">
        <v>1.891</v>
      </c>
      <c r="I49" s="70">
        <v>1.4755</v>
      </c>
      <c r="J49" s="70">
        <v>1.5515999999999999</v>
      </c>
      <c r="K49" s="70">
        <v>1.38</v>
      </c>
      <c r="L49" s="70">
        <v>1.3168</v>
      </c>
      <c r="M49" s="70">
        <v>0.945</v>
      </c>
      <c r="N49" s="70">
        <v>1.064</v>
      </c>
      <c r="O49" s="70">
        <v>1.0</v>
      </c>
      <c r="P49" s="70">
        <v>1.004</v>
      </c>
      <c r="Q49" s="70">
        <v>0.9845</v>
      </c>
      <c r="R49" s="70">
        <v>0.9634999999999999</v>
      </c>
      <c r="S49" s="70">
        <v>0.9479000000000001</v>
      </c>
      <c r="T49" s="70">
        <v>1.52</v>
      </c>
      <c r="U49" s="70">
        <v>1.0</v>
      </c>
      <c r="V49" s="70">
        <v>1.0965</v>
      </c>
      <c r="W49" s="70">
        <v>0.8976999999999999</v>
      </c>
      <c r="X49" s="70">
        <v>1.3255000000000001</v>
      </c>
      <c r="Y49" s="70">
        <v>832.0</v>
      </c>
      <c r="Z49" s="70">
        <v>1.6965000000000001</v>
      </c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21"/>
      <c r="AX49" s="73">
        <v>20725.0</v>
      </c>
      <c r="AY49" s="73">
        <v>800.0</v>
      </c>
      <c r="AZ49" s="73">
        <v>7251.4469</v>
      </c>
      <c r="BA49" s="73">
        <v>22275.0</v>
      </c>
      <c r="BB49" s="73">
        <v>8130.0</v>
      </c>
      <c r="BC49" s="73">
        <v>10200.0</v>
      </c>
      <c r="BD49" s="73"/>
      <c r="BE49" s="21"/>
      <c r="BF49" s="21"/>
      <c r="BG49" s="21">
        <v>2378562.84</v>
      </c>
      <c r="BH49" s="21"/>
      <c r="BI49" s="72"/>
      <c r="BJ49" s="21"/>
      <c r="BK49" s="72"/>
      <c r="BL49" s="21"/>
      <c r="BM49" s="72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</row>
    <row r="50" ht="15.75" customHeight="1">
      <c r="A50" s="56">
        <v>45747.0</v>
      </c>
      <c r="B50" s="70">
        <v>1294.0</v>
      </c>
      <c r="C50" s="70">
        <v>1330.0</v>
      </c>
      <c r="D50" s="70">
        <v>1297.7</v>
      </c>
      <c r="E50" s="70">
        <v>18.45</v>
      </c>
      <c r="F50" s="70"/>
      <c r="G50" s="70">
        <v>1.51</v>
      </c>
      <c r="H50" s="70">
        <v>1.8975</v>
      </c>
      <c r="I50" s="70">
        <v>1.4825</v>
      </c>
      <c r="J50" s="70">
        <v>1.5515999999999999</v>
      </c>
      <c r="K50" s="70">
        <v>1.383</v>
      </c>
      <c r="L50" s="70">
        <v>1.318</v>
      </c>
      <c r="M50" s="70">
        <v>0.9381999999999999</v>
      </c>
      <c r="N50" s="70">
        <v>1.0585</v>
      </c>
      <c r="O50" s="70">
        <v>1.0</v>
      </c>
      <c r="P50" s="70">
        <v>1.0045</v>
      </c>
      <c r="Q50" s="70">
        <v>0.9890000000000001</v>
      </c>
      <c r="R50" s="70">
        <v>0.9625</v>
      </c>
      <c r="S50" s="70">
        <v>0.9405</v>
      </c>
      <c r="T50" s="70">
        <v>1.5265</v>
      </c>
      <c r="U50" s="70">
        <v>1.0</v>
      </c>
      <c r="V50" s="70">
        <v>1.099</v>
      </c>
      <c r="W50" s="70">
        <v>0.9</v>
      </c>
      <c r="X50" s="70">
        <v>1.321</v>
      </c>
      <c r="Y50" s="70">
        <v>838.4</v>
      </c>
      <c r="Z50" s="70">
        <v>1.696</v>
      </c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21"/>
      <c r="AX50" s="73">
        <v>20400.0</v>
      </c>
      <c r="AY50" s="73">
        <v>820.0</v>
      </c>
      <c r="AZ50" s="73">
        <v>7102.6484</v>
      </c>
      <c r="BA50" s="73">
        <v>21400.0</v>
      </c>
      <c r="BB50" s="73">
        <v>7950.0</v>
      </c>
      <c r="BC50" s="73">
        <v>9930.0</v>
      </c>
      <c r="BD50" s="73"/>
      <c r="BE50" s="21"/>
      <c r="BF50" s="21"/>
      <c r="BG50" s="21">
        <v>2338760.74</v>
      </c>
      <c r="BH50" s="21"/>
      <c r="BI50" s="72"/>
      <c r="BJ50" s="21"/>
      <c r="BK50" s="72"/>
      <c r="BL50" s="21"/>
      <c r="BM50" s="72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</row>
    <row r="51" ht="15.75" customHeight="1">
      <c r="A51" s="56">
        <v>45748.0</v>
      </c>
      <c r="B51" s="70">
        <v>1292.5</v>
      </c>
      <c r="C51" s="70">
        <v>1330.0</v>
      </c>
      <c r="D51" s="70">
        <v>1295.0</v>
      </c>
      <c r="E51" s="70">
        <v>18.57</v>
      </c>
      <c r="F51" s="70"/>
      <c r="G51" s="70">
        <v>1.51</v>
      </c>
      <c r="H51" s="70">
        <v>1.9140000000000001</v>
      </c>
      <c r="I51" s="70">
        <v>1.493</v>
      </c>
      <c r="J51" s="70">
        <v>1.5515999999999999</v>
      </c>
      <c r="K51" s="70">
        <v>1.386</v>
      </c>
      <c r="L51" s="70">
        <v>1.3207300000000002</v>
      </c>
      <c r="M51" s="70">
        <v>0.951</v>
      </c>
      <c r="N51" s="70">
        <v>1.075</v>
      </c>
      <c r="O51" s="70">
        <v>1.0</v>
      </c>
      <c r="P51" s="70">
        <v>1.0105</v>
      </c>
      <c r="Q51" s="70">
        <v>0.988</v>
      </c>
      <c r="R51" s="70">
        <v>0.9634999999999999</v>
      </c>
      <c r="S51" s="70">
        <v>0.948</v>
      </c>
      <c r="T51" s="70">
        <v>1.546</v>
      </c>
      <c r="U51" s="70">
        <v>1.0</v>
      </c>
      <c r="V51" s="70">
        <v>1.11</v>
      </c>
      <c r="W51" s="70">
        <v>0.9025</v>
      </c>
      <c r="X51" s="70">
        <v>1.3359999999999999</v>
      </c>
      <c r="Y51" s="70">
        <v>837.3</v>
      </c>
      <c r="Z51" s="70">
        <v>1.7225</v>
      </c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21"/>
      <c r="AX51" s="73">
        <v>20725.0</v>
      </c>
      <c r="AY51" s="73">
        <v>789.0</v>
      </c>
      <c r="AZ51" s="73">
        <v>7191.9275</v>
      </c>
      <c r="BA51" s="73">
        <v>20975.0</v>
      </c>
      <c r="BB51" s="73">
        <v>8000.0</v>
      </c>
      <c r="BC51" s="73">
        <v>10075.0</v>
      </c>
      <c r="BD51" s="73"/>
      <c r="BE51" s="21"/>
      <c r="BF51" s="21"/>
      <c r="BG51" s="21">
        <v>2356530.77</v>
      </c>
      <c r="BH51" s="21"/>
      <c r="BI51" s="72"/>
      <c r="BJ51" s="21"/>
      <c r="BK51" s="72"/>
      <c r="BL51" s="21"/>
      <c r="BM51" s="72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</row>
    <row r="52" ht="15.75" customHeight="1">
      <c r="A52" s="56">
        <v>45750.0</v>
      </c>
      <c r="B52" s="70">
        <v>1293.0</v>
      </c>
      <c r="C52" s="70">
        <v>1311.0</v>
      </c>
      <c r="D52" s="70">
        <v>1296.3</v>
      </c>
      <c r="E52" s="70">
        <v>18.65</v>
      </c>
      <c r="F52" s="70"/>
      <c r="G52" s="70">
        <v>1.51</v>
      </c>
      <c r="H52" s="70">
        <v>1.9175</v>
      </c>
      <c r="I52" s="70">
        <v>1.4965000000000002</v>
      </c>
      <c r="J52" s="70">
        <v>1.5515999999999999</v>
      </c>
      <c r="K52" s="70">
        <v>1.3862</v>
      </c>
      <c r="L52" s="70">
        <v>1.3202</v>
      </c>
      <c r="M52" s="70">
        <v>0.9495</v>
      </c>
      <c r="N52" s="70">
        <v>1.074</v>
      </c>
      <c r="O52" s="70">
        <v>1.0</v>
      </c>
      <c r="P52" s="70">
        <v>1.0065</v>
      </c>
      <c r="Q52" s="70">
        <v>0.9847</v>
      </c>
      <c r="R52" s="70">
        <v>0.958</v>
      </c>
      <c r="S52" s="70">
        <v>0.945</v>
      </c>
      <c r="T52" s="70">
        <v>1.55</v>
      </c>
      <c r="U52" s="70">
        <v>1.0</v>
      </c>
      <c r="V52" s="70">
        <v>1.113</v>
      </c>
      <c r="W52" s="70">
        <v>0.8908</v>
      </c>
      <c r="X52" s="70">
        <v>1.3344</v>
      </c>
      <c r="Y52" s="70">
        <v>831.2</v>
      </c>
      <c r="Z52" s="70">
        <v>1.7215</v>
      </c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21"/>
      <c r="AX52" s="73">
        <v>19050.0</v>
      </c>
      <c r="AY52" s="73">
        <v>752.0</v>
      </c>
      <c r="AZ52" s="73">
        <v>7013.3693</v>
      </c>
      <c r="BA52" s="73">
        <v>21300.0</v>
      </c>
      <c r="BB52" s="73">
        <v>7820.0</v>
      </c>
      <c r="BC52" s="73">
        <v>9820.0</v>
      </c>
      <c r="BD52" s="73"/>
      <c r="BE52" s="21"/>
      <c r="BF52" s="21"/>
      <c r="BG52" s="21">
        <v>2275658.78</v>
      </c>
      <c r="BH52" s="21"/>
      <c r="BI52" s="72"/>
      <c r="BJ52" s="21"/>
      <c r="BK52" s="72"/>
      <c r="BL52" s="21"/>
      <c r="BM52" s="72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</row>
    <row r="53" ht="15.75" customHeight="1">
      <c r="A53" s="56">
        <v>45751.0</v>
      </c>
      <c r="B53" s="70">
        <v>1310.0</v>
      </c>
      <c r="C53" s="70">
        <v>1320.0</v>
      </c>
      <c r="D53" s="70">
        <v>1306.0</v>
      </c>
      <c r="E53" s="70">
        <v>18.575</v>
      </c>
      <c r="F53" s="70"/>
      <c r="G53" s="70">
        <v>1.51</v>
      </c>
      <c r="H53" s="70">
        <v>1.9115</v>
      </c>
      <c r="I53" s="70">
        <v>1.489</v>
      </c>
      <c r="J53" s="70">
        <v>1.5515999999999999</v>
      </c>
      <c r="K53" s="70">
        <v>1.3840000000000001</v>
      </c>
      <c r="L53" s="70">
        <v>1.3232</v>
      </c>
      <c r="M53" s="70">
        <v>0.94</v>
      </c>
      <c r="N53" s="70">
        <v>1.06</v>
      </c>
      <c r="O53" s="70">
        <v>1.0</v>
      </c>
      <c r="P53" s="70">
        <v>0.988</v>
      </c>
      <c r="Q53" s="70">
        <v>0.958</v>
      </c>
      <c r="R53" s="70">
        <v>0.9365000000000001</v>
      </c>
      <c r="S53" s="70">
        <v>0.9215000000000001</v>
      </c>
      <c r="T53" s="70">
        <v>1.5325</v>
      </c>
      <c r="U53" s="70">
        <v>1.0</v>
      </c>
      <c r="V53" s="70">
        <v>1.12</v>
      </c>
      <c r="W53" s="70">
        <v>0.865</v>
      </c>
      <c r="X53" s="70">
        <v>1.33329</v>
      </c>
      <c r="Y53" s="70">
        <v>821.5</v>
      </c>
      <c r="Z53" s="70">
        <v>1.715</v>
      </c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21"/>
      <c r="AX53" s="73">
        <v>17250.0</v>
      </c>
      <c r="AY53" s="73">
        <v>740.0</v>
      </c>
      <c r="AZ53" s="73">
        <v>6388.4156</v>
      </c>
      <c r="BA53" s="73">
        <v>20550.0</v>
      </c>
      <c r="BB53" s="73">
        <v>7080.0</v>
      </c>
      <c r="BC53" s="73">
        <v>8990.0</v>
      </c>
      <c r="BD53" s="73"/>
      <c r="BE53" s="21"/>
      <c r="BF53" s="21"/>
      <c r="BG53" s="21">
        <v>2107815.91</v>
      </c>
      <c r="BH53" s="21"/>
      <c r="BI53" s="72"/>
      <c r="BJ53" s="21"/>
      <c r="BK53" s="72"/>
      <c r="BL53" s="21"/>
      <c r="BM53" s="72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</row>
    <row r="54" ht="15.75" customHeight="1">
      <c r="A54" s="56">
        <v>45754.0</v>
      </c>
      <c r="B54" s="70">
        <v>1365.0</v>
      </c>
      <c r="C54" s="70">
        <v>1365.0</v>
      </c>
      <c r="D54" s="70">
        <v>1317.0</v>
      </c>
      <c r="E54" s="70">
        <v>18.46</v>
      </c>
      <c r="F54" s="70"/>
      <c r="G54" s="70">
        <v>1.51</v>
      </c>
      <c r="H54" s="70">
        <v>1.91</v>
      </c>
      <c r="I54" s="70">
        <v>1.4780000000000002</v>
      </c>
      <c r="J54" s="70">
        <v>1.5515999999999999</v>
      </c>
      <c r="K54" s="70">
        <v>1.38</v>
      </c>
      <c r="L54" s="70">
        <v>1.3234899999999998</v>
      </c>
      <c r="M54" s="70">
        <v>0.905</v>
      </c>
      <c r="N54" s="70">
        <v>1.0334999999999999</v>
      </c>
      <c r="O54" s="70">
        <v>1.0</v>
      </c>
      <c r="P54" s="70">
        <v>0.9699</v>
      </c>
      <c r="Q54" s="70">
        <v>0.9224</v>
      </c>
      <c r="R54" s="70">
        <v>0.8925</v>
      </c>
      <c r="S54" s="70">
        <v>0.883</v>
      </c>
      <c r="T54" s="70">
        <v>1.4975</v>
      </c>
      <c r="U54" s="70">
        <v>1.0</v>
      </c>
      <c r="V54" s="70">
        <v>1.1179999999999999</v>
      </c>
      <c r="W54" s="70">
        <v>0.8315</v>
      </c>
      <c r="X54" s="70">
        <v>1.3238999999999999</v>
      </c>
      <c r="Y54" s="70">
        <v>829.4</v>
      </c>
      <c r="Z54" s="70">
        <v>1.6780000000000002</v>
      </c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21"/>
      <c r="AX54" s="73">
        <v>16725.0</v>
      </c>
      <c r="AY54" s="73">
        <v>710.0</v>
      </c>
      <c r="AZ54" s="73">
        <v>6110.6584</v>
      </c>
      <c r="BA54" s="73">
        <v>20275.0</v>
      </c>
      <c r="BB54" s="73">
        <v>6700.0</v>
      </c>
      <c r="BC54" s="73">
        <v>8750.0</v>
      </c>
      <c r="BD54" s="73"/>
      <c r="BE54" s="21"/>
      <c r="BF54" s="21"/>
      <c r="BG54" s="21">
        <v>2025967.27</v>
      </c>
      <c r="BH54" s="21"/>
      <c r="BI54" s="72"/>
      <c r="BJ54" s="21"/>
      <c r="BK54" s="72"/>
      <c r="BL54" s="21"/>
      <c r="BM54" s="72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</row>
    <row r="55" ht="15.75" customHeight="1">
      <c r="A55" s="56">
        <v>45755.0</v>
      </c>
      <c r="B55" s="70">
        <v>1347.8</v>
      </c>
      <c r="C55" s="70">
        <v>1380.0</v>
      </c>
      <c r="D55" s="70">
        <v>1328.0</v>
      </c>
      <c r="E55" s="70">
        <v>18.575</v>
      </c>
      <c r="F55" s="70"/>
      <c r="G55" s="70">
        <v>1.51</v>
      </c>
      <c r="H55" s="70">
        <v>1.915</v>
      </c>
      <c r="I55" s="70">
        <v>1.4785</v>
      </c>
      <c r="J55" s="70">
        <v>1.5515999999999999</v>
      </c>
      <c r="K55" s="70">
        <v>1.374</v>
      </c>
      <c r="L55" s="70">
        <v>1.32155</v>
      </c>
      <c r="M55" s="70">
        <v>0.9015000000000001</v>
      </c>
      <c r="N55" s="70">
        <v>1.034</v>
      </c>
      <c r="O55" s="70">
        <v>1.0</v>
      </c>
      <c r="P55" s="70">
        <v>0.973</v>
      </c>
      <c r="Q55" s="70">
        <v>0.93</v>
      </c>
      <c r="R55" s="70">
        <v>0.8915000000000001</v>
      </c>
      <c r="S55" s="70">
        <v>0.8809999999999999</v>
      </c>
      <c r="T55" s="70">
        <v>1.4909999999999999</v>
      </c>
      <c r="U55" s="70">
        <v>1.0</v>
      </c>
      <c r="V55" s="70">
        <v>1.113</v>
      </c>
      <c r="W55" s="70">
        <v>0.8255</v>
      </c>
      <c r="X55" s="70">
        <v>1.3252099999999998</v>
      </c>
      <c r="Y55" s="70">
        <v>821.0</v>
      </c>
      <c r="Z55" s="70">
        <v>1.6780000000000002</v>
      </c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21"/>
      <c r="AX55" s="73">
        <v>15850.0</v>
      </c>
      <c r="AY55" s="73">
        <v>680.0</v>
      </c>
      <c r="AZ55" s="73">
        <v>6190.0176</v>
      </c>
      <c r="BA55" s="73">
        <v>20825.0</v>
      </c>
      <c r="BB55" s="73">
        <v>6800.0</v>
      </c>
      <c r="BC55" s="73">
        <v>8920.0</v>
      </c>
      <c r="BD55" s="73"/>
      <c r="BE55" s="21"/>
      <c r="BF55" s="21"/>
      <c r="BG55" s="21">
        <v>1990621.29</v>
      </c>
      <c r="BH55" s="21"/>
      <c r="BI55" s="72"/>
      <c r="BJ55" s="21"/>
      <c r="BK55" s="72"/>
      <c r="BL55" s="21"/>
      <c r="BM55" s="72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</row>
    <row r="56" ht="15.75" customHeight="1">
      <c r="A56" s="56">
        <v>45756.0</v>
      </c>
      <c r="B56" s="70">
        <v>1322.0</v>
      </c>
      <c r="C56" s="70">
        <v>1395.0</v>
      </c>
      <c r="D56" s="70">
        <v>1340.0</v>
      </c>
      <c r="E56" s="70">
        <v>18.65</v>
      </c>
      <c r="F56" s="70"/>
      <c r="G56" s="70">
        <v>1.51</v>
      </c>
      <c r="H56" s="70">
        <v>1.926</v>
      </c>
      <c r="I56" s="70">
        <v>1.495</v>
      </c>
      <c r="J56" s="70">
        <v>1.5515999999999999</v>
      </c>
      <c r="K56" s="70">
        <v>1.38</v>
      </c>
      <c r="L56" s="70">
        <v>1.3215000000000001</v>
      </c>
      <c r="M56" s="70">
        <v>0.9</v>
      </c>
      <c r="N56" s="70">
        <v>1.0290000000000001</v>
      </c>
      <c r="O56" s="70">
        <v>1.0</v>
      </c>
      <c r="P56" s="70">
        <v>0.99</v>
      </c>
      <c r="Q56" s="70">
        <v>0.95</v>
      </c>
      <c r="R56" s="70">
        <v>0.924</v>
      </c>
      <c r="S56" s="70">
        <v>0.8855</v>
      </c>
      <c r="T56" s="70">
        <v>1.495</v>
      </c>
      <c r="U56" s="70">
        <v>1.0</v>
      </c>
      <c r="V56" s="70">
        <v>1.12</v>
      </c>
      <c r="W56" s="70">
        <v>0.8255</v>
      </c>
      <c r="X56" s="70">
        <v>1.3055</v>
      </c>
      <c r="Y56" s="70">
        <v>834.3</v>
      </c>
      <c r="Z56" s="70">
        <v>1.6969999999999998</v>
      </c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21"/>
      <c r="AX56" s="73">
        <v>16900.0</v>
      </c>
      <c r="AY56" s="73">
        <v>717.0</v>
      </c>
      <c r="AZ56" s="73">
        <v>6924.0902</v>
      </c>
      <c r="BA56" s="73">
        <v>22225.0</v>
      </c>
      <c r="BB56" s="73">
        <v>7360.0</v>
      </c>
      <c r="BC56" s="73">
        <v>10300.0</v>
      </c>
      <c r="BD56" s="73"/>
      <c r="BE56" s="21"/>
      <c r="BF56" s="21"/>
      <c r="BG56" s="21">
        <v>2183577.03</v>
      </c>
      <c r="BH56" s="21"/>
      <c r="BI56" s="72"/>
      <c r="BJ56" s="21"/>
      <c r="BK56" s="72"/>
      <c r="BL56" s="21"/>
      <c r="BM56" s="72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</row>
    <row r="57" ht="15.75" customHeight="1">
      <c r="A57" s="56">
        <v>45757.0</v>
      </c>
      <c r="B57" s="70">
        <v>1324.7</v>
      </c>
      <c r="C57" s="70">
        <v>1333.0</v>
      </c>
      <c r="D57" s="70">
        <v>1354.9</v>
      </c>
      <c r="E57" s="70">
        <v>18.715</v>
      </c>
      <c r="F57" s="70"/>
      <c r="G57" s="70">
        <v>1.51</v>
      </c>
      <c r="H57" s="70">
        <v>1.935</v>
      </c>
      <c r="I57" s="70">
        <v>1.4969999999999999</v>
      </c>
      <c r="J57" s="70">
        <v>1.5515999999999999</v>
      </c>
      <c r="K57" s="70">
        <v>1.37</v>
      </c>
      <c r="L57" s="70">
        <v>1.31795</v>
      </c>
      <c r="M57" s="70">
        <v>0.903</v>
      </c>
      <c r="N57" s="70">
        <v>1.0290000000000001</v>
      </c>
      <c r="O57" s="70">
        <v>1.0</v>
      </c>
      <c r="P57" s="70">
        <v>0.99</v>
      </c>
      <c r="Q57" s="70">
        <v>0.95</v>
      </c>
      <c r="R57" s="70">
        <v>0.9229999999999999</v>
      </c>
      <c r="S57" s="70">
        <v>0.9</v>
      </c>
      <c r="T57" s="70">
        <v>1.4980000000000002</v>
      </c>
      <c r="U57" s="70">
        <v>1.0</v>
      </c>
      <c r="V57" s="70">
        <v>1.119</v>
      </c>
      <c r="W57" s="70">
        <v>0.82</v>
      </c>
      <c r="X57" s="70">
        <v>1.31</v>
      </c>
      <c r="Y57" s="70">
        <v>834.0</v>
      </c>
      <c r="Z57" s="70">
        <v>1.6994999999999998</v>
      </c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21"/>
      <c r="AX57" s="73">
        <v>15925.0</v>
      </c>
      <c r="AY57" s="73">
        <v>744.0</v>
      </c>
      <c r="AZ57" s="73">
        <v>6616.5733</v>
      </c>
      <c r="BA57" s="73">
        <v>21950.0</v>
      </c>
      <c r="BB57" s="73">
        <v>7330.0</v>
      </c>
      <c r="BC57" s="73">
        <v>9760.0</v>
      </c>
      <c r="BD57" s="73"/>
      <c r="BE57" s="21"/>
      <c r="BF57" s="21"/>
      <c r="BG57" s="21">
        <v>2111490.16</v>
      </c>
      <c r="BH57" s="21"/>
      <c r="BI57" s="72"/>
      <c r="BJ57" s="21"/>
      <c r="BK57" s="72"/>
      <c r="BL57" s="21"/>
      <c r="BM57" s="72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</row>
    <row r="58" ht="15.75" customHeight="1">
      <c r="A58" s="56">
        <v>45758.0</v>
      </c>
      <c r="B58" s="70">
        <v>1287.9</v>
      </c>
      <c r="C58" s="70">
        <v>1333.0</v>
      </c>
      <c r="D58" s="70">
        <v>1351.1</v>
      </c>
      <c r="E58" s="70">
        <v>19.01</v>
      </c>
      <c r="F58" s="70"/>
      <c r="G58" s="70">
        <v>1.51</v>
      </c>
      <c r="H58" s="70">
        <v>1.995</v>
      </c>
      <c r="I58" s="70">
        <v>1.535</v>
      </c>
      <c r="J58" s="70">
        <v>1.5515999999999999</v>
      </c>
      <c r="K58" s="70">
        <v>1.3770099999999998</v>
      </c>
      <c r="L58" s="70">
        <v>1.3230000000000002</v>
      </c>
      <c r="M58" s="70">
        <v>0.9508</v>
      </c>
      <c r="N58" s="70">
        <v>1.0575</v>
      </c>
      <c r="O58" s="70">
        <v>1.0</v>
      </c>
      <c r="P58" s="70">
        <v>1.01</v>
      </c>
      <c r="Q58" s="70">
        <v>0.985</v>
      </c>
      <c r="R58" s="70">
        <v>0.965</v>
      </c>
      <c r="S58" s="70">
        <v>0.94</v>
      </c>
      <c r="T58" s="70">
        <v>1.541</v>
      </c>
      <c r="U58" s="70">
        <v>1.0</v>
      </c>
      <c r="V58" s="70">
        <v>1.15</v>
      </c>
      <c r="W58" s="70">
        <v>0.895</v>
      </c>
      <c r="X58" s="70">
        <v>1.3189</v>
      </c>
      <c r="Y58" s="70">
        <v>842.9</v>
      </c>
      <c r="Z58" s="70">
        <v>1.7445</v>
      </c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21"/>
      <c r="AX58" s="73">
        <v>16950.0</v>
      </c>
      <c r="AY58" s="73">
        <v>767.0</v>
      </c>
      <c r="AZ58" s="73">
        <v>7162.1678</v>
      </c>
      <c r="BA58" s="73">
        <v>22175.0</v>
      </c>
      <c r="BB58" s="73">
        <v>7990.0</v>
      </c>
      <c r="BC58" s="73">
        <v>10575.0</v>
      </c>
      <c r="BD58" s="73"/>
      <c r="BE58" s="21"/>
      <c r="BF58" s="21"/>
      <c r="BG58" s="21">
        <v>2248802.99</v>
      </c>
      <c r="BH58" s="21"/>
      <c r="BI58" s="72"/>
      <c r="BJ58" s="21"/>
      <c r="BK58" s="72"/>
      <c r="BL58" s="21"/>
      <c r="BM58" s="72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</row>
    <row r="59" ht="15.75" customHeight="1">
      <c r="A59" s="56">
        <v>45761.0</v>
      </c>
      <c r="B59" s="70">
        <v>1236.7</v>
      </c>
      <c r="C59" s="70">
        <v>1200.0</v>
      </c>
      <c r="D59" s="70">
        <v>1247.0</v>
      </c>
      <c r="E59" s="70">
        <v>19.15</v>
      </c>
      <c r="F59" s="70"/>
      <c r="G59" s="70"/>
      <c r="H59" s="70">
        <v>1.9935</v>
      </c>
      <c r="I59" s="70">
        <v>1.5490000000000002</v>
      </c>
      <c r="J59" s="70"/>
      <c r="K59" s="70">
        <v>1.368</v>
      </c>
      <c r="L59" s="70">
        <v>1.32</v>
      </c>
      <c r="M59" s="70">
        <v>0.9690000000000001</v>
      </c>
      <c r="N59" s="70">
        <v>1.09</v>
      </c>
      <c r="O59" s="70">
        <v>1.0</v>
      </c>
      <c r="P59" s="70">
        <v>1.02</v>
      </c>
      <c r="Q59" s="70">
        <v>0.9873999999999999</v>
      </c>
      <c r="R59" s="70">
        <v>0.9754999999999999</v>
      </c>
      <c r="S59" s="70">
        <v>0.9575</v>
      </c>
      <c r="T59" s="70">
        <v>1.615</v>
      </c>
      <c r="U59" s="70">
        <v>1.0</v>
      </c>
      <c r="V59" s="70">
        <v>1.1540000000000001</v>
      </c>
      <c r="W59" s="70">
        <v>0.9523999999999999</v>
      </c>
      <c r="X59" s="70">
        <v>1.32299</v>
      </c>
      <c r="Y59" s="70">
        <v>824.1</v>
      </c>
      <c r="Z59" s="70">
        <v>1.7805000000000002</v>
      </c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21"/>
      <c r="AX59" s="73">
        <v>17150.0</v>
      </c>
      <c r="AY59" s="73">
        <v>776.0</v>
      </c>
      <c r="AZ59" s="73">
        <v>7658.1628</v>
      </c>
      <c r="BA59" s="73">
        <v>21225.0</v>
      </c>
      <c r="BB59" s="73">
        <v>8610.0</v>
      </c>
      <c r="BC59" s="73">
        <v>11475.0</v>
      </c>
      <c r="BD59" s="73"/>
      <c r="BE59" s="21"/>
      <c r="BF59" s="21"/>
      <c r="BG59" s="21">
        <v>2364950.09</v>
      </c>
      <c r="BH59" s="21"/>
      <c r="BI59" s="72"/>
      <c r="BJ59" s="21"/>
      <c r="BK59" s="72"/>
      <c r="BL59" s="21"/>
      <c r="BM59" s="72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</row>
    <row r="60" ht="15.75" customHeight="1">
      <c r="A60" s="56">
        <v>45762.0</v>
      </c>
      <c r="B60" s="70">
        <v>1236.7</v>
      </c>
      <c r="C60" s="70">
        <v>1220.0</v>
      </c>
      <c r="D60" s="70">
        <v>1240.0</v>
      </c>
      <c r="E60" s="70">
        <v>19.28</v>
      </c>
      <c r="F60" s="70"/>
      <c r="G60" s="70"/>
      <c r="H60" s="70">
        <v>2.016</v>
      </c>
      <c r="I60" s="70">
        <v>1.554</v>
      </c>
      <c r="J60" s="70"/>
      <c r="K60" s="70">
        <v>1.3821</v>
      </c>
      <c r="L60" s="70">
        <v>1.324</v>
      </c>
      <c r="M60" s="70">
        <v>0.9651000000000001</v>
      </c>
      <c r="N60" s="70">
        <v>1.089</v>
      </c>
      <c r="O60" s="70">
        <v>1.0</v>
      </c>
      <c r="P60" s="70">
        <v>1.0270000000000001</v>
      </c>
      <c r="Q60" s="70">
        <v>1.0</v>
      </c>
      <c r="R60" s="70">
        <v>0.9845</v>
      </c>
      <c r="S60" s="70">
        <v>0.9795</v>
      </c>
      <c r="T60" s="70">
        <v>1.62</v>
      </c>
      <c r="U60" s="70">
        <v>1.0</v>
      </c>
      <c r="V60" s="70">
        <v>1.1575</v>
      </c>
      <c r="W60" s="70">
        <v>0.96</v>
      </c>
      <c r="X60" s="70">
        <v>1.3275</v>
      </c>
      <c r="Y60" s="70">
        <v>815.0</v>
      </c>
      <c r="Z60" s="70">
        <v>1.79</v>
      </c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21"/>
      <c r="AX60" s="73">
        <v>16725.0</v>
      </c>
      <c r="AY60" s="73">
        <v>725.0</v>
      </c>
      <c r="AZ60" s="73">
        <v>7350.6459</v>
      </c>
      <c r="BA60" s="73">
        <v>21900.0</v>
      </c>
      <c r="BB60" s="73">
        <v>8260.0</v>
      </c>
      <c r="BC60" s="73">
        <v>11075.0</v>
      </c>
      <c r="BD60" s="73"/>
      <c r="BE60" s="21"/>
      <c r="BF60" s="21"/>
      <c r="BG60" s="21">
        <v>2284279.53</v>
      </c>
      <c r="BH60" s="21"/>
      <c r="BI60" s="72"/>
      <c r="BJ60" s="21"/>
      <c r="BK60" s="72"/>
      <c r="BL60" s="21"/>
      <c r="BM60" s="72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</row>
    <row r="61" ht="15.75" customHeight="1">
      <c r="A61" s="56">
        <v>45763.0</v>
      </c>
      <c r="B61" s="70">
        <v>1160.0</v>
      </c>
      <c r="C61" s="70">
        <v>1210.0</v>
      </c>
      <c r="D61" s="70">
        <v>1180.0</v>
      </c>
      <c r="E61" s="70">
        <v>19.38</v>
      </c>
      <c r="F61" s="70"/>
      <c r="G61" s="70"/>
      <c r="H61" s="70">
        <v>2.016</v>
      </c>
      <c r="I61" s="70">
        <v>1.5655000000000001</v>
      </c>
      <c r="J61" s="70"/>
      <c r="K61" s="70">
        <v>1.4105</v>
      </c>
      <c r="L61" s="70">
        <v>1.341</v>
      </c>
      <c r="M61" s="70">
        <v>1.0034999999999998</v>
      </c>
      <c r="N61" s="70">
        <v>1.117</v>
      </c>
      <c r="O61" s="70">
        <v>1.0</v>
      </c>
      <c r="P61" s="70">
        <v>1.0490000000000002</v>
      </c>
      <c r="Q61" s="70">
        <v>1.035</v>
      </c>
      <c r="R61" s="70">
        <v>1.0175</v>
      </c>
      <c r="S61" s="70">
        <v>0.996</v>
      </c>
      <c r="T61" s="70">
        <v>1.659</v>
      </c>
      <c r="U61" s="70">
        <v>1.0</v>
      </c>
      <c r="V61" s="70">
        <v>1.165</v>
      </c>
      <c r="W61" s="70">
        <v>1.014</v>
      </c>
      <c r="X61" s="70">
        <v>1.3544999999999998</v>
      </c>
      <c r="Y61" s="70">
        <v>769.5</v>
      </c>
      <c r="Z61" s="70">
        <v>1.83</v>
      </c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21"/>
      <c r="AX61" s="73">
        <v>17625.0</v>
      </c>
      <c r="AY61" s="73">
        <v>688.0</v>
      </c>
      <c r="AZ61" s="73">
        <v>7013.3693</v>
      </c>
      <c r="BA61" s="73">
        <v>20175.0</v>
      </c>
      <c r="BB61" s="73">
        <v>7920.0</v>
      </c>
      <c r="BC61" s="73">
        <v>10600.0</v>
      </c>
      <c r="BD61" s="73"/>
      <c r="BE61" s="21"/>
      <c r="BF61" s="21"/>
      <c r="BG61" s="21">
        <v>2177974.91</v>
      </c>
      <c r="BH61" s="21"/>
      <c r="BI61" s="72"/>
      <c r="BJ61" s="21"/>
      <c r="BK61" s="72"/>
      <c r="BL61" s="21"/>
      <c r="BM61" s="72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</row>
    <row r="62" ht="15.75" customHeight="1">
      <c r="A62" s="56">
        <v>45768.0</v>
      </c>
      <c r="B62" s="70">
        <v>1107.3</v>
      </c>
      <c r="C62" s="70">
        <v>1086.3</v>
      </c>
      <c r="D62" s="70">
        <v>1112.5</v>
      </c>
      <c r="E62" s="70">
        <v>19.195</v>
      </c>
      <c r="F62" s="70"/>
      <c r="G62" s="70"/>
      <c r="H62" s="70">
        <v>1.999</v>
      </c>
      <c r="I62" s="70">
        <v>1.55</v>
      </c>
      <c r="J62" s="70"/>
      <c r="K62" s="70">
        <v>1.4075</v>
      </c>
      <c r="L62" s="70">
        <v>1.3414</v>
      </c>
      <c r="M62" s="70">
        <v>1.0155</v>
      </c>
      <c r="N62" s="70">
        <v>1.119</v>
      </c>
      <c r="O62" s="70">
        <v>1.0</v>
      </c>
      <c r="P62" s="70">
        <v>1.05</v>
      </c>
      <c r="Q62" s="70">
        <v>1.0185</v>
      </c>
      <c r="R62" s="70">
        <v>1.0075</v>
      </c>
      <c r="S62" s="70">
        <v>1.0115</v>
      </c>
      <c r="T62" s="70">
        <v>1.633</v>
      </c>
      <c r="U62" s="70">
        <v>1.0</v>
      </c>
      <c r="V62" s="70">
        <v>1.159</v>
      </c>
      <c r="W62" s="70">
        <v>1.0185</v>
      </c>
      <c r="X62" s="70">
        <v>1.36</v>
      </c>
      <c r="Y62" s="70">
        <v>744.5</v>
      </c>
      <c r="Z62" s="70">
        <v>1.7994999999999999</v>
      </c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21"/>
      <c r="AX62" s="73">
        <v>17025.0</v>
      </c>
      <c r="AY62" s="73">
        <v>594.0</v>
      </c>
      <c r="AZ62" s="73">
        <v>6785.2116</v>
      </c>
      <c r="BA62" s="73">
        <v>19425.0</v>
      </c>
      <c r="BB62" s="73">
        <v>7460.0</v>
      </c>
      <c r="BC62" s="73">
        <v>10050.0</v>
      </c>
      <c r="BD62" s="73"/>
      <c r="BE62" s="21"/>
      <c r="BF62" s="21"/>
      <c r="BG62" s="21">
        <v>2045707.37</v>
      </c>
      <c r="BH62" s="21"/>
      <c r="BI62" s="72"/>
      <c r="BJ62" s="21"/>
      <c r="BK62" s="72"/>
      <c r="BL62" s="21"/>
      <c r="BM62" s="72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</row>
    <row r="63" ht="15.75" customHeight="1">
      <c r="A63" s="56">
        <v>45769.0</v>
      </c>
      <c r="B63" s="70">
        <v>1129.1</v>
      </c>
      <c r="C63" s="70">
        <v>1160.0</v>
      </c>
      <c r="D63" s="70">
        <v>1132.0</v>
      </c>
      <c r="E63" s="70">
        <v>19.01</v>
      </c>
      <c r="F63" s="70"/>
      <c r="G63" s="70"/>
      <c r="H63" s="70">
        <v>1.9735</v>
      </c>
      <c r="I63" s="70">
        <v>1.53</v>
      </c>
      <c r="J63" s="70"/>
      <c r="K63" s="70">
        <v>1.4069999999999998</v>
      </c>
      <c r="L63" s="70">
        <v>1.3422</v>
      </c>
      <c r="M63" s="70">
        <v>1.02</v>
      </c>
      <c r="N63" s="70">
        <v>1.124</v>
      </c>
      <c r="O63" s="70">
        <v>1.0</v>
      </c>
      <c r="P63" s="70">
        <v>1.036</v>
      </c>
      <c r="Q63" s="70">
        <v>1.0270000000000001</v>
      </c>
      <c r="R63" s="70">
        <v>1.015</v>
      </c>
      <c r="S63" s="70">
        <v>1.0134999999999998</v>
      </c>
      <c r="T63" s="70">
        <v>1.615</v>
      </c>
      <c r="U63" s="70">
        <v>1.0</v>
      </c>
      <c r="V63" s="70">
        <v>1.1345</v>
      </c>
      <c r="W63" s="70">
        <v>1.015</v>
      </c>
      <c r="X63" s="70">
        <v>1.359</v>
      </c>
      <c r="Y63" s="70">
        <v>767.7</v>
      </c>
      <c r="Z63" s="70">
        <v>1.77</v>
      </c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21"/>
      <c r="AX63" s="73">
        <v>18025.0</v>
      </c>
      <c r="AY63" s="73">
        <v>603.0</v>
      </c>
      <c r="AZ63" s="73">
        <v>7221.6872</v>
      </c>
      <c r="BA63" s="73">
        <v>20400.0</v>
      </c>
      <c r="BB63" s="73">
        <v>8010.0</v>
      </c>
      <c r="BC63" s="73">
        <v>10775.0</v>
      </c>
      <c r="BD63" s="73"/>
      <c r="BE63" s="21"/>
      <c r="BF63" s="21"/>
      <c r="BG63" s="21">
        <v>2163891.01</v>
      </c>
      <c r="BH63" s="21"/>
      <c r="BI63" s="72"/>
      <c r="BJ63" s="21"/>
      <c r="BK63" s="72"/>
      <c r="BL63" s="21"/>
      <c r="BM63" s="72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</row>
    <row r="64" ht="15.75" customHeight="1">
      <c r="A64" s="56">
        <v>45770.0</v>
      </c>
      <c r="B64" s="70">
        <v>1154.0</v>
      </c>
      <c r="C64" s="70">
        <v>1162.0</v>
      </c>
      <c r="D64" s="70">
        <v>1165.0</v>
      </c>
      <c r="E64" s="70">
        <v>19.01</v>
      </c>
      <c r="F64" s="70"/>
      <c r="G64" s="70"/>
      <c r="H64" s="70">
        <v>1.9694999999999998</v>
      </c>
      <c r="I64" s="70">
        <v>1.531</v>
      </c>
      <c r="J64" s="70"/>
      <c r="K64" s="70">
        <v>1.411</v>
      </c>
      <c r="L64" s="70">
        <v>1.344</v>
      </c>
      <c r="M64" s="70">
        <v>1.012</v>
      </c>
      <c r="N64" s="70">
        <v>1.121</v>
      </c>
      <c r="O64" s="70">
        <v>1.0</v>
      </c>
      <c r="P64" s="70">
        <v>1.033</v>
      </c>
      <c r="Q64" s="70">
        <v>1.0170000000000001</v>
      </c>
      <c r="R64" s="70">
        <v>1.006</v>
      </c>
      <c r="S64" s="70">
        <v>1.0065</v>
      </c>
      <c r="T64" s="70">
        <v>1.6125</v>
      </c>
      <c r="U64" s="70">
        <v>1.0</v>
      </c>
      <c r="V64" s="70">
        <v>1.145</v>
      </c>
      <c r="W64" s="70">
        <v>1.012</v>
      </c>
      <c r="X64" s="70">
        <v>1.3630000000000002</v>
      </c>
      <c r="Y64" s="70">
        <v>791.7</v>
      </c>
      <c r="Z64" s="70">
        <v>1.774</v>
      </c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21"/>
      <c r="AX64" s="73">
        <v>18725.0</v>
      </c>
      <c r="AY64" s="73">
        <v>630.0</v>
      </c>
      <c r="AZ64" s="73">
        <v>7519.2842</v>
      </c>
      <c r="BA64" s="73">
        <v>21050.0</v>
      </c>
      <c r="BB64" s="73">
        <v>8430.0</v>
      </c>
      <c r="BC64" s="73">
        <v>11150.0</v>
      </c>
      <c r="BD64" s="73"/>
      <c r="BE64" s="21"/>
      <c r="BF64" s="21"/>
      <c r="BG64" s="21">
        <v>2239401.91</v>
      </c>
      <c r="BH64" s="21"/>
      <c r="BI64" s="72"/>
      <c r="BJ64" s="21"/>
      <c r="BK64" s="72"/>
      <c r="BL64" s="21"/>
      <c r="BM64" s="72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</row>
    <row r="65" ht="15.75" customHeight="1">
      <c r="A65" s="56">
        <v>45771.0</v>
      </c>
      <c r="B65" s="70">
        <v>1185.0</v>
      </c>
      <c r="C65" s="70">
        <v>1170.0</v>
      </c>
      <c r="D65" s="70">
        <v>1180.1</v>
      </c>
      <c r="E65" s="70">
        <v>19.0</v>
      </c>
      <c r="F65" s="70"/>
      <c r="G65" s="70"/>
      <c r="H65" s="70">
        <v>1.9675</v>
      </c>
      <c r="I65" s="70">
        <v>1.53</v>
      </c>
      <c r="J65" s="70"/>
      <c r="K65" s="70">
        <v>1.4124</v>
      </c>
      <c r="L65" s="70">
        <v>1.3455000000000001</v>
      </c>
      <c r="M65" s="70">
        <v>1.0190000000000001</v>
      </c>
      <c r="N65" s="70">
        <v>1.1275</v>
      </c>
      <c r="O65" s="70">
        <v>1.0</v>
      </c>
      <c r="P65" s="70">
        <v>1.0390000000000001</v>
      </c>
      <c r="Q65" s="70">
        <v>1.0234999999999999</v>
      </c>
      <c r="R65" s="70">
        <v>1.015</v>
      </c>
      <c r="S65" s="70">
        <v>1.0115</v>
      </c>
      <c r="T65" s="70">
        <v>1.6155000000000002</v>
      </c>
      <c r="U65" s="70">
        <v>1.0</v>
      </c>
      <c r="V65" s="70">
        <v>1.1425</v>
      </c>
      <c r="W65" s="70">
        <v>1.01</v>
      </c>
      <c r="X65" s="70">
        <v>1.3635</v>
      </c>
      <c r="Y65" s="70">
        <v>803.2</v>
      </c>
      <c r="Z65" s="70">
        <v>1.7685</v>
      </c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21"/>
      <c r="AX65" s="73">
        <v>19650.0</v>
      </c>
      <c r="AY65" s="73">
        <v>629.0</v>
      </c>
      <c r="AZ65" s="73">
        <v>7519.2842</v>
      </c>
      <c r="BA65" s="73">
        <v>22000.0</v>
      </c>
      <c r="BB65" s="73">
        <v>8340.0</v>
      </c>
      <c r="BC65" s="73">
        <v>11150.0</v>
      </c>
      <c r="BD65" s="73"/>
      <c r="BE65" s="21"/>
      <c r="BF65" s="21"/>
      <c r="BG65" s="21">
        <v>2232745.13</v>
      </c>
      <c r="BH65" s="21"/>
      <c r="BI65" s="72"/>
      <c r="BJ65" s="21"/>
      <c r="BK65" s="72"/>
      <c r="BL65" s="21"/>
      <c r="BM65" s="72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</row>
    <row r="66" ht="15.75" customHeight="1">
      <c r="A66" s="56">
        <v>45772.0</v>
      </c>
      <c r="B66" s="70">
        <v>1175.0</v>
      </c>
      <c r="C66" s="70">
        <v>1146.1</v>
      </c>
      <c r="D66" s="70">
        <v>1186.0</v>
      </c>
      <c r="E66" s="70">
        <v>19.04</v>
      </c>
      <c r="F66" s="70"/>
      <c r="G66" s="70"/>
      <c r="H66" s="70">
        <v>1.9715</v>
      </c>
      <c r="I66" s="70">
        <v>1.5294999999999999</v>
      </c>
      <c r="J66" s="70"/>
      <c r="K66" s="70">
        <v>1.41649</v>
      </c>
      <c r="L66" s="70">
        <v>1.349</v>
      </c>
      <c r="M66" s="70">
        <v>1.0165</v>
      </c>
      <c r="N66" s="70">
        <v>1.1345</v>
      </c>
      <c r="O66" s="70">
        <v>1.0</v>
      </c>
      <c r="P66" s="70">
        <v>1.044</v>
      </c>
      <c r="Q66" s="70">
        <v>1.0290000000000001</v>
      </c>
      <c r="R66" s="70">
        <v>1.0190000000000001</v>
      </c>
      <c r="S66" s="70">
        <v>1.0155</v>
      </c>
      <c r="T66" s="70">
        <v>1.6125</v>
      </c>
      <c r="U66" s="70">
        <v>1.0</v>
      </c>
      <c r="V66" s="70">
        <v>1.141</v>
      </c>
      <c r="W66" s="70">
        <v>1.01</v>
      </c>
      <c r="X66" s="70">
        <v>1.367</v>
      </c>
      <c r="Y66" s="70">
        <v>799.0</v>
      </c>
      <c r="Z66" s="70">
        <v>1.7734999999999999</v>
      </c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21"/>
      <c r="AX66" s="73">
        <v>19250.0</v>
      </c>
      <c r="AY66" s="73">
        <v>644.0</v>
      </c>
      <c r="AZ66" s="73">
        <v>7549.0439</v>
      </c>
      <c r="BA66" s="73">
        <v>22250.0</v>
      </c>
      <c r="BB66" s="73">
        <v>8430.0</v>
      </c>
      <c r="BC66" s="73">
        <v>11200.0</v>
      </c>
      <c r="BD66" s="73"/>
      <c r="BE66" s="21"/>
      <c r="BF66" s="21"/>
      <c r="BG66" s="21">
        <v>2225242.8</v>
      </c>
      <c r="BH66" s="21"/>
      <c r="BI66" s="72"/>
      <c r="BJ66" s="21"/>
      <c r="BK66" s="72"/>
      <c r="BL66" s="21"/>
      <c r="BM66" s="72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</row>
    <row r="67" ht="15.75" customHeight="1">
      <c r="A67" s="56">
        <v>45775.0</v>
      </c>
      <c r="B67" s="70">
        <v>1177.0</v>
      </c>
      <c r="C67" s="70">
        <v>1152.0</v>
      </c>
      <c r="D67" s="70">
        <v>1193.0</v>
      </c>
      <c r="E67" s="70">
        <v>19.02</v>
      </c>
      <c r="F67" s="70"/>
      <c r="G67" s="70"/>
      <c r="H67" s="70">
        <v>1.9769999999999999</v>
      </c>
      <c r="I67" s="70">
        <v>1.5319999999999998</v>
      </c>
      <c r="J67" s="70"/>
      <c r="K67" s="70">
        <v>1.4188</v>
      </c>
      <c r="L67" s="70">
        <v>1.3518000000000001</v>
      </c>
      <c r="M67" s="70">
        <v>1.016</v>
      </c>
      <c r="N67" s="70">
        <v>1.137</v>
      </c>
      <c r="O67" s="70">
        <v>1.0</v>
      </c>
      <c r="P67" s="70">
        <v>1.0490000000000002</v>
      </c>
      <c r="Q67" s="70">
        <v>1.03</v>
      </c>
      <c r="R67" s="70">
        <v>1.0175</v>
      </c>
      <c r="S67" s="70">
        <v>1.015</v>
      </c>
      <c r="T67" s="70">
        <v>1.6119999999999999</v>
      </c>
      <c r="U67" s="70">
        <v>1.0</v>
      </c>
      <c r="V67" s="70">
        <v>1.141</v>
      </c>
      <c r="W67" s="70">
        <v>1.0</v>
      </c>
      <c r="X67" s="70">
        <v>1.3729</v>
      </c>
      <c r="Y67" s="70">
        <v>796.1</v>
      </c>
      <c r="Z67" s="70">
        <v>1.771</v>
      </c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21"/>
      <c r="AX67" s="73">
        <v>18700.0</v>
      </c>
      <c r="AY67" s="73">
        <v>652.0</v>
      </c>
      <c r="AZ67" s="73">
        <v>7370.4857</v>
      </c>
      <c r="BA67" s="73">
        <v>21925.0</v>
      </c>
      <c r="BB67" s="73">
        <v>8220.0</v>
      </c>
      <c r="BC67" s="73">
        <v>10850.0</v>
      </c>
      <c r="BD67" s="73"/>
      <c r="BE67" s="21"/>
      <c r="BF67" s="21"/>
      <c r="BG67" s="21">
        <v>2179248.63</v>
      </c>
      <c r="BH67" s="21"/>
      <c r="BI67" s="72"/>
      <c r="BJ67" s="21"/>
      <c r="BK67" s="72"/>
      <c r="BL67" s="21"/>
      <c r="BM67" s="72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</row>
    <row r="68" ht="15.75" customHeight="1">
      <c r="A68" s="56">
        <v>45776.0</v>
      </c>
      <c r="B68" s="70">
        <v>1150.0</v>
      </c>
      <c r="C68" s="70">
        <v>1190.0</v>
      </c>
      <c r="D68" s="70">
        <v>1183.0</v>
      </c>
      <c r="E68" s="70">
        <v>18.945</v>
      </c>
      <c r="F68" s="70"/>
      <c r="G68" s="70"/>
      <c r="H68" s="70">
        <v>1.9725</v>
      </c>
      <c r="I68" s="70">
        <v>1.5219999999999998</v>
      </c>
      <c r="J68" s="70"/>
      <c r="K68" s="70">
        <v>1.4209</v>
      </c>
      <c r="L68" s="70">
        <v>1.3528</v>
      </c>
      <c r="M68" s="70">
        <v>1.018</v>
      </c>
      <c r="N68" s="70">
        <v>1.133</v>
      </c>
      <c r="O68" s="70">
        <v>1.0</v>
      </c>
      <c r="P68" s="70">
        <v>1.05</v>
      </c>
      <c r="Q68" s="70">
        <v>1.0265</v>
      </c>
      <c r="R68" s="70">
        <v>1.016</v>
      </c>
      <c r="S68" s="70">
        <v>1.011</v>
      </c>
      <c r="T68" s="70">
        <v>1.59</v>
      </c>
      <c r="U68" s="70">
        <v>1.0</v>
      </c>
      <c r="V68" s="70">
        <v>1.13</v>
      </c>
      <c r="W68" s="70">
        <v>0.9965</v>
      </c>
      <c r="X68" s="70">
        <v>1.3734</v>
      </c>
      <c r="Y68" s="70">
        <v>791.8</v>
      </c>
      <c r="Z68" s="70">
        <v>1.76</v>
      </c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21"/>
      <c r="AX68" s="73">
        <v>18075.0</v>
      </c>
      <c r="AY68" s="73">
        <v>627.0</v>
      </c>
      <c r="AZ68" s="73">
        <v>7231.6071</v>
      </c>
      <c r="BA68" s="73">
        <v>22450.0</v>
      </c>
      <c r="BB68" s="73">
        <v>8250.0</v>
      </c>
      <c r="BC68" s="73">
        <v>10725.0</v>
      </c>
      <c r="BD68" s="73"/>
      <c r="BE68" s="21"/>
      <c r="BF68" s="21"/>
      <c r="BG68" s="21">
        <v>2158847.83</v>
      </c>
      <c r="BH68" s="21"/>
      <c r="BI68" s="72"/>
      <c r="BJ68" s="21"/>
      <c r="BK68" s="72"/>
      <c r="BL68" s="21"/>
      <c r="BM68" s="72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</row>
    <row r="69" ht="15.75" customHeight="1">
      <c r="A69" s="56">
        <v>45777.0</v>
      </c>
      <c r="B69" s="70">
        <v>1162.9</v>
      </c>
      <c r="C69" s="70">
        <v>1180.0</v>
      </c>
      <c r="D69" s="70">
        <v>1240.0</v>
      </c>
      <c r="E69" s="70">
        <v>19.025</v>
      </c>
      <c r="F69" s="70"/>
      <c r="G69" s="70"/>
      <c r="H69" s="70">
        <v>1.975</v>
      </c>
      <c r="I69" s="70">
        <v>1.5325</v>
      </c>
      <c r="J69" s="70"/>
      <c r="K69" s="70">
        <v>1.4269999999999998</v>
      </c>
      <c r="L69" s="70">
        <v>1.3568</v>
      </c>
      <c r="M69" s="70">
        <v>1.0205</v>
      </c>
      <c r="N69" s="70">
        <v>1.1365</v>
      </c>
      <c r="O69" s="70">
        <v>1.0</v>
      </c>
      <c r="P69" s="70">
        <v>1.0565</v>
      </c>
      <c r="Q69" s="70">
        <v>1.0290000000000001</v>
      </c>
      <c r="R69" s="70">
        <v>1.0195</v>
      </c>
      <c r="S69" s="70">
        <v>1.01</v>
      </c>
      <c r="T69" s="70">
        <v>1.6019999999999999</v>
      </c>
      <c r="U69" s="70">
        <v>1.0</v>
      </c>
      <c r="V69" s="70">
        <v>1.141</v>
      </c>
      <c r="W69" s="70">
        <v>1.0075</v>
      </c>
      <c r="X69" s="70">
        <v>1.3773</v>
      </c>
      <c r="Y69" s="70">
        <v>790.0</v>
      </c>
      <c r="Z69" s="70">
        <v>1.771</v>
      </c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21"/>
      <c r="AX69" s="73">
        <v>17975.0</v>
      </c>
      <c r="AY69" s="73">
        <v>603.0</v>
      </c>
      <c r="AZ69" s="73">
        <v>7132.4081</v>
      </c>
      <c r="BA69" s="73">
        <v>23050.0</v>
      </c>
      <c r="BB69" s="73">
        <v>8000.0</v>
      </c>
      <c r="BC69" s="73">
        <v>10500.0</v>
      </c>
      <c r="BD69" s="73"/>
      <c r="BE69" s="21"/>
      <c r="BF69" s="21"/>
      <c r="BG69" s="21">
        <v>2100843.66</v>
      </c>
      <c r="BH69" s="21"/>
      <c r="BI69" s="72"/>
      <c r="BJ69" s="21"/>
      <c r="BK69" s="72"/>
      <c r="BL69" s="21"/>
      <c r="BM69" s="72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</row>
    <row r="70" ht="15.75" customHeight="1">
      <c r="A70" s="56">
        <v>45782.0</v>
      </c>
      <c r="B70" s="70">
        <v>1177.3</v>
      </c>
      <c r="C70" s="70">
        <v>1182.0</v>
      </c>
      <c r="D70" s="70">
        <v>1178.1</v>
      </c>
      <c r="E70" s="70">
        <v>19.075</v>
      </c>
      <c r="F70" s="70"/>
      <c r="G70" s="70"/>
      <c r="H70" s="70">
        <v>1.9825</v>
      </c>
      <c r="I70" s="70">
        <v>1.5330000000000001</v>
      </c>
      <c r="J70" s="70"/>
      <c r="K70" s="70">
        <v>1.4269999999999998</v>
      </c>
      <c r="L70" s="70">
        <v>1.3578999999999999</v>
      </c>
      <c r="M70" s="70">
        <v>1.0145</v>
      </c>
      <c r="N70" s="70">
        <v>1.1335</v>
      </c>
      <c r="O70" s="70">
        <v>1.0</v>
      </c>
      <c r="P70" s="70">
        <v>1.0565</v>
      </c>
      <c r="Q70" s="70">
        <v>1.036</v>
      </c>
      <c r="R70" s="70">
        <v>1.016</v>
      </c>
      <c r="S70" s="70">
        <v>1.004</v>
      </c>
      <c r="T70" s="70">
        <v>1.604</v>
      </c>
      <c r="U70" s="70">
        <v>1.0</v>
      </c>
      <c r="V70" s="70">
        <v>1.1420000000000001</v>
      </c>
      <c r="W70" s="70">
        <v>0.997</v>
      </c>
      <c r="X70" s="70">
        <v>1.37873</v>
      </c>
      <c r="Y70" s="70">
        <v>804.0</v>
      </c>
      <c r="Z70" s="70">
        <v>1.775</v>
      </c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21"/>
      <c r="AX70" s="73">
        <v>17325.0</v>
      </c>
      <c r="AY70" s="73">
        <v>617.0</v>
      </c>
      <c r="AZ70" s="73">
        <v>6924.0902</v>
      </c>
      <c r="BA70" s="73">
        <v>22725.0</v>
      </c>
      <c r="BB70" s="73">
        <v>7770.0</v>
      </c>
      <c r="BC70" s="73">
        <v>10075.0</v>
      </c>
      <c r="BD70" s="73"/>
      <c r="BE70" s="21"/>
      <c r="BF70" s="21"/>
      <c r="BG70" s="21">
        <v>2059931.67</v>
      </c>
      <c r="BH70" s="21"/>
      <c r="BI70" s="72"/>
      <c r="BJ70" s="21"/>
      <c r="BK70" s="72"/>
      <c r="BL70" s="21"/>
      <c r="BM70" s="72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</row>
    <row r="71" ht="15.75" customHeight="1">
      <c r="A71" s="56">
        <v>45783.0</v>
      </c>
      <c r="B71" s="70">
        <v>1198.0</v>
      </c>
      <c r="C71" s="70">
        <v>1165.0</v>
      </c>
      <c r="D71" s="70">
        <v>1197.0</v>
      </c>
      <c r="E71" s="70">
        <v>19.165</v>
      </c>
      <c r="F71" s="70"/>
      <c r="G71" s="70"/>
      <c r="H71" s="70">
        <v>1.99</v>
      </c>
      <c r="I71" s="70">
        <v>1.541</v>
      </c>
      <c r="J71" s="70"/>
      <c r="K71" s="70">
        <v>1.4272999999999998</v>
      </c>
      <c r="L71" s="70">
        <v>1.3598</v>
      </c>
      <c r="M71" s="70">
        <v>1.0190000000000001</v>
      </c>
      <c r="N71" s="70">
        <v>1.138</v>
      </c>
      <c r="O71" s="70">
        <v>1.0</v>
      </c>
      <c r="P71" s="70">
        <v>1.055</v>
      </c>
      <c r="Q71" s="70">
        <v>1.0385</v>
      </c>
      <c r="R71" s="70">
        <v>1.018</v>
      </c>
      <c r="S71" s="70">
        <v>1.008</v>
      </c>
      <c r="T71" s="70">
        <v>1.605</v>
      </c>
      <c r="U71" s="70">
        <v>1.0</v>
      </c>
      <c r="V71" s="70">
        <v>1.146</v>
      </c>
      <c r="W71" s="70">
        <v>0.9965</v>
      </c>
      <c r="X71" s="70">
        <v>1.375</v>
      </c>
      <c r="Y71" s="70">
        <v>808.6</v>
      </c>
      <c r="Z71" s="70">
        <v>1.7825</v>
      </c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21"/>
      <c r="AX71" s="73">
        <v>18100.0</v>
      </c>
      <c r="AY71" s="73">
        <v>634.0</v>
      </c>
      <c r="AZ71" s="73">
        <v>7043.129</v>
      </c>
      <c r="BA71" s="73">
        <v>22550.0</v>
      </c>
      <c r="BB71" s="73">
        <v>8000.0</v>
      </c>
      <c r="BC71" s="73">
        <v>10400.0</v>
      </c>
      <c r="BD71" s="73"/>
      <c r="BE71" s="21"/>
      <c r="BF71" s="21"/>
      <c r="BG71" s="21">
        <v>2129994.4</v>
      </c>
      <c r="BH71" s="21"/>
      <c r="BI71" s="72"/>
      <c r="BJ71" s="21"/>
      <c r="BK71" s="72"/>
      <c r="BL71" s="21"/>
      <c r="BM71" s="72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</row>
    <row r="72" ht="15.75" customHeight="1">
      <c r="A72" s="56">
        <v>45784.0</v>
      </c>
      <c r="B72" s="70">
        <v>1150.0</v>
      </c>
      <c r="C72" s="70">
        <v>1125.0</v>
      </c>
      <c r="D72" s="70">
        <v>1155.0</v>
      </c>
      <c r="E72" s="70">
        <v>19.27</v>
      </c>
      <c r="F72" s="70"/>
      <c r="G72" s="70"/>
      <c r="H72" s="70">
        <v>1.9985</v>
      </c>
      <c r="I72" s="70">
        <v>1.55</v>
      </c>
      <c r="J72" s="70"/>
      <c r="K72" s="70">
        <v>1.4295</v>
      </c>
      <c r="L72" s="70">
        <v>1.36</v>
      </c>
      <c r="M72" s="70">
        <v>1.03</v>
      </c>
      <c r="N72" s="70">
        <v>1.15</v>
      </c>
      <c r="O72" s="70">
        <v>1.0</v>
      </c>
      <c r="P72" s="70">
        <v>1.06</v>
      </c>
      <c r="Q72" s="70">
        <v>1.0490000000000002</v>
      </c>
      <c r="R72" s="70">
        <v>1.024</v>
      </c>
      <c r="S72" s="70">
        <v>1.0270000000000001</v>
      </c>
      <c r="T72" s="70">
        <v>1.6115000000000002</v>
      </c>
      <c r="U72" s="70">
        <v>1.0</v>
      </c>
      <c r="V72" s="70">
        <v>1.1484999999999999</v>
      </c>
      <c r="W72" s="70">
        <v>1.016</v>
      </c>
      <c r="X72" s="70">
        <v>1.382</v>
      </c>
      <c r="Y72" s="70">
        <v>780.8</v>
      </c>
      <c r="Z72" s="70">
        <v>1.7925</v>
      </c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21"/>
      <c r="AX72" s="73">
        <v>17450.0</v>
      </c>
      <c r="AY72" s="73">
        <v>624.0</v>
      </c>
      <c r="AZ72" s="73">
        <v>6745.532</v>
      </c>
      <c r="BA72" s="73">
        <v>22075.0</v>
      </c>
      <c r="BB72" s="73">
        <v>7690.0</v>
      </c>
      <c r="BC72" s="73">
        <v>10050.0</v>
      </c>
      <c r="BD72" s="73"/>
      <c r="BE72" s="21"/>
      <c r="BF72" s="21"/>
      <c r="BG72" s="21">
        <v>2059914.86</v>
      </c>
      <c r="BH72" s="21"/>
      <c r="BI72" s="72"/>
      <c r="BJ72" s="21"/>
      <c r="BK72" s="72"/>
      <c r="BL72" s="21"/>
      <c r="BM72" s="72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</row>
    <row r="73" ht="15.75" customHeight="1">
      <c r="A73" s="56">
        <v>45785.0</v>
      </c>
      <c r="B73" s="70">
        <v>1148.0</v>
      </c>
      <c r="C73" s="70">
        <v>1130.0</v>
      </c>
      <c r="D73" s="70">
        <v>1155.0</v>
      </c>
      <c r="E73" s="70">
        <v>14.265</v>
      </c>
      <c r="F73" s="70"/>
      <c r="G73" s="70"/>
      <c r="H73" s="70">
        <v>2.019</v>
      </c>
      <c r="I73" s="70">
        <v>1.568</v>
      </c>
      <c r="J73" s="70"/>
      <c r="K73" s="70">
        <v>1.4301</v>
      </c>
      <c r="L73" s="70">
        <v>1.36104</v>
      </c>
      <c r="M73" s="70">
        <v>1.0434999999999999</v>
      </c>
      <c r="N73" s="70">
        <v>1.159</v>
      </c>
      <c r="O73" s="70">
        <v>1.0</v>
      </c>
      <c r="P73" s="70">
        <v>1.07</v>
      </c>
      <c r="Q73" s="70">
        <v>1.056</v>
      </c>
      <c r="R73" s="70">
        <v>1.0434999999999999</v>
      </c>
      <c r="S73" s="70">
        <v>1.0390000000000001</v>
      </c>
      <c r="T73" s="70">
        <v>1.636</v>
      </c>
      <c r="U73" s="70">
        <v>1.0</v>
      </c>
      <c r="V73" s="70">
        <v>1.15</v>
      </c>
      <c r="W73" s="70">
        <v>1.018</v>
      </c>
      <c r="X73" s="70">
        <v>1.3840000000000001</v>
      </c>
      <c r="Y73" s="70">
        <v>769.0</v>
      </c>
      <c r="Z73" s="70">
        <v>1.8125</v>
      </c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21"/>
      <c r="AX73" s="73">
        <v>17925.0</v>
      </c>
      <c r="AY73" s="73">
        <v>599.0</v>
      </c>
      <c r="AZ73" s="73">
        <v>6785.2116</v>
      </c>
      <c r="BA73" s="73">
        <v>23175.0</v>
      </c>
      <c r="BB73" s="73">
        <v>7730.0</v>
      </c>
      <c r="BC73" s="73">
        <v>10125.0</v>
      </c>
      <c r="BD73" s="73"/>
      <c r="BE73" s="21"/>
      <c r="BF73" s="21"/>
      <c r="BG73" s="21">
        <v>2061722.21</v>
      </c>
      <c r="BH73" s="21"/>
      <c r="BI73" s="72"/>
      <c r="BJ73" s="21"/>
      <c r="BK73" s="72"/>
      <c r="BL73" s="21"/>
      <c r="BM73" s="72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</row>
    <row r="74" ht="15.75" customHeight="1">
      <c r="A74" s="56">
        <v>45786.0</v>
      </c>
      <c r="B74" s="70">
        <v>1156.0</v>
      </c>
      <c r="C74" s="70">
        <v>1106.0</v>
      </c>
      <c r="D74" s="70">
        <v>1171.4</v>
      </c>
      <c r="E74" s="70">
        <v>14.33</v>
      </c>
      <c r="F74" s="70"/>
      <c r="G74" s="70"/>
      <c r="H74" s="70">
        <v>2.022</v>
      </c>
      <c r="I74" s="70">
        <v>1.575</v>
      </c>
      <c r="J74" s="70"/>
      <c r="K74" s="70">
        <v>1.4333</v>
      </c>
      <c r="L74" s="70">
        <v>1.3640100000000002</v>
      </c>
      <c r="M74" s="70">
        <v>1.055</v>
      </c>
      <c r="N74" s="70">
        <v>1.159</v>
      </c>
      <c r="O74" s="70">
        <v>1.0</v>
      </c>
      <c r="P74" s="70">
        <v>1.088</v>
      </c>
      <c r="Q74" s="70">
        <v>1.0759999999999998</v>
      </c>
      <c r="R74" s="70">
        <v>1.06</v>
      </c>
      <c r="S74" s="70">
        <v>1.047</v>
      </c>
      <c r="T74" s="70">
        <v>1.655</v>
      </c>
      <c r="U74" s="70">
        <v>1.0</v>
      </c>
      <c r="V74" s="70">
        <v>1.1540000000000001</v>
      </c>
      <c r="W74" s="70">
        <v>1.0285</v>
      </c>
      <c r="X74" s="70">
        <v>1.386</v>
      </c>
      <c r="Y74" s="70">
        <v>771.8</v>
      </c>
      <c r="Z74" s="70">
        <v>1.8259999999999998</v>
      </c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21"/>
      <c r="AX74" s="73">
        <v>18100.0</v>
      </c>
      <c r="AY74" s="73">
        <v>591.0</v>
      </c>
      <c r="AZ74" s="73">
        <v>6780.0</v>
      </c>
      <c r="BA74" s="73">
        <v>23575.0</v>
      </c>
      <c r="BB74" s="73">
        <v>7850.0</v>
      </c>
      <c r="BC74" s="73">
        <v>10200.0</v>
      </c>
      <c r="BD74" s="73"/>
      <c r="BE74" s="21"/>
      <c r="BF74" s="21"/>
      <c r="BG74" s="21">
        <v>2114385.52</v>
      </c>
      <c r="BH74" s="21"/>
      <c r="BI74" s="72"/>
      <c r="BJ74" s="21"/>
      <c r="BK74" s="72"/>
      <c r="BL74" s="21"/>
      <c r="BM74" s="72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</row>
    <row r="75" ht="15.75" customHeight="1">
      <c r="A75" s="56">
        <v>45789.0</v>
      </c>
      <c r="B75" s="70">
        <v>1154.0</v>
      </c>
      <c r="C75" s="70">
        <v>1112.0</v>
      </c>
      <c r="D75" s="70">
        <v>1150.0</v>
      </c>
      <c r="E75" s="70">
        <v>14.22</v>
      </c>
      <c r="F75" s="70"/>
      <c r="G75" s="70"/>
      <c r="H75" s="70">
        <v>2.011</v>
      </c>
      <c r="I75" s="70">
        <v>1.567</v>
      </c>
      <c r="J75" s="70"/>
      <c r="K75" s="70">
        <v>1.4338</v>
      </c>
      <c r="L75" s="70">
        <v>1.3651499999999999</v>
      </c>
      <c r="M75" s="70">
        <v>1.047</v>
      </c>
      <c r="N75" s="70">
        <v>1.1584999999999999</v>
      </c>
      <c r="O75" s="70">
        <v>1.0</v>
      </c>
      <c r="P75" s="70">
        <v>1.092</v>
      </c>
      <c r="Q75" s="70">
        <v>1.079</v>
      </c>
      <c r="R75" s="70">
        <v>1.0625</v>
      </c>
      <c r="S75" s="70">
        <v>1.057</v>
      </c>
      <c r="T75" s="70">
        <v>1.65</v>
      </c>
      <c r="U75" s="70">
        <v>1.0</v>
      </c>
      <c r="V75" s="70">
        <v>1.1520000000000001</v>
      </c>
      <c r="W75" s="70">
        <v>1.04</v>
      </c>
      <c r="X75" s="70">
        <v>1.385</v>
      </c>
      <c r="Y75" s="70">
        <v>777.2</v>
      </c>
      <c r="Z75" s="70">
        <v>1.8185</v>
      </c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21"/>
      <c r="AX75" s="73">
        <v>19325.0</v>
      </c>
      <c r="AY75" s="73">
        <v>570.0</v>
      </c>
      <c r="AZ75" s="73">
        <v>7290.0</v>
      </c>
      <c r="BA75" s="73">
        <v>24050.0</v>
      </c>
      <c r="BB75" s="73">
        <v>8210.0</v>
      </c>
      <c r="BC75" s="73">
        <v>10725.0</v>
      </c>
      <c r="BD75" s="73"/>
      <c r="BE75" s="21"/>
      <c r="BF75" s="21"/>
      <c r="BG75" s="21">
        <v>2230394.68</v>
      </c>
      <c r="BH75" s="21"/>
      <c r="BI75" s="72"/>
      <c r="BJ75" s="21"/>
      <c r="BK75" s="72"/>
      <c r="BL75" s="21"/>
      <c r="BM75" s="72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</row>
    <row r="76" ht="15.75" customHeight="1">
      <c r="A76" s="56">
        <v>45790.0</v>
      </c>
      <c r="B76" s="70">
        <v>1148.0</v>
      </c>
      <c r="C76" s="70">
        <v>1125.0</v>
      </c>
      <c r="D76" s="70">
        <v>1143.1</v>
      </c>
      <c r="E76" s="70">
        <v>14.2</v>
      </c>
      <c r="F76" s="70"/>
      <c r="G76" s="70"/>
      <c r="H76" s="70">
        <v>2.0115</v>
      </c>
      <c r="I76" s="70">
        <v>1.5665</v>
      </c>
      <c r="J76" s="70"/>
      <c r="K76" s="70">
        <v>1.4355000000000002</v>
      </c>
      <c r="L76" s="70">
        <v>1.36658</v>
      </c>
      <c r="M76" s="70">
        <v>1.0485</v>
      </c>
      <c r="N76" s="70">
        <v>1.1584999999999999</v>
      </c>
      <c r="O76" s="70">
        <v>1.0</v>
      </c>
      <c r="P76" s="70">
        <v>1.092</v>
      </c>
      <c r="Q76" s="70">
        <v>1.0785</v>
      </c>
      <c r="R76" s="70">
        <v>1.064</v>
      </c>
      <c r="S76" s="70">
        <v>1.0590000000000002</v>
      </c>
      <c r="T76" s="70">
        <v>1.6595</v>
      </c>
      <c r="U76" s="70">
        <v>1.0</v>
      </c>
      <c r="V76" s="70">
        <v>1.153</v>
      </c>
      <c r="W76" s="70">
        <v>1.041</v>
      </c>
      <c r="X76" s="70">
        <v>1.3834</v>
      </c>
      <c r="Y76" s="70">
        <v>773.3</v>
      </c>
      <c r="Z76" s="70">
        <v>1.819</v>
      </c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21"/>
      <c r="AX76" s="73">
        <v>19800.0</v>
      </c>
      <c r="AY76" s="73">
        <v>615.0</v>
      </c>
      <c r="AZ76" s="73">
        <v>7310.0</v>
      </c>
      <c r="BA76" s="73">
        <v>24225.0</v>
      </c>
      <c r="BB76" s="73">
        <v>8470.0</v>
      </c>
      <c r="BC76" s="73">
        <v>10775.0</v>
      </c>
      <c r="BD76" s="73"/>
      <c r="BE76" s="21"/>
      <c r="BF76" s="21"/>
      <c r="BG76" s="21">
        <v>2285483.3</v>
      </c>
      <c r="BH76" s="21"/>
      <c r="BI76" s="72"/>
      <c r="BJ76" s="21"/>
      <c r="BK76" s="72"/>
      <c r="BL76" s="21"/>
      <c r="BM76" s="72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</row>
    <row r="77" ht="15.75" customHeight="1">
      <c r="A77" s="56">
        <v>45791.0</v>
      </c>
      <c r="B77" s="70">
        <v>1144.8</v>
      </c>
      <c r="C77" s="70">
        <v>1128.0</v>
      </c>
      <c r="D77" s="70">
        <v>1159.0</v>
      </c>
      <c r="E77" s="70">
        <v>14.23</v>
      </c>
      <c r="F77" s="70"/>
      <c r="G77" s="70"/>
      <c r="H77" s="70">
        <v>2.012</v>
      </c>
      <c r="I77" s="70">
        <v>1.5665</v>
      </c>
      <c r="J77" s="70"/>
      <c r="K77" s="70">
        <v>1.4369</v>
      </c>
      <c r="L77" s="70">
        <v>1.3675</v>
      </c>
      <c r="M77" s="70">
        <v>1.056</v>
      </c>
      <c r="N77" s="70">
        <v>1.167</v>
      </c>
      <c r="O77" s="70">
        <v>1.0</v>
      </c>
      <c r="P77" s="70">
        <v>1.0945</v>
      </c>
      <c r="Q77" s="70">
        <v>1.0755</v>
      </c>
      <c r="R77" s="70">
        <v>1.067</v>
      </c>
      <c r="S77" s="70">
        <v>1.0590000000000002</v>
      </c>
      <c r="T77" s="70">
        <v>1.67</v>
      </c>
      <c r="U77" s="70">
        <v>1.0</v>
      </c>
      <c r="V77" s="70">
        <v>1.155</v>
      </c>
      <c r="W77" s="70">
        <v>1.045</v>
      </c>
      <c r="X77" s="70">
        <v>1.3857</v>
      </c>
      <c r="Y77" s="70">
        <v>775.8</v>
      </c>
      <c r="Z77" s="70">
        <v>1.8315000000000001</v>
      </c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21"/>
      <c r="AX77" s="73">
        <v>19725.0</v>
      </c>
      <c r="AY77" s="73">
        <v>617.0</v>
      </c>
      <c r="AZ77" s="73">
        <v>7240.0</v>
      </c>
      <c r="BA77" s="73">
        <v>24625.0</v>
      </c>
      <c r="BB77" s="73">
        <v>8540.0</v>
      </c>
      <c r="BC77" s="73">
        <v>10850.0</v>
      </c>
      <c r="BD77" s="73"/>
      <c r="BE77" s="21"/>
      <c r="BF77" s="21"/>
      <c r="BG77" s="21">
        <v>2301643.22</v>
      </c>
      <c r="BH77" s="21"/>
      <c r="BI77" s="72"/>
      <c r="BJ77" s="21"/>
      <c r="BK77" s="72"/>
      <c r="BL77" s="21"/>
      <c r="BM77" s="72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</row>
    <row r="78" ht="15.75" customHeight="1">
      <c r="A78" s="56">
        <v>45792.0</v>
      </c>
      <c r="B78" s="70">
        <v>1153.4</v>
      </c>
      <c r="C78" s="70">
        <v>1122.0</v>
      </c>
      <c r="D78" s="70">
        <v>1156.9</v>
      </c>
      <c r="E78" s="70">
        <v>14.3</v>
      </c>
      <c r="F78" s="70"/>
      <c r="G78" s="70"/>
      <c r="H78" s="70">
        <v>2.03</v>
      </c>
      <c r="I78" s="70">
        <v>1.5785</v>
      </c>
      <c r="J78" s="70"/>
      <c r="K78" s="70">
        <v>1.4388999999999998</v>
      </c>
      <c r="L78" s="70">
        <v>1.3675</v>
      </c>
      <c r="M78" s="70">
        <v>1.0565</v>
      </c>
      <c r="N78" s="70">
        <v>1.1684999999999999</v>
      </c>
      <c r="O78" s="70">
        <v>1.0</v>
      </c>
      <c r="P78" s="70">
        <v>1.09</v>
      </c>
      <c r="Q78" s="70">
        <v>1.0759999999999998</v>
      </c>
      <c r="R78" s="70">
        <v>1.067</v>
      </c>
      <c r="S78" s="70">
        <v>1.0590000000000002</v>
      </c>
      <c r="T78" s="70">
        <v>1.67</v>
      </c>
      <c r="U78" s="70">
        <v>1.0</v>
      </c>
      <c r="V78" s="70">
        <v>1.1625</v>
      </c>
      <c r="W78" s="70">
        <v>1.0485</v>
      </c>
      <c r="X78" s="70">
        <v>1.3869999999999998</v>
      </c>
      <c r="Y78" s="70">
        <v>771.0</v>
      </c>
      <c r="Z78" s="70">
        <v>1.8344999999999998</v>
      </c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21"/>
      <c r="AX78" s="73">
        <v>19600.0</v>
      </c>
      <c r="AY78" s="73">
        <v>619.0</v>
      </c>
      <c r="AZ78" s="73">
        <v>7180.0</v>
      </c>
      <c r="BA78" s="73">
        <v>24975.0</v>
      </c>
      <c r="BB78" s="73">
        <v>8290.0</v>
      </c>
      <c r="BC78" s="73">
        <v>10700.0</v>
      </c>
      <c r="BD78" s="73"/>
      <c r="BE78" s="21"/>
      <c r="BF78" s="21"/>
      <c r="BG78" s="21">
        <v>2298473.1</v>
      </c>
      <c r="BH78" s="21"/>
      <c r="BI78" s="72"/>
      <c r="BJ78" s="21"/>
      <c r="BK78" s="72"/>
      <c r="BL78" s="21"/>
      <c r="BM78" s="72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</row>
    <row r="79" ht="15.75" customHeight="1">
      <c r="A79" s="56">
        <v>45793.0</v>
      </c>
      <c r="B79" s="70">
        <v>1151.0</v>
      </c>
      <c r="C79" s="70">
        <v>1139.1</v>
      </c>
      <c r="D79" s="70">
        <v>1164.5</v>
      </c>
      <c r="E79" s="70">
        <v>14.33</v>
      </c>
      <c r="F79" s="70"/>
      <c r="G79" s="70"/>
      <c r="H79" s="70">
        <v>2.035</v>
      </c>
      <c r="I79" s="70">
        <v>1.58</v>
      </c>
      <c r="J79" s="70"/>
      <c r="K79" s="70">
        <v>1.4425</v>
      </c>
      <c r="L79" s="70">
        <v>1.3675</v>
      </c>
      <c r="M79" s="70">
        <v>1.055</v>
      </c>
      <c r="N79" s="70">
        <v>1.167</v>
      </c>
      <c r="O79" s="70">
        <v>1.0</v>
      </c>
      <c r="P79" s="70">
        <v>1.09</v>
      </c>
      <c r="Q79" s="70">
        <v>1.0785</v>
      </c>
      <c r="R79" s="70">
        <v>1.07</v>
      </c>
      <c r="S79" s="70">
        <v>1.0615</v>
      </c>
      <c r="T79" s="70">
        <v>1.6744999999999999</v>
      </c>
      <c r="U79" s="70">
        <v>1.0</v>
      </c>
      <c r="V79" s="70">
        <v>1.1645</v>
      </c>
      <c r="W79" s="70">
        <v>1.0485</v>
      </c>
      <c r="X79" s="70">
        <v>1.391</v>
      </c>
      <c r="Y79" s="70">
        <v>766.2</v>
      </c>
      <c r="Z79" s="70">
        <v>1.8325</v>
      </c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21"/>
      <c r="AX79" s="73">
        <v>19600.0</v>
      </c>
      <c r="AY79" s="73">
        <v>653.0</v>
      </c>
      <c r="AZ79" s="73">
        <v>7300.0</v>
      </c>
      <c r="BA79" s="73">
        <v>25225.0</v>
      </c>
      <c r="BB79" s="73">
        <v>8340.0</v>
      </c>
      <c r="BC79" s="73">
        <v>10875.0</v>
      </c>
      <c r="BD79" s="73"/>
      <c r="BE79" s="21"/>
      <c r="BF79" s="21"/>
      <c r="BG79" s="21">
        <v>2318359.96</v>
      </c>
      <c r="BH79" s="21"/>
      <c r="BI79" s="72"/>
      <c r="BJ79" s="21"/>
      <c r="BK79" s="72"/>
      <c r="BL79" s="21"/>
      <c r="BM79" s="72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</row>
    <row r="80" ht="15.75" customHeight="1">
      <c r="A80" s="56">
        <v>45796.0</v>
      </c>
      <c r="B80" s="70">
        <v>1155.0</v>
      </c>
      <c r="C80" s="70">
        <v>1145.0</v>
      </c>
      <c r="D80" s="70">
        <v>1152.0</v>
      </c>
      <c r="E80" s="70">
        <v>14.29</v>
      </c>
      <c r="F80" s="70"/>
      <c r="G80" s="70"/>
      <c r="H80" s="70">
        <v>2.0425</v>
      </c>
      <c r="I80" s="70">
        <v>1.5819999999999999</v>
      </c>
      <c r="J80" s="70"/>
      <c r="K80" s="70">
        <v>1.4437</v>
      </c>
      <c r="L80" s="70">
        <v>1.3675</v>
      </c>
      <c r="M80" s="70">
        <v>1.0615</v>
      </c>
      <c r="N80" s="70">
        <v>1.177</v>
      </c>
      <c r="O80" s="70">
        <v>1.0245</v>
      </c>
      <c r="P80" s="70">
        <v>1.0985</v>
      </c>
      <c r="Q80" s="70">
        <v>1.081</v>
      </c>
      <c r="R80" s="70">
        <v>1.072</v>
      </c>
      <c r="S80" s="70">
        <v>1.0685</v>
      </c>
      <c r="T80" s="70">
        <v>1.6725</v>
      </c>
      <c r="U80" s="70">
        <v>1.0772</v>
      </c>
      <c r="V80" s="70">
        <v>1.165</v>
      </c>
      <c r="W80" s="70">
        <v>1.042</v>
      </c>
      <c r="X80" s="70">
        <v>1.3935</v>
      </c>
      <c r="Y80" s="70">
        <v>778.7</v>
      </c>
      <c r="Z80" s="70">
        <v>1.835</v>
      </c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21"/>
      <c r="AX80" s="73">
        <v>19875.0</v>
      </c>
      <c r="AY80" s="73">
        <v>643.0</v>
      </c>
      <c r="AZ80" s="73">
        <v>7400.0</v>
      </c>
      <c r="BA80" s="73">
        <v>25000.0</v>
      </c>
      <c r="BB80" s="73">
        <v>8670.0</v>
      </c>
      <c r="BC80" s="73">
        <v>11200.0</v>
      </c>
      <c r="BD80" s="73"/>
      <c r="BE80" s="21"/>
      <c r="BF80" s="21"/>
      <c r="BG80" s="21">
        <v>2369505.2</v>
      </c>
      <c r="BH80" s="21"/>
      <c r="BI80" s="72"/>
      <c r="BJ80" s="21"/>
      <c r="BK80" s="72"/>
      <c r="BL80" s="21"/>
      <c r="BM80" s="72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</row>
    <row r="81" ht="15.75" customHeight="1">
      <c r="A81" s="56">
        <v>45797.0</v>
      </c>
      <c r="B81" s="70">
        <v>1159.0</v>
      </c>
      <c r="C81" s="70">
        <v>1149.2</v>
      </c>
      <c r="D81" s="70">
        <v>1193.0</v>
      </c>
      <c r="E81" s="70">
        <v>14.335</v>
      </c>
      <c r="F81" s="70"/>
      <c r="G81" s="70"/>
      <c r="H81" s="70">
        <v>2.045</v>
      </c>
      <c r="I81" s="70">
        <v>1.5830000000000002</v>
      </c>
      <c r="J81" s="70"/>
      <c r="K81" s="70">
        <v>1.4449</v>
      </c>
      <c r="L81" s="70">
        <v>1.3675</v>
      </c>
      <c r="M81" s="70">
        <v>1.0685</v>
      </c>
      <c r="N81" s="70">
        <v>1.1775</v>
      </c>
      <c r="O81" s="70">
        <v>1.0245</v>
      </c>
      <c r="P81" s="70">
        <v>1.0995</v>
      </c>
      <c r="Q81" s="70">
        <v>1.083</v>
      </c>
      <c r="R81" s="70">
        <v>1.07</v>
      </c>
      <c r="S81" s="70">
        <v>1.071</v>
      </c>
      <c r="T81" s="70">
        <v>1.672</v>
      </c>
      <c r="U81" s="70">
        <v>1.0772</v>
      </c>
      <c r="V81" s="70">
        <v>1.1655</v>
      </c>
      <c r="W81" s="70">
        <v>1.0485</v>
      </c>
      <c r="X81" s="70">
        <v>1.3941999999999999</v>
      </c>
      <c r="Y81" s="70">
        <v>783.8</v>
      </c>
      <c r="Z81" s="70">
        <v>1.834</v>
      </c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21"/>
      <c r="AX81" s="73">
        <v>19850.0</v>
      </c>
      <c r="AY81" s="73">
        <v>666.0</v>
      </c>
      <c r="AZ81" s="73">
        <v>7410.0</v>
      </c>
      <c r="BA81" s="73">
        <v>25075.0</v>
      </c>
      <c r="BB81" s="73">
        <v>8590.0</v>
      </c>
      <c r="BC81" s="73">
        <v>11125.0</v>
      </c>
      <c r="BD81" s="73"/>
      <c r="BE81" s="21"/>
      <c r="BF81" s="21"/>
      <c r="BG81" s="21">
        <v>2378463.98</v>
      </c>
      <c r="BH81" s="21"/>
      <c r="BI81" s="72"/>
      <c r="BJ81" s="21"/>
      <c r="BK81" s="72"/>
      <c r="BL81" s="21"/>
      <c r="BM81" s="72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</row>
    <row r="82" ht="15.75" customHeight="1">
      <c r="A82" s="56">
        <v>45798.0</v>
      </c>
      <c r="B82" s="70">
        <v>1153.0</v>
      </c>
      <c r="C82" s="70">
        <v>1140.0</v>
      </c>
      <c r="D82" s="70">
        <v>1175.0</v>
      </c>
      <c r="E82" s="70">
        <v>14.37</v>
      </c>
      <c r="F82" s="70"/>
      <c r="G82" s="70"/>
      <c r="H82" s="70">
        <v>2.0484999999999998</v>
      </c>
      <c r="I82" s="70">
        <v>1.5859999999999999</v>
      </c>
      <c r="J82" s="70"/>
      <c r="K82" s="70">
        <v>1.44545</v>
      </c>
      <c r="L82" s="70">
        <v>1.3675</v>
      </c>
      <c r="M82" s="70">
        <v>1.057</v>
      </c>
      <c r="N82" s="70">
        <v>1.17</v>
      </c>
      <c r="O82" s="70">
        <v>1.0245</v>
      </c>
      <c r="P82" s="70">
        <v>1.0925</v>
      </c>
      <c r="Q82" s="70">
        <v>1.073</v>
      </c>
      <c r="R82" s="70">
        <v>1.064</v>
      </c>
      <c r="S82" s="70">
        <v>1.0645</v>
      </c>
      <c r="T82" s="70">
        <v>1.685</v>
      </c>
      <c r="U82" s="70">
        <v>1.0772</v>
      </c>
      <c r="V82" s="70">
        <v>1.166</v>
      </c>
      <c r="W82" s="70">
        <v>1.046</v>
      </c>
      <c r="X82" s="70">
        <v>1.3959899999999998</v>
      </c>
      <c r="Y82" s="70">
        <v>778.5</v>
      </c>
      <c r="Z82" s="70">
        <v>1.838</v>
      </c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21"/>
      <c r="AX82" s="73">
        <v>19275.0</v>
      </c>
      <c r="AY82" s="73">
        <v>679.0</v>
      </c>
      <c r="AZ82" s="73">
        <v>7240.0</v>
      </c>
      <c r="BA82" s="73">
        <v>25175.0</v>
      </c>
      <c r="BB82" s="73">
        <v>8470.0</v>
      </c>
      <c r="BC82" s="73">
        <v>10825.0</v>
      </c>
      <c r="BD82" s="73"/>
      <c r="BE82" s="21"/>
      <c r="BF82" s="21"/>
      <c r="BG82" s="21">
        <v>2319548.56</v>
      </c>
      <c r="BH82" s="21"/>
      <c r="BI82" s="72"/>
      <c r="BJ82" s="21"/>
      <c r="BK82" s="72"/>
      <c r="BL82" s="21"/>
      <c r="BM82" s="72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</row>
    <row r="83" ht="15.75" customHeight="1">
      <c r="A83" s="56">
        <v>45799.0</v>
      </c>
      <c r="B83" s="70">
        <v>1159.4</v>
      </c>
      <c r="C83" s="70">
        <v>1138.9</v>
      </c>
      <c r="D83" s="70">
        <v>1165.6</v>
      </c>
      <c r="E83" s="70">
        <v>14.36</v>
      </c>
      <c r="F83" s="70"/>
      <c r="G83" s="70"/>
      <c r="H83" s="70">
        <v>2.0484999999999998</v>
      </c>
      <c r="I83" s="70">
        <v>1.587</v>
      </c>
      <c r="J83" s="70"/>
      <c r="K83" s="70">
        <v>1.4466999999999999</v>
      </c>
      <c r="L83" s="70">
        <v>1.3675</v>
      </c>
      <c r="M83" s="70">
        <v>1.056</v>
      </c>
      <c r="N83" s="70">
        <v>1.1684999999999999</v>
      </c>
      <c r="O83" s="70">
        <v>1.0245</v>
      </c>
      <c r="P83" s="70">
        <v>1.092</v>
      </c>
      <c r="Q83" s="70">
        <v>1.07</v>
      </c>
      <c r="R83" s="70">
        <v>1.0575</v>
      </c>
      <c r="S83" s="70">
        <v>1.06</v>
      </c>
      <c r="T83" s="70">
        <v>1.679</v>
      </c>
      <c r="U83" s="70">
        <v>1.0772</v>
      </c>
      <c r="V83" s="70">
        <v>1.1675</v>
      </c>
      <c r="W83" s="70">
        <v>1.05</v>
      </c>
      <c r="X83" s="70">
        <v>1.3980000000000001</v>
      </c>
      <c r="Y83" s="70">
        <v>777.0</v>
      </c>
      <c r="Z83" s="70">
        <v>1.8415000000000001</v>
      </c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21"/>
      <c r="AX83" s="73">
        <v>19100.0</v>
      </c>
      <c r="AY83" s="73">
        <v>676.0</v>
      </c>
      <c r="AZ83" s="73">
        <v>7200.0</v>
      </c>
      <c r="BA83" s="73">
        <v>25275.0</v>
      </c>
      <c r="BB83" s="73">
        <v>8240.0</v>
      </c>
      <c r="BC83" s="73">
        <v>10800.0</v>
      </c>
      <c r="BD83" s="73"/>
      <c r="BE83" s="21"/>
      <c r="BF83" s="21"/>
      <c r="BG83" s="21">
        <v>2314896.98</v>
      </c>
      <c r="BH83" s="21"/>
      <c r="BI83" s="72"/>
      <c r="BJ83" s="21"/>
      <c r="BK83" s="72"/>
      <c r="BL83" s="21"/>
      <c r="BM83" s="72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</row>
    <row r="84" ht="15.75" customHeight="1">
      <c r="A84" s="56">
        <v>45800.0</v>
      </c>
      <c r="B84" s="70">
        <v>1154.9</v>
      </c>
      <c r="C84" s="70">
        <v>1130.0</v>
      </c>
      <c r="D84" s="70">
        <v>1163.8</v>
      </c>
      <c r="E84" s="70">
        <v>14.41</v>
      </c>
      <c r="F84" s="70"/>
      <c r="G84" s="70"/>
      <c r="H84" s="70">
        <v>2.0484999999999998</v>
      </c>
      <c r="I84" s="70">
        <v>1.5915000000000001</v>
      </c>
      <c r="J84" s="70"/>
      <c r="K84" s="70">
        <v>1.45</v>
      </c>
      <c r="L84" s="70">
        <v>1.3675</v>
      </c>
      <c r="M84" s="70">
        <v>1.0525</v>
      </c>
      <c r="N84" s="70">
        <v>1.172</v>
      </c>
      <c r="O84" s="70">
        <v>1.0245</v>
      </c>
      <c r="P84" s="70">
        <v>1.0959999999999999</v>
      </c>
      <c r="Q84" s="70">
        <v>1.0735</v>
      </c>
      <c r="R84" s="70">
        <v>1.0565</v>
      </c>
      <c r="S84" s="70">
        <v>1.0525</v>
      </c>
      <c r="T84" s="70">
        <v>1.683</v>
      </c>
      <c r="U84" s="70">
        <v>1.0772</v>
      </c>
      <c r="V84" s="70">
        <v>1.1695</v>
      </c>
      <c r="W84" s="70">
        <v>1.035</v>
      </c>
      <c r="X84" s="70">
        <v>1.4005</v>
      </c>
      <c r="Y84" s="70">
        <v>779.7</v>
      </c>
      <c r="Z84" s="70">
        <v>1.844</v>
      </c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21"/>
      <c r="AX84" s="73">
        <v>19250.0</v>
      </c>
      <c r="AY84" s="73">
        <v>679.0</v>
      </c>
      <c r="AZ84" s="73">
        <v>7330.0</v>
      </c>
      <c r="BA84" s="73">
        <v>24250.0</v>
      </c>
      <c r="BB84" s="73">
        <v>8370.0</v>
      </c>
      <c r="BC84" s="73">
        <v>10925.0</v>
      </c>
      <c r="BD84" s="73"/>
      <c r="BE84" s="21"/>
      <c r="BF84" s="21"/>
      <c r="BG84" s="21">
        <v>2345902.16</v>
      </c>
      <c r="BH84" s="21"/>
      <c r="BI84" s="72"/>
      <c r="BJ84" s="21"/>
      <c r="BK84" s="72"/>
      <c r="BL84" s="21"/>
      <c r="BM84" s="72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</row>
    <row r="85" ht="15.75" customHeight="1">
      <c r="A85" s="56">
        <v>45803.0</v>
      </c>
      <c r="B85" s="70">
        <v>1144.7</v>
      </c>
      <c r="C85" s="70">
        <v>1140.0</v>
      </c>
      <c r="D85" s="70">
        <v>1165.0</v>
      </c>
      <c r="E85" s="70">
        <v>14.41</v>
      </c>
      <c r="F85" s="70"/>
      <c r="G85" s="70"/>
      <c r="H85" s="70">
        <v>2.0495</v>
      </c>
      <c r="I85" s="70">
        <v>1.5935</v>
      </c>
      <c r="J85" s="70"/>
      <c r="K85" s="70">
        <v>1.4513</v>
      </c>
      <c r="L85" s="70">
        <v>1.3675</v>
      </c>
      <c r="M85" s="70">
        <v>1.054</v>
      </c>
      <c r="N85" s="70">
        <v>1.175</v>
      </c>
      <c r="O85" s="70">
        <v>1.03</v>
      </c>
      <c r="P85" s="70">
        <v>1.095</v>
      </c>
      <c r="Q85" s="70">
        <v>1.0735</v>
      </c>
      <c r="R85" s="70">
        <v>1.06</v>
      </c>
      <c r="S85" s="70">
        <v>1.0590000000000002</v>
      </c>
      <c r="T85" s="70">
        <v>1.6855000000000002</v>
      </c>
      <c r="U85" s="70">
        <v>1.0772</v>
      </c>
      <c r="V85" s="70">
        <v>1.1725</v>
      </c>
      <c r="W85" s="70">
        <v>1.04</v>
      </c>
      <c r="X85" s="70">
        <v>1.4017</v>
      </c>
      <c r="Y85" s="70">
        <v>778.0</v>
      </c>
      <c r="Z85" s="70">
        <v>1.8459999999999999</v>
      </c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21"/>
      <c r="AX85" s="73">
        <v>19025.0</v>
      </c>
      <c r="AY85" s="73">
        <v>697.0</v>
      </c>
      <c r="AZ85" s="73">
        <v>7330.0</v>
      </c>
      <c r="BA85" s="73">
        <v>24150.0</v>
      </c>
      <c r="BB85" s="73">
        <v>8410.0</v>
      </c>
      <c r="BC85" s="73">
        <v>10950.0</v>
      </c>
      <c r="BD85" s="73"/>
      <c r="BE85" s="21"/>
      <c r="BF85" s="21"/>
      <c r="BG85" s="21">
        <v>2370800.08</v>
      </c>
      <c r="BH85" s="21"/>
      <c r="BI85" s="72"/>
      <c r="BJ85" s="21"/>
      <c r="BK85" s="72"/>
      <c r="BL85" s="21"/>
      <c r="BM85" s="72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</row>
    <row r="86" ht="15.75" customHeight="1">
      <c r="A86" s="56">
        <v>45804.0</v>
      </c>
      <c r="B86" s="70">
        <v>1171.6</v>
      </c>
      <c r="C86" s="70">
        <v>1151.9</v>
      </c>
      <c r="D86" s="70">
        <v>1175.0</v>
      </c>
      <c r="E86" s="70">
        <v>14.455</v>
      </c>
      <c r="F86" s="70"/>
      <c r="G86" s="70"/>
      <c r="H86" s="70">
        <v>2.045</v>
      </c>
      <c r="I86" s="70">
        <v>1.5959999999999999</v>
      </c>
      <c r="J86" s="70"/>
      <c r="K86" s="70">
        <v>1.4528999999999999</v>
      </c>
      <c r="L86" s="70">
        <v>1.3675</v>
      </c>
      <c r="M86" s="70">
        <v>1.069</v>
      </c>
      <c r="N86" s="70">
        <v>1.1804999999999999</v>
      </c>
      <c r="O86" s="70">
        <v>1.03</v>
      </c>
      <c r="P86" s="70">
        <v>1.0975</v>
      </c>
      <c r="Q86" s="70">
        <v>1.0765</v>
      </c>
      <c r="R86" s="70">
        <v>1.0685</v>
      </c>
      <c r="S86" s="70">
        <v>1.0645</v>
      </c>
      <c r="T86" s="70">
        <v>1.6840000000000002</v>
      </c>
      <c r="U86" s="70">
        <v>1.0772</v>
      </c>
      <c r="V86" s="70">
        <v>1.1715</v>
      </c>
      <c r="W86" s="70">
        <v>1.0525</v>
      </c>
      <c r="X86" s="70">
        <v>1.4043</v>
      </c>
      <c r="Y86" s="70">
        <v>788.1</v>
      </c>
      <c r="Z86" s="70">
        <v>1.8525</v>
      </c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21"/>
      <c r="AX86" s="73">
        <v>19175.0</v>
      </c>
      <c r="AY86" s="73">
        <v>699.0</v>
      </c>
      <c r="AZ86" s="73">
        <v>7220.0</v>
      </c>
      <c r="BA86" s="73">
        <v>25000.0</v>
      </c>
      <c r="BB86" s="73">
        <v>8230.0</v>
      </c>
      <c r="BC86" s="73">
        <v>10850.0</v>
      </c>
      <c r="BD86" s="73"/>
      <c r="BE86" s="21"/>
      <c r="BF86" s="21"/>
      <c r="BG86" s="21">
        <v>2355098.27</v>
      </c>
      <c r="BH86" s="21"/>
      <c r="BI86" s="72"/>
      <c r="BJ86" s="21"/>
      <c r="BK86" s="72"/>
      <c r="BL86" s="21"/>
      <c r="BM86" s="72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</row>
    <row r="87" ht="15.75" customHeight="1">
      <c r="A87" s="56">
        <v>45805.0</v>
      </c>
      <c r="B87" s="70">
        <v>1161.2</v>
      </c>
      <c r="C87" s="70">
        <v>1159.2</v>
      </c>
      <c r="D87" s="70">
        <v>1177.0</v>
      </c>
      <c r="E87" s="70">
        <v>14.54</v>
      </c>
      <c r="F87" s="70"/>
      <c r="G87" s="70"/>
      <c r="H87" s="70">
        <v>2.051</v>
      </c>
      <c r="I87" s="70">
        <v>1.5985</v>
      </c>
      <c r="J87" s="70"/>
      <c r="K87" s="70">
        <v>1.4545</v>
      </c>
      <c r="L87" s="70">
        <v>1.3675</v>
      </c>
      <c r="M87" s="70">
        <v>1.078</v>
      </c>
      <c r="N87" s="70">
        <v>1.185</v>
      </c>
      <c r="O87" s="70">
        <v>1.03</v>
      </c>
      <c r="P87" s="70">
        <v>1.1015000000000001</v>
      </c>
      <c r="Q87" s="70">
        <v>1.085</v>
      </c>
      <c r="R87" s="70">
        <v>1.0805</v>
      </c>
      <c r="S87" s="70">
        <v>1.079</v>
      </c>
      <c r="T87" s="70">
        <v>1.6985</v>
      </c>
      <c r="U87" s="70">
        <v>1.01</v>
      </c>
      <c r="V87" s="70">
        <v>1.1745</v>
      </c>
      <c r="W87" s="70">
        <v>1.068</v>
      </c>
      <c r="X87" s="70">
        <v>1.40489</v>
      </c>
      <c r="Y87" s="70">
        <v>799.0</v>
      </c>
      <c r="Z87" s="70">
        <v>1.8630000000000002</v>
      </c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21"/>
      <c r="AX87" s="73">
        <v>19675.0</v>
      </c>
      <c r="AY87" s="73">
        <v>713.0</v>
      </c>
      <c r="AZ87" s="73">
        <v>7130.0</v>
      </c>
      <c r="BA87" s="73">
        <v>25050.0</v>
      </c>
      <c r="BB87" s="73">
        <v>8170.0</v>
      </c>
      <c r="BC87" s="73">
        <v>10600.0</v>
      </c>
      <c r="BD87" s="73"/>
      <c r="BE87" s="21"/>
      <c r="BF87" s="21"/>
      <c r="BG87" s="21">
        <v>2344329.52</v>
      </c>
      <c r="BH87" s="21"/>
      <c r="BI87" s="72"/>
      <c r="BJ87" s="21"/>
      <c r="BK87" s="72"/>
      <c r="BL87" s="21"/>
      <c r="BM87" s="72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</row>
    <row r="88" ht="15.75" customHeight="1">
      <c r="A88" s="56">
        <v>45806.0</v>
      </c>
      <c r="B88" s="70">
        <v>1160.1</v>
      </c>
      <c r="C88" s="70">
        <v>1165.0</v>
      </c>
      <c r="D88" s="70">
        <v>1208.0</v>
      </c>
      <c r="E88" s="70">
        <v>14.54</v>
      </c>
      <c r="F88" s="70"/>
      <c r="G88" s="70"/>
      <c r="H88" s="70">
        <v>2.0580000000000003</v>
      </c>
      <c r="I88" s="70">
        <v>1.6035</v>
      </c>
      <c r="J88" s="70"/>
      <c r="K88" s="70">
        <v>1.4545</v>
      </c>
      <c r="L88" s="70">
        <v>1.3675</v>
      </c>
      <c r="M88" s="70">
        <v>1.0759999999999998</v>
      </c>
      <c r="N88" s="70">
        <v>1.186</v>
      </c>
      <c r="O88" s="70">
        <v>1.03</v>
      </c>
      <c r="P88" s="70">
        <v>1.1055</v>
      </c>
      <c r="Q88" s="70">
        <v>1.0865</v>
      </c>
      <c r="R88" s="70">
        <v>1.079</v>
      </c>
      <c r="S88" s="70">
        <v>1.0815000000000001</v>
      </c>
      <c r="T88" s="70">
        <v>1.6980000000000002</v>
      </c>
      <c r="U88" s="70">
        <v>1.01</v>
      </c>
      <c r="V88" s="70">
        <v>1.1775</v>
      </c>
      <c r="W88" s="70">
        <v>1.0655</v>
      </c>
      <c r="X88" s="70">
        <v>1.405</v>
      </c>
      <c r="Y88" s="70">
        <v>807.5</v>
      </c>
      <c r="Z88" s="70">
        <v>1.8659999999999999</v>
      </c>
      <c r="AA88" s="70">
        <v>1.071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21"/>
      <c r="AX88" s="73">
        <v>19800.0</v>
      </c>
      <c r="AY88" s="73">
        <v>714.0</v>
      </c>
      <c r="AZ88" s="73">
        <v>6960.0</v>
      </c>
      <c r="BA88" s="73">
        <v>25225.0</v>
      </c>
      <c r="BB88" s="73">
        <v>7840.0</v>
      </c>
      <c r="BC88" s="73">
        <v>10100.0</v>
      </c>
      <c r="BD88" s="73"/>
      <c r="BE88" s="21"/>
      <c r="BF88" s="21"/>
      <c r="BG88" s="21">
        <v>2308055.76</v>
      </c>
      <c r="BH88" s="21"/>
      <c r="BI88" s="72"/>
      <c r="BJ88" s="21"/>
      <c r="BK88" s="72"/>
      <c r="BL88" s="21"/>
      <c r="BM88" s="72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</row>
    <row r="89" ht="15.75" customHeight="1">
      <c r="A89" s="56">
        <v>45807.0</v>
      </c>
      <c r="B89" s="70">
        <v>1194.5</v>
      </c>
      <c r="C89" s="70">
        <v>1185.0</v>
      </c>
      <c r="D89" s="70">
        <v>1219.0</v>
      </c>
      <c r="E89" s="70">
        <v>14.54</v>
      </c>
      <c r="F89" s="70"/>
      <c r="G89" s="70"/>
      <c r="H89" s="70">
        <v>2.069</v>
      </c>
      <c r="I89" s="70">
        <v>1.6059999999999999</v>
      </c>
      <c r="J89" s="70"/>
      <c r="K89" s="70">
        <v>1.45831</v>
      </c>
      <c r="L89" s="70"/>
      <c r="M89" s="70">
        <v>1.087</v>
      </c>
      <c r="N89" s="70">
        <v>1.193</v>
      </c>
      <c r="O89" s="70">
        <v>1.03</v>
      </c>
      <c r="P89" s="70">
        <v>1.111</v>
      </c>
      <c r="Q89" s="70">
        <v>1.0945</v>
      </c>
      <c r="R89" s="70">
        <v>1.088</v>
      </c>
      <c r="S89" s="70">
        <v>1.09</v>
      </c>
      <c r="T89" s="70">
        <v>1.7075</v>
      </c>
      <c r="U89" s="70">
        <v>1.01</v>
      </c>
      <c r="V89" s="70">
        <v>1.179</v>
      </c>
      <c r="W89" s="70">
        <v>1.075</v>
      </c>
      <c r="X89" s="70">
        <v>1.4083</v>
      </c>
      <c r="Y89" s="70">
        <v>810.5</v>
      </c>
      <c r="Z89" s="70">
        <v>1.869</v>
      </c>
      <c r="AA89" s="70">
        <v>1.078</v>
      </c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21"/>
      <c r="AX89" s="73">
        <v>19850.0</v>
      </c>
      <c r="AY89" s="73">
        <v>701.0</v>
      </c>
      <c r="AZ89" s="73">
        <v>6960.0</v>
      </c>
      <c r="BA89" s="73">
        <v>25775.0</v>
      </c>
      <c r="BB89" s="73">
        <v>7860.0</v>
      </c>
      <c r="BC89" s="73">
        <v>10125.0</v>
      </c>
      <c r="BD89" s="73"/>
      <c r="BE89" s="21"/>
      <c r="BF89" s="21"/>
      <c r="BG89" s="21">
        <v>2278991.58</v>
      </c>
      <c r="BH89" s="21"/>
      <c r="BI89" s="72"/>
      <c r="BJ89" s="21"/>
      <c r="BK89" s="72"/>
      <c r="BL89" s="21"/>
      <c r="BM89" s="72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</row>
    <row r="90" ht="15.75" customHeight="1">
      <c r="A90" s="56">
        <v>45810.0</v>
      </c>
      <c r="B90" s="70">
        <v>1172.0</v>
      </c>
      <c r="C90" s="70">
        <v>1171.0</v>
      </c>
      <c r="D90" s="70">
        <v>1210.0</v>
      </c>
      <c r="E90" s="70">
        <v>14.55</v>
      </c>
      <c r="F90" s="70"/>
      <c r="G90" s="70"/>
      <c r="H90" s="70">
        <v>2.0635</v>
      </c>
      <c r="I90" s="70">
        <v>1.6085</v>
      </c>
      <c r="J90" s="70"/>
      <c r="K90" s="70">
        <v>1.4594</v>
      </c>
      <c r="L90" s="70"/>
      <c r="M90" s="70">
        <v>1.0915000000000001</v>
      </c>
      <c r="N90" s="70">
        <v>1.1985</v>
      </c>
      <c r="O90" s="70">
        <v>1.03</v>
      </c>
      <c r="P90" s="70">
        <v>1.1115000000000002</v>
      </c>
      <c r="Q90" s="70">
        <v>1.1</v>
      </c>
      <c r="R90" s="70">
        <v>1.0925</v>
      </c>
      <c r="S90" s="70">
        <v>1.093</v>
      </c>
      <c r="T90" s="70">
        <v>1.7035</v>
      </c>
      <c r="U90" s="70">
        <v>1.01</v>
      </c>
      <c r="V90" s="70">
        <v>1.182</v>
      </c>
      <c r="W90" s="70">
        <v>1.0815000000000001</v>
      </c>
      <c r="X90" s="70">
        <v>1.4105</v>
      </c>
      <c r="Y90" s="70">
        <v>808.8</v>
      </c>
      <c r="Z90" s="70">
        <v>1.8685</v>
      </c>
      <c r="AA90" s="70">
        <v>1.0801</v>
      </c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21"/>
      <c r="AX90" s="73">
        <v>19600.0</v>
      </c>
      <c r="AY90" s="73">
        <v>661.0</v>
      </c>
      <c r="AZ90" s="73">
        <v>6736.508269</v>
      </c>
      <c r="BA90" s="73">
        <v>25750.0</v>
      </c>
      <c r="BB90" s="73">
        <v>7490.0</v>
      </c>
      <c r="BC90" s="73">
        <v>9681.836978</v>
      </c>
      <c r="BD90" s="73"/>
      <c r="BE90" s="21"/>
      <c r="BF90" s="21"/>
      <c r="BG90" s="21">
        <v>2206291.24</v>
      </c>
      <c r="BH90" s="21"/>
      <c r="BI90" s="72"/>
      <c r="BJ90" s="21"/>
      <c r="BK90" s="72"/>
      <c r="BL90" s="21"/>
      <c r="BM90" s="72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</row>
    <row r="91" ht="15.75" customHeight="1">
      <c r="A91" s="56">
        <v>45811.0</v>
      </c>
      <c r="B91" s="70">
        <v>1184.3</v>
      </c>
      <c r="C91" s="70">
        <v>1175.0</v>
      </c>
      <c r="D91" s="70">
        <v>1210.0</v>
      </c>
      <c r="E91" s="70">
        <v>14.53</v>
      </c>
      <c r="F91" s="70"/>
      <c r="G91" s="70"/>
      <c r="H91" s="70">
        <v>2.062</v>
      </c>
      <c r="I91" s="70">
        <v>1.6055000000000001</v>
      </c>
      <c r="J91" s="70"/>
      <c r="K91" s="70">
        <v>1.46034</v>
      </c>
      <c r="L91" s="70"/>
      <c r="M91" s="70">
        <v>1.097</v>
      </c>
      <c r="N91" s="70">
        <v>1.2009999999999998</v>
      </c>
      <c r="O91" s="70">
        <v>1.03</v>
      </c>
      <c r="P91" s="70">
        <v>1.111</v>
      </c>
      <c r="Q91" s="70">
        <v>1.1</v>
      </c>
      <c r="R91" s="70">
        <v>1.095</v>
      </c>
      <c r="S91" s="70">
        <v>1.0945</v>
      </c>
      <c r="T91" s="70">
        <v>1.699</v>
      </c>
      <c r="U91" s="70">
        <v>1.01</v>
      </c>
      <c r="V91" s="70">
        <v>1.18</v>
      </c>
      <c r="W91" s="70">
        <v>1.09</v>
      </c>
      <c r="X91" s="70">
        <v>1.4109</v>
      </c>
      <c r="Y91" s="70">
        <v>809.9</v>
      </c>
      <c r="Z91" s="70">
        <v>1.8655000000000002</v>
      </c>
      <c r="AA91" s="70">
        <v>1.0809</v>
      </c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21"/>
      <c r="AX91" s="73">
        <v>20450.0</v>
      </c>
      <c r="AY91" s="73">
        <v>648.0</v>
      </c>
      <c r="AZ91" s="73">
        <v>6756.379975</v>
      </c>
      <c r="BA91" s="73">
        <v>25950.0</v>
      </c>
      <c r="BB91" s="73">
        <v>7570.0</v>
      </c>
      <c r="BC91" s="73">
        <v>9711.475255</v>
      </c>
      <c r="BD91" s="73"/>
      <c r="BE91" s="21"/>
      <c r="BF91" s="21"/>
      <c r="BG91" s="21">
        <v>2224637.93</v>
      </c>
      <c r="BH91" s="21"/>
      <c r="BI91" s="72"/>
      <c r="BJ91" s="21"/>
      <c r="BK91" s="72"/>
      <c r="BL91" s="21"/>
      <c r="BM91" s="72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</row>
    <row r="92" ht="15.75" customHeight="1">
      <c r="A92" s="56">
        <v>45812.0</v>
      </c>
      <c r="B92" s="70">
        <v>1185.9</v>
      </c>
      <c r="C92" s="70">
        <v>1180.0</v>
      </c>
      <c r="D92" s="70">
        <v>1214.0</v>
      </c>
      <c r="E92" s="70">
        <v>14.52</v>
      </c>
      <c r="F92" s="70"/>
      <c r="G92" s="70"/>
      <c r="H92" s="70">
        <v>2.052</v>
      </c>
      <c r="I92" s="70">
        <v>1.6055000000000001</v>
      </c>
      <c r="J92" s="70"/>
      <c r="K92" s="70">
        <v>1.46127</v>
      </c>
      <c r="L92" s="70"/>
      <c r="M92" s="70">
        <v>1.091</v>
      </c>
      <c r="N92" s="70">
        <v>1.1975</v>
      </c>
      <c r="O92" s="70">
        <v>1.03</v>
      </c>
      <c r="P92" s="70">
        <v>1.11</v>
      </c>
      <c r="Q92" s="70">
        <v>1.093</v>
      </c>
      <c r="R92" s="70">
        <v>1.094</v>
      </c>
      <c r="S92" s="70">
        <v>1.0955</v>
      </c>
      <c r="T92" s="70">
        <v>1.695</v>
      </c>
      <c r="U92" s="70">
        <v>1.01</v>
      </c>
      <c r="V92" s="70">
        <v>1.175</v>
      </c>
      <c r="W92" s="70">
        <v>1.081</v>
      </c>
      <c r="X92" s="70">
        <v>1.4115</v>
      </c>
      <c r="Y92" s="70">
        <v>807.5</v>
      </c>
      <c r="Z92" s="70">
        <v>1.8630000000000002</v>
      </c>
      <c r="AA92" s="70">
        <v>1.0804900000000002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21"/>
      <c r="AX92" s="73">
        <v>19150.0</v>
      </c>
      <c r="AY92" s="73">
        <v>636.0</v>
      </c>
      <c r="AZ92" s="73">
        <v>6438.432682</v>
      </c>
      <c r="BA92" s="73">
        <v>25775.0</v>
      </c>
      <c r="BB92" s="73">
        <v>7050.0</v>
      </c>
      <c r="BC92" s="73">
        <v>9019.91547</v>
      </c>
      <c r="BD92" s="73"/>
      <c r="BE92" s="21"/>
      <c r="BF92" s="21"/>
      <c r="BG92" s="21">
        <v>2126915.34</v>
      </c>
      <c r="BH92" s="21"/>
      <c r="BI92" s="72"/>
      <c r="BJ92" s="21"/>
      <c r="BK92" s="72"/>
      <c r="BL92" s="21"/>
      <c r="BM92" s="72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</row>
    <row r="93" ht="15.75" customHeight="1">
      <c r="A93" s="56">
        <v>45813.0</v>
      </c>
      <c r="B93" s="70">
        <v>1185.9</v>
      </c>
      <c r="C93" s="70">
        <v>1195.0</v>
      </c>
      <c r="D93" s="70">
        <v>1215.0</v>
      </c>
      <c r="E93" s="70">
        <v>14.52</v>
      </c>
      <c r="F93" s="70"/>
      <c r="G93" s="70"/>
      <c r="H93" s="70">
        <v>2.065</v>
      </c>
      <c r="I93" s="70">
        <v>1.605</v>
      </c>
      <c r="J93" s="70"/>
      <c r="K93" s="70">
        <v>1.46231</v>
      </c>
      <c r="L93" s="70"/>
      <c r="M93" s="70">
        <v>1.091</v>
      </c>
      <c r="N93" s="70">
        <v>1.198</v>
      </c>
      <c r="O93" s="70">
        <v>1.03</v>
      </c>
      <c r="P93" s="70">
        <v>1.1085</v>
      </c>
      <c r="Q93" s="70">
        <v>1.094</v>
      </c>
      <c r="R93" s="70">
        <v>1.088</v>
      </c>
      <c r="S93" s="70">
        <v>1.088</v>
      </c>
      <c r="T93" s="70">
        <v>1.694</v>
      </c>
      <c r="U93" s="70">
        <v>1.01</v>
      </c>
      <c r="V93" s="70">
        <v>1.178</v>
      </c>
      <c r="W93" s="70">
        <v>1.079</v>
      </c>
      <c r="X93" s="70">
        <v>1.4122</v>
      </c>
      <c r="Y93" s="70">
        <v>801.8</v>
      </c>
      <c r="Z93" s="70">
        <v>1.8519999999999999</v>
      </c>
      <c r="AA93" s="70">
        <v>1.0745</v>
      </c>
      <c r="AB93" s="70">
        <v>1.1885</v>
      </c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21"/>
      <c r="AX93" s="73">
        <v>19350.0</v>
      </c>
      <c r="AY93" s="73">
        <v>639.0</v>
      </c>
      <c r="AZ93" s="73">
        <v>6468.240241</v>
      </c>
      <c r="BA93" s="73">
        <v>25750.0</v>
      </c>
      <c r="BB93" s="73">
        <v>6940.0</v>
      </c>
      <c r="BC93" s="73">
        <v>8940.880067</v>
      </c>
      <c r="BD93" s="73"/>
      <c r="BE93" s="21"/>
      <c r="BF93" s="21"/>
      <c r="BG93" s="21">
        <v>2124156.07</v>
      </c>
      <c r="BH93" s="21"/>
      <c r="BI93" s="72"/>
      <c r="BJ93" s="21"/>
      <c r="BK93" s="72"/>
      <c r="BL93" s="21"/>
      <c r="BM93" s="72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</row>
    <row r="94" ht="15.75" customHeight="1">
      <c r="A94" s="56">
        <v>45814.0</v>
      </c>
      <c r="B94" s="70">
        <v>1193.0</v>
      </c>
      <c r="C94" s="70">
        <v>1198.9</v>
      </c>
      <c r="D94" s="70">
        <v>1237.3</v>
      </c>
      <c r="E94" s="70">
        <v>14.57</v>
      </c>
      <c r="F94" s="70"/>
      <c r="G94" s="70"/>
      <c r="H94" s="70">
        <v>2.07</v>
      </c>
      <c r="I94" s="70">
        <v>1.611</v>
      </c>
      <c r="J94" s="70"/>
      <c r="K94" s="70">
        <v>1.4659</v>
      </c>
      <c r="L94" s="70"/>
      <c r="M94" s="70">
        <v>1.091</v>
      </c>
      <c r="N94" s="70">
        <v>1.198</v>
      </c>
      <c r="O94" s="70">
        <v>1.03</v>
      </c>
      <c r="P94" s="70">
        <v>1.111</v>
      </c>
      <c r="Q94" s="70">
        <v>1.094</v>
      </c>
      <c r="R94" s="70">
        <v>1.091</v>
      </c>
      <c r="S94" s="70">
        <v>1.09</v>
      </c>
      <c r="T94" s="70">
        <v>1.694</v>
      </c>
      <c r="U94" s="70">
        <v>1.01</v>
      </c>
      <c r="V94" s="70">
        <v>1.1804999999999999</v>
      </c>
      <c r="W94" s="70">
        <v>1.073</v>
      </c>
      <c r="X94" s="70">
        <v>1.4138499999999998</v>
      </c>
      <c r="Y94" s="70">
        <v>803.8</v>
      </c>
      <c r="Z94" s="70">
        <v>1.8665</v>
      </c>
      <c r="AA94" s="70">
        <v>1.0775</v>
      </c>
      <c r="AB94" s="70">
        <v>1.1875</v>
      </c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21"/>
      <c r="AX94" s="73">
        <v>19875.0</v>
      </c>
      <c r="AY94" s="73">
        <v>645.0</v>
      </c>
      <c r="AZ94" s="73">
        <v>6587.470475</v>
      </c>
      <c r="BA94" s="73">
        <v>24700.0</v>
      </c>
      <c r="BB94" s="73">
        <v>7180.0</v>
      </c>
      <c r="BC94" s="73">
        <v>9089.071449</v>
      </c>
      <c r="BD94" s="73"/>
      <c r="BE94" s="21"/>
      <c r="BF94" s="21"/>
      <c r="BG94" s="21">
        <v>2156778.44</v>
      </c>
      <c r="BH94" s="21"/>
      <c r="BI94" s="72"/>
      <c r="BJ94" s="21"/>
      <c r="BK94" s="72"/>
      <c r="BL94" s="21"/>
      <c r="BM94" s="72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</row>
    <row r="95" ht="15.75" customHeight="1">
      <c r="A95" s="56">
        <v>45817.0</v>
      </c>
      <c r="B95" s="70">
        <v>1190.0</v>
      </c>
      <c r="C95" s="70">
        <v>1185.0</v>
      </c>
      <c r="D95" s="70">
        <v>1227.8</v>
      </c>
      <c r="E95" s="70">
        <v>14.545</v>
      </c>
      <c r="F95" s="70"/>
      <c r="G95" s="70"/>
      <c r="H95" s="70">
        <v>2.07</v>
      </c>
      <c r="I95" s="70">
        <v>1.61</v>
      </c>
      <c r="J95" s="70"/>
      <c r="K95" s="70">
        <v>1.4671</v>
      </c>
      <c r="L95" s="70"/>
      <c r="M95" s="70">
        <v>1.092</v>
      </c>
      <c r="N95" s="70">
        <v>1.2015</v>
      </c>
      <c r="O95" s="70">
        <v>1.041</v>
      </c>
      <c r="P95" s="70">
        <v>1.1125</v>
      </c>
      <c r="Q95" s="70">
        <v>1.1059999999999999</v>
      </c>
      <c r="R95" s="70">
        <v>1.102</v>
      </c>
      <c r="S95" s="70">
        <v>1.103</v>
      </c>
      <c r="T95" s="70">
        <v>1.6969999999999998</v>
      </c>
      <c r="U95" s="70">
        <v>1.01</v>
      </c>
      <c r="V95" s="70">
        <v>1.1784999999999999</v>
      </c>
      <c r="W95" s="70">
        <v>1.0795000000000001</v>
      </c>
      <c r="X95" s="70">
        <v>1.4144999999999999</v>
      </c>
      <c r="Y95" s="70">
        <v>809.9</v>
      </c>
      <c r="Z95" s="70">
        <v>1.868</v>
      </c>
      <c r="AA95" s="70">
        <v>1.0805</v>
      </c>
      <c r="AB95" s="70">
        <v>1.19</v>
      </c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21"/>
      <c r="AX95" s="73">
        <v>19725.0</v>
      </c>
      <c r="AY95" s="73">
        <v>623.0</v>
      </c>
      <c r="AZ95" s="73">
        <v>6448.368535</v>
      </c>
      <c r="BA95" s="73">
        <v>24550.0</v>
      </c>
      <c r="BB95" s="73">
        <v>7030.0</v>
      </c>
      <c r="BC95" s="73">
        <v>8950.759492</v>
      </c>
      <c r="BD95" s="73"/>
      <c r="BE95" s="21"/>
      <c r="BF95" s="21"/>
      <c r="BG95" s="21">
        <v>2111196.88</v>
      </c>
      <c r="BH95" s="21"/>
      <c r="BI95" s="72"/>
      <c r="BJ95" s="21"/>
      <c r="BK95" s="72"/>
      <c r="BL95" s="21"/>
      <c r="BM95" s="72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</row>
    <row r="96" ht="15.75" customHeight="1">
      <c r="A96" s="56">
        <v>45818.0</v>
      </c>
      <c r="B96" s="70">
        <v>1186.1</v>
      </c>
      <c r="C96" s="70">
        <v>1185.0</v>
      </c>
      <c r="D96" s="70">
        <v>1218.5</v>
      </c>
      <c r="E96" s="70">
        <v>14.58</v>
      </c>
      <c r="F96" s="70"/>
      <c r="G96" s="70"/>
      <c r="H96" s="70">
        <v>2.0709999999999997</v>
      </c>
      <c r="I96" s="70">
        <v>1.6119999999999999</v>
      </c>
      <c r="J96" s="70"/>
      <c r="K96" s="70">
        <v>1.4685</v>
      </c>
      <c r="L96" s="70"/>
      <c r="M96" s="70">
        <v>1.0975</v>
      </c>
      <c r="N96" s="70">
        <v>1.2015</v>
      </c>
      <c r="O96" s="70">
        <v>1.041</v>
      </c>
      <c r="P96" s="70">
        <v>1.11</v>
      </c>
      <c r="Q96" s="70">
        <v>1.1045</v>
      </c>
      <c r="R96" s="70">
        <v>1.105</v>
      </c>
      <c r="S96" s="70">
        <v>1.1065</v>
      </c>
      <c r="T96" s="70">
        <v>1.703</v>
      </c>
      <c r="U96" s="70">
        <v>1.01</v>
      </c>
      <c r="V96" s="70">
        <v>1.1775</v>
      </c>
      <c r="W96" s="70">
        <v>1.0785</v>
      </c>
      <c r="X96" s="70">
        <v>1.4154</v>
      </c>
      <c r="Y96" s="70">
        <v>817.0</v>
      </c>
      <c r="Z96" s="70">
        <v>1.8725</v>
      </c>
      <c r="AA96" s="70">
        <v>1.0824</v>
      </c>
      <c r="AB96" s="70">
        <v>1.192</v>
      </c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21"/>
      <c r="AX96" s="73">
        <v>20325.0</v>
      </c>
      <c r="AY96" s="73">
        <v>635.0</v>
      </c>
      <c r="AZ96" s="73">
        <v>6796.123386</v>
      </c>
      <c r="BA96" s="73">
        <v>23825.0</v>
      </c>
      <c r="BB96" s="73">
        <v>7280.0</v>
      </c>
      <c r="BC96" s="73">
        <v>9336.057086</v>
      </c>
      <c r="BD96" s="73"/>
      <c r="BE96" s="21"/>
      <c r="BF96" s="21"/>
      <c r="BG96" s="21">
        <v>2202667.32</v>
      </c>
      <c r="BH96" s="21"/>
      <c r="BI96" s="72"/>
      <c r="BJ96" s="21"/>
      <c r="BK96" s="72"/>
      <c r="BL96" s="21"/>
      <c r="BM96" s="72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</row>
    <row r="97" ht="15.75" customHeight="1">
      <c r="A97" s="56">
        <v>45819.0</v>
      </c>
      <c r="B97" s="70">
        <v>1189.0</v>
      </c>
      <c r="C97" s="70">
        <v>1180.0</v>
      </c>
      <c r="D97" s="70">
        <v>1219.7</v>
      </c>
      <c r="E97" s="70">
        <v>14.58</v>
      </c>
      <c r="F97" s="70"/>
      <c r="G97" s="70"/>
      <c r="H97" s="70">
        <v>2.065</v>
      </c>
      <c r="I97" s="70">
        <v>1.6125</v>
      </c>
      <c r="J97" s="70"/>
      <c r="K97" s="70">
        <v>1.46899</v>
      </c>
      <c r="L97" s="70"/>
      <c r="M97" s="70">
        <v>1.0935</v>
      </c>
      <c r="N97" s="70">
        <v>1.198</v>
      </c>
      <c r="O97" s="70">
        <v>1.041</v>
      </c>
      <c r="P97" s="70">
        <v>1.105</v>
      </c>
      <c r="Q97" s="70">
        <v>1.1005</v>
      </c>
      <c r="R97" s="70">
        <v>1.1015000000000001</v>
      </c>
      <c r="S97" s="70">
        <v>1.102</v>
      </c>
      <c r="T97" s="70">
        <v>1.704</v>
      </c>
      <c r="U97" s="70">
        <v>1.01</v>
      </c>
      <c r="V97" s="70">
        <v>1.1795</v>
      </c>
      <c r="W97" s="70">
        <v>1.07</v>
      </c>
      <c r="X97" s="70">
        <v>1.4159</v>
      </c>
      <c r="Y97" s="70">
        <v>812.5</v>
      </c>
      <c r="Z97" s="70">
        <v>1.87</v>
      </c>
      <c r="AA97" s="70">
        <v>1.08145</v>
      </c>
      <c r="AB97" s="70">
        <v>1.1855</v>
      </c>
      <c r="AC97" s="70">
        <v>1.4725</v>
      </c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21"/>
      <c r="AX97" s="73">
        <v>20750.0</v>
      </c>
      <c r="AY97" s="73">
        <v>637.0</v>
      </c>
      <c r="AZ97" s="73">
        <v>6647.085593</v>
      </c>
      <c r="BA97" s="73">
        <v>23725.0</v>
      </c>
      <c r="BB97" s="73">
        <v>7150.0</v>
      </c>
      <c r="BC97" s="73">
        <v>9168.106853</v>
      </c>
      <c r="BD97" s="73"/>
      <c r="BE97" s="21"/>
      <c r="BF97" s="21"/>
      <c r="BG97" s="21">
        <v>2171272.38</v>
      </c>
      <c r="BH97" s="21"/>
      <c r="BI97" s="72"/>
      <c r="BJ97" s="21"/>
      <c r="BK97" s="72"/>
      <c r="BL97" s="21"/>
      <c r="BM97" s="72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</row>
    <row r="98" ht="15.75" customHeight="1">
      <c r="A98" s="56">
        <v>45820.0</v>
      </c>
      <c r="B98" s="70">
        <v>1190.0</v>
      </c>
      <c r="C98" s="70">
        <v>1180.0</v>
      </c>
      <c r="D98" s="70">
        <v>1226.5</v>
      </c>
      <c r="E98" s="70">
        <v>14.58</v>
      </c>
      <c r="F98" s="70"/>
      <c r="G98" s="70"/>
      <c r="H98" s="70">
        <v>2.0625</v>
      </c>
      <c r="I98" s="70">
        <v>1.6125</v>
      </c>
      <c r="J98" s="70"/>
      <c r="K98" s="70">
        <v>1.4706899999999998</v>
      </c>
      <c r="L98" s="70"/>
      <c r="M98" s="70">
        <v>1.0975</v>
      </c>
      <c r="N98" s="70">
        <v>1.2035</v>
      </c>
      <c r="O98" s="70">
        <v>1.041</v>
      </c>
      <c r="P98" s="70">
        <v>1.1055</v>
      </c>
      <c r="Q98" s="70">
        <v>1.1079999999999999</v>
      </c>
      <c r="R98" s="70">
        <v>1.11</v>
      </c>
      <c r="S98" s="70">
        <v>1.11</v>
      </c>
      <c r="T98" s="70">
        <v>1.7080000000000002</v>
      </c>
      <c r="U98" s="70">
        <v>1.01</v>
      </c>
      <c r="V98" s="70">
        <v>1.176</v>
      </c>
      <c r="W98" s="70">
        <v>1.091</v>
      </c>
      <c r="X98" s="70">
        <v>1.4175</v>
      </c>
      <c r="Y98" s="70">
        <v>812.3</v>
      </c>
      <c r="Z98" s="70">
        <v>1.871</v>
      </c>
      <c r="AA98" s="70">
        <v>1.084</v>
      </c>
      <c r="AB98" s="70">
        <v>1.1925</v>
      </c>
      <c r="AC98" s="70">
        <v>1.483</v>
      </c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21"/>
      <c r="AX98" s="73">
        <v>20750.0</v>
      </c>
      <c r="AY98" s="73">
        <v>644.0</v>
      </c>
      <c r="AZ98" s="73">
        <v>6647.085593</v>
      </c>
      <c r="BA98" s="73">
        <v>23500.0</v>
      </c>
      <c r="BB98" s="73">
        <v>7410.0</v>
      </c>
      <c r="BC98" s="73">
        <v>9187.865704</v>
      </c>
      <c r="BD98" s="73"/>
      <c r="BE98" s="21"/>
      <c r="BF98" s="21"/>
      <c r="BG98" s="21">
        <v>2187671.01</v>
      </c>
      <c r="BH98" s="21"/>
      <c r="BI98" s="72"/>
      <c r="BJ98" s="21"/>
      <c r="BK98" s="72"/>
      <c r="BL98" s="21"/>
      <c r="BM98" s="72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</row>
    <row r="99" ht="15.75" customHeight="1">
      <c r="A99" s="56">
        <v>45821.0</v>
      </c>
      <c r="B99" s="70">
        <v>1193.0</v>
      </c>
      <c r="C99" s="70">
        <v>1189.9</v>
      </c>
      <c r="D99" s="70">
        <v>1234.9</v>
      </c>
      <c r="E99" s="70">
        <v>14.675</v>
      </c>
      <c r="F99" s="70"/>
      <c r="G99" s="70"/>
      <c r="H99" s="70">
        <v>2.074</v>
      </c>
      <c r="I99" s="70">
        <v>1.619</v>
      </c>
      <c r="J99" s="70"/>
      <c r="K99" s="70">
        <v>1.4756200000000002</v>
      </c>
      <c r="L99" s="70"/>
      <c r="M99" s="70">
        <v>1.105</v>
      </c>
      <c r="N99" s="70">
        <v>1.2115</v>
      </c>
      <c r="O99" s="70">
        <v>1.041</v>
      </c>
      <c r="P99" s="70">
        <v>1.1195</v>
      </c>
      <c r="Q99" s="70">
        <v>1.1175</v>
      </c>
      <c r="R99" s="70">
        <v>1.1185</v>
      </c>
      <c r="S99" s="70">
        <v>1.1185</v>
      </c>
      <c r="T99" s="70">
        <v>1.715</v>
      </c>
      <c r="U99" s="70">
        <v>1.01</v>
      </c>
      <c r="V99" s="70">
        <v>1.1815</v>
      </c>
      <c r="W99" s="70">
        <v>1.099</v>
      </c>
      <c r="X99" s="70">
        <v>1.42324</v>
      </c>
      <c r="Y99" s="70">
        <v>798.1</v>
      </c>
      <c r="Z99" s="70">
        <v>1.8805</v>
      </c>
      <c r="AA99" s="70">
        <v>1.09</v>
      </c>
      <c r="AB99" s="70">
        <v>1.198</v>
      </c>
      <c r="AC99" s="70">
        <v>1.4875</v>
      </c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21"/>
      <c r="AX99" s="73">
        <v>21050.0</v>
      </c>
      <c r="AY99" s="73">
        <v>621.0</v>
      </c>
      <c r="AZ99" s="73">
        <v>6488.111946</v>
      </c>
      <c r="BA99" s="73">
        <v>23600.0</v>
      </c>
      <c r="BB99" s="73">
        <v>7130.0</v>
      </c>
      <c r="BC99" s="73">
        <v>8763.050408</v>
      </c>
      <c r="BD99" s="73"/>
      <c r="BE99" s="21"/>
      <c r="BF99" s="21"/>
      <c r="BG99" s="21">
        <v>2127156.22</v>
      </c>
      <c r="BH99" s="21"/>
      <c r="BI99" s="72"/>
      <c r="BJ99" s="21"/>
      <c r="BK99" s="72"/>
      <c r="BL99" s="21"/>
      <c r="BM99" s="72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</row>
    <row r="100" ht="15.75" customHeight="1">
      <c r="A100" s="56">
        <v>45825.0</v>
      </c>
      <c r="B100" s="70">
        <v>1187.1</v>
      </c>
      <c r="C100" s="70">
        <v>1184.5</v>
      </c>
      <c r="D100" s="70">
        <v>1215.0</v>
      </c>
      <c r="E100" s="70">
        <v>14.655</v>
      </c>
      <c r="F100" s="70"/>
      <c r="G100" s="70"/>
      <c r="H100" s="70">
        <v>2.0775</v>
      </c>
      <c r="I100" s="70">
        <v>1.619</v>
      </c>
      <c r="J100" s="70"/>
      <c r="K100" s="70">
        <v>1.4756200000000002</v>
      </c>
      <c r="L100" s="70"/>
      <c r="M100" s="70">
        <v>1.0985</v>
      </c>
      <c r="N100" s="70">
        <v>1.2009999999999998</v>
      </c>
      <c r="O100" s="70">
        <v>1.041</v>
      </c>
      <c r="P100" s="70">
        <v>1.1179999999999999</v>
      </c>
      <c r="Q100" s="70">
        <v>1.115</v>
      </c>
      <c r="R100" s="70">
        <v>1.113</v>
      </c>
      <c r="S100" s="70">
        <v>1.111</v>
      </c>
      <c r="T100" s="70">
        <v>1.71</v>
      </c>
      <c r="U100" s="70">
        <v>1.01</v>
      </c>
      <c r="V100" s="70">
        <v>1.182</v>
      </c>
      <c r="W100" s="70">
        <v>1.0925</v>
      </c>
      <c r="X100" s="70">
        <v>1.4212</v>
      </c>
      <c r="Y100" s="70">
        <v>793.0</v>
      </c>
      <c r="Z100" s="70">
        <v>1.8780000000000001</v>
      </c>
      <c r="AA100" s="70">
        <v>1.088</v>
      </c>
      <c r="AB100" s="70">
        <v>1.1915</v>
      </c>
      <c r="AC100" s="70">
        <v>1.484</v>
      </c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21"/>
      <c r="AX100" s="73">
        <v>20500.0</v>
      </c>
      <c r="AY100" s="73">
        <v>595.0</v>
      </c>
      <c r="AZ100" s="73">
        <v>6378.817564</v>
      </c>
      <c r="BA100" s="73">
        <v>23525.0</v>
      </c>
      <c r="BB100" s="73">
        <v>6750.0</v>
      </c>
      <c r="BC100" s="73">
        <v>8575.341323</v>
      </c>
      <c r="BD100" s="73"/>
      <c r="BE100" s="21"/>
      <c r="BF100" s="21"/>
      <c r="BG100" s="21">
        <v>2072440.28</v>
      </c>
      <c r="BH100" s="21"/>
      <c r="BI100" s="72"/>
      <c r="BJ100" s="21"/>
      <c r="BK100" s="72"/>
      <c r="BL100" s="21"/>
      <c r="BM100" s="72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</row>
    <row r="101" ht="15.75" customHeight="1">
      <c r="A101" s="56">
        <v>45826.0</v>
      </c>
      <c r="B101" s="70">
        <v>1187.0</v>
      </c>
      <c r="C101" s="70">
        <v>1198.9</v>
      </c>
      <c r="D101" s="70">
        <v>1250.0</v>
      </c>
      <c r="E101" s="70">
        <v>14.645</v>
      </c>
      <c r="F101" s="70"/>
      <c r="G101" s="70"/>
      <c r="H101" s="70">
        <v>2.0795</v>
      </c>
      <c r="I101" s="70">
        <v>1.621</v>
      </c>
      <c r="J101" s="70"/>
      <c r="K101" s="70">
        <v>1.4756200000000002</v>
      </c>
      <c r="L101" s="70"/>
      <c r="M101" s="70">
        <v>1.0865</v>
      </c>
      <c r="N101" s="70">
        <v>1.1945000000000001</v>
      </c>
      <c r="O101" s="70">
        <v>1.041</v>
      </c>
      <c r="P101" s="70">
        <v>1.121</v>
      </c>
      <c r="Q101" s="70">
        <v>1.1105</v>
      </c>
      <c r="R101" s="70">
        <v>1.1125</v>
      </c>
      <c r="S101" s="70">
        <v>1.107</v>
      </c>
      <c r="T101" s="70">
        <v>1.6945</v>
      </c>
      <c r="U101" s="70">
        <v>1.01</v>
      </c>
      <c r="V101" s="70">
        <v>1.1835</v>
      </c>
      <c r="W101" s="70">
        <v>1.0785</v>
      </c>
      <c r="X101" s="70">
        <v>1.42275</v>
      </c>
      <c r="Y101" s="70">
        <v>784.4</v>
      </c>
      <c r="Z101" s="70">
        <v>1.869</v>
      </c>
      <c r="AA101" s="70">
        <v>1.0898999999999999</v>
      </c>
      <c r="AB101" s="70">
        <v>1.188</v>
      </c>
      <c r="AC101" s="70">
        <v>1.4785</v>
      </c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21"/>
      <c r="AX101" s="73">
        <v>20075.0</v>
      </c>
      <c r="AY101" s="73">
        <v>587.0</v>
      </c>
      <c r="AZ101" s="73">
        <v>6299.330741</v>
      </c>
      <c r="BA101" s="73">
        <v>23425.0</v>
      </c>
      <c r="BB101" s="73">
        <v>6600.0</v>
      </c>
      <c r="BC101" s="73">
        <v>8525.944196</v>
      </c>
      <c r="BD101" s="73"/>
      <c r="BE101" s="21"/>
      <c r="BF101" s="21"/>
      <c r="BG101" s="21">
        <v>2050983.25</v>
      </c>
      <c r="BH101" s="21"/>
      <c r="BI101" s="72"/>
      <c r="BJ101" s="21"/>
      <c r="BK101" s="72"/>
      <c r="BL101" s="21"/>
      <c r="BM101" s="72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</row>
    <row r="102" ht="15.75" customHeight="1">
      <c r="A102" s="56">
        <v>45827.0</v>
      </c>
      <c r="B102" s="70">
        <v>1190.9</v>
      </c>
      <c r="C102" s="70">
        <v>1152.0</v>
      </c>
      <c r="D102" s="70">
        <v>1230.0</v>
      </c>
      <c r="E102" s="70">
        <v>14.68</v>
      </c>
      <c r="F102" s="70"/>
      <c r="G102" s="70"/>
      <c r="H102" s="70">
        <v>2.08</v>
      </c>
      <c r="I102" s="70">
        <v>1.6235</v>
      </c>
      <c r="J102" s="70"/>
      <c r="K102" s="70">
        <v>0.0</v>
      </c>
      <c r="L102" s="70"/>
      <c r="M102" s="70">
        <v>1.0875</v>
      </c>
      <c r="N102" s="70">
        <v>1.202</v>
      </c>
      <c r="O102" s="70">
        <v>1.0552</v>
      </c>
      <c r="P102" s="70">
        <v>1.125</v>
      </c>
      <c r="Q102" s="70">
        <v>1.1135</v>
      </c>
      <c r="R102" s="70">
        <v>1.115</v>
      </c>
      <c r="S102" s="70">
        <v>1.1085</v>
      </c>
      <c r="T102" s="70">
        <v>1.7085</v>
      </c>
      <c r="U102" s="70">
        <v>1.03</v>
      </c>
      <c r="V102" s="70">
        <v>1.1865</v>
      </c>
      <c r="W102" s="70">
        <v>1.0765</v>
      </c>
      <c r="X102" s="70">
        <v>1.4298</v>
      </c>
      <c r="Y102" s="70">
        <v>788.0</v>
      </c>
      <c r="Z102" s="70">
        <v>1.8815</v>
      </c>
      <c r="AA102" s="70">
        <v>1.0875</v>
      </c>
      <c r="AB102" s="70">
        <v>1.19</v>
      </c>
      <c r="AC102" s="70">
        <v>1.479</v>
      </c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21"/>
      <c r="AX102" s="73">
        <v>20075.0</v>
      </c>
      <c r="AY102" s="73">
        <v>591.0</v>
      </c>
      <c r="AZ102" s="73">
        <v>6329.1383</v>
      </c>
      <c r="BA102" s="73">
        <v>23250.0</v>
      </c>
      <c r="BB102" s="73">
        <v>6720.0</v>
      </c>
      <c r="BC102" s="73">
        <v>8555.582472</v>
      </c>
      <c r="BD102" s="73"/>
      <c r="BE102" s="21"/>
      <c r="BF102" s="21"/>
      <c r="BG102" s="21">
        <v>2064098.65</v>
      </c>
      <c r="BH102" s="21"/>
      <c r="BI102" s="72"/>
      <c r="BJ102" s="21"/>
      <c r="BK102" s="72"/>
      <c r="BL102" s="21"/>
      <c r="BM102" s="72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</row>
    <row r="103" ht="15.75" customHeight="1">
      <c r="A103" s="56">
        <v>45831.0</v>
      </c>
      <c r="B103" s="70">
        <v>1188.9</v>
      </c>
      <c r="C103" s="70">
        <v>1179.0</v>
      </c>
      <c r="D103" s="70">
        <v>1245.0</v>
      </c>
      <c r="E103" s="70">
        <v>14.64</v>
      </c>
      <c r="F103" s="70"/>
      <c r="G103" s="70"/>
      <c r="H103" s="70">
        <v>2.08</v>
      </c>
      <c r="I103" s="70">
        <v>1.62</v>
      </c>
      <c r="J103" s="70"/>
      <c r="K103" s="70">
        <v>0.0</v>
      </c>
      <c r="L103" s="70"/>
      <c r="M103" s="70">
        <v>1.075</v>
      </c>
      <c r="N103" s="70">
        <v>1.193</v>
      </c>
      <c r="O103" s="70">
        <v>1.0552</v>
      </c>
      <c r="P103" s="70">
        <v>1.115</v>
      </c>
      <c r="Q103" s="70">
        <v>1.1025</v>
      </c>
      <c r="R103" s="70">
        <v>1.0985</v>
      </c>
      <c r="S103" s="70">
        <v>1.0915000000000001</v>
      </c>
      <c r="T103" s="70">
        <v>1.704</v>
      </c>
      <c r="U103" s="70">
        <v>1.03</v>
      </c>
      <c r="V103" s="70">
        <v>1.186</v>
      </c>
      <c r="W103" s="70">
        <v>1.063</v>
      </c>
      <c r="X103" s="70">
        <v>1.4295</v>
      </c>
      <c r="Y103" s="70">
        <v>807.5</v>
      </c>
      <c r="Z103" s="70">
        <v>1.879</v>
      </c>
      <c r="AA103" s="70">
        <v>1.0865</v>
      </c>
      <c r="AB103" s="70">
        <v>1.1825</v>
      </c>
      <c r="AC103" s="70">
        <v>1.4794999999999998</v>
      </c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21"/>
      <c r="AX103" s="73">
        <v>19825.0</v>
      </c>
      <c r="AY103" s="73">
        <v>565.0</v>
      </c>
      <c r="AZ103" s="73">
        <v>5971.447595</v>
      </c>
      <c r="BA103" s="73">
        <v>24275.0</v>
      </c>
      <c r="BB103" s="73">
        <v>6470.0</v>
      </c>
      <c r="BC103" s="73">
        <v>8111.008326</v>
      </c>
      <c r="BD103" s="73"/>
      <c r="BE103" s="21"/>
      <c r="BF103" s="21"/>
      <c r="BG103" s="21">
        <v>1977115.89</v>
      </c>
      <c r="BH103" s="21"/>
      <c r="BI103" s="72"/>
      <c r="BJ103" s="21"/>
      <c r="BK103" s="72"/>
      <c r="BL103" s="21"/>
      <c r="BM103" s="72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</row>
    <row r="104" ht="15.75" customHeight="1">
      <c r="A104" s="56">
        <v>45832.0</v>
      </c>
      <c r="B104" s="70">
        <v>1186.0</v>
      </c>
      <c r="C104" s="70">
        <v>1162.5</v>
      </c>
      <c r="D104" s="70">
        <v>1227.8</v>
      </c>
      <c r="E104" s="70">
        <v>14.67</v>
      </c>
      <c r="F104" s="70"/>
      <c r="G104" s="70"/>
      <c r="H104" s="70">
        <v>2.084</v>
      </c>
      <c r="I104" s="70">
        <v>1.62</v>
      </c>
      <c r="J104" s="70"/>
      <c r="K104" s="70">
        <v>0.0</v>
      </c>
      <c r="L104" s="70"/>
      <c r="M104" s="70">
        <v>1.073</v>
      </c>
      <c r="N104" s="70">
        <v>1.1955</v>
      </c>
      <c r="O104" s="70">
        <v>1.0552</v>
      </c>
      <c r="P104" s="70">
        <v>1.1185</v>
      </c>
      <c r="Q104" s="70">
        <v>1.102</v>
      </c>
      <c r="R104" s="70">
        <v>1.1015000000000001</v>
      </c>
      <c r="S104" s="70">
        <v>1.092</v>
      </c>
      <c r="T104" s="70">
        <v>1.71</v>
      </c>
      <c r="U104" s="70">
        <v>1.03</v>
      </c>
      <c r="V104" s="70">
        <v>1.188</v>
      </c>
      <c r="W104" s="70">
        <v>1.0525</v>
      </c>
      <c r="X104" s="70">
        <v>1.4291</v>
      </c>
      <c r="Y104" s="70">
        <v>816.6</v>
      </c>
      <c r="Z104" s="70">
        <v>1.881</v>
      </c>
      <c r="AA104" s="70">
        <v>1.087</v>
      </c>
      <c r="AB104" s="70">
        <v>1.1840000000000002</v>
      </c>
      <c r="AC104" s="70">
        <v>1.4805000000000001</v>
      </c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21"/>
      <c r="AX104" s="73">
        <v>19825.0</v>
      </c>
      <c r="AY104" s="73">
        <v>607.0</v>
      </c>
      <c r="AZ104" s="73">
        <v>6249.651477</v>
      </c>
      <c r="BA104" s="73">
        <v>25050.0</v>
      </c>
      <c r="BB104" s="73">
        <v>7000.0</v>
      </c>
      <c r="BC104" s="73">
        <v>8614.859025</v>
      </c>
      <c r="BD104" s="73"/>
      <c r="BE104" s="21"/>
      <c r="BF104" s="21"/>
      <c r="BG104" s="21">
        <v>2064589.55</v>
      </c>
      <c r="BH104" s="21"/>
      <c r="BI104" s="72"/>
      <c r="BJ104" s="21"/>
      <c r="BK104" s="72"/>
      <c r="BL104" s="21"/>
      <c r="BM104" s="72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</row>
    <row r="105" ht="15.75" customHeight="1">
      <c r="A105" s="56">
        <v>45833.0</v>
      </c>
      <c r="B105" s="70">
        <v>1194.9</v>
      </c>
      <c r="C105" s="70">
        <v>1230.0</v>
      </c>
      <c r="D105" s="70">
        <v>1290.0</v>
      </c>
      <c r="E105" s="70">
        <v>14.65</v>
      </c>
      <c r="F105" s="70"/>
      <c r="G105" s="70"/>
      <c r="H105" s="70">
        <v>2.079</v>
      </c>
      <c r="I105" s="70">
        <v>1.619</v>
      </c>
      <c r="J105" s="70"/>
      <c r="K105" s="70">
        <v>0.0</v>
      </c>
      <c r="L105" s="70"/>
      <c r="M105" s="70">
        <v>1.071</v>
      </c>
      <c r="N105" s="70">
        <v>1.19</v>
      </c>
      <c r="O105" s="70">
        <v>1.0552</v>
      </c>
      <c r="P105" s="70">
        <v>1.117</v>
      </c>
      <c r="Q105" s="70">
        <v>1.101</v>
      </c>
      <c r="R105" s="70">
        <v>1.091</v>
      </c>
      <c r="S105" s="70">
        <v>1.089</v>
      </c>
      <c r="T105" s="70">
        <v>1.7009999999999998</v>
      </c>
      <c r="U105" s="70">
        <v>1.03</v>
      </c>
      <c r="V105" s="70">
        <v>1.1885</v>
      </c>
      <c r="W105" s="70">
        <v>1.051</v>
      </c>
      <c r="X105" s="70">
        <v>1.4321000000000002</v>
      </c>
      <c r="Y105" s="70">
        <v>820.8</v>
      </c>
      <c r="Z105" s="70">
        <v>1.8719999999999999</v>
      </c>
      <c r="AA105" s="70">
        <v>1.08208</v>
      </c>
      <c r="AB105" s="70">
        <v>1.18</v>
      </c>
      <c r="AC105" s="70">
        <v>1.479</v>
      </c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21"/>
      <c r="AX105" s="73">
        <v>19375.0</v>
      </c>
      <c r="AY105" s="73">
        <v>615.0</v>
      </c>
      <c r="AZ105" s="73">
        <v>6180.100506</v>
      </c>
      <c r="BA105" s="73">
        <v>25375.0</v>
      </c>
      <c r="BB105" s="73">
        <v>6780.0</v>
      </c>
      <c r="BC105" s="73">
        <v>8456.788218</v>
      </c>
      <c r="BD105" s="73"/>
      <c r="BE105" s="21"/>
      <c r="BF105" s="21"/>
      <c r="BG105" s="21">
        <v>2024392.67</v>
      </c>
      <c r="BH105" s="21"/>
      <c r="BI105" s="72"/>
      <c r="BJ105" s="21"/>
      <c r="BK105" s="72"/>
      <c r="BL105" s="21"/>
      <c r="BM105" s="72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</row>
    <row r="106" ht="15.75" customHeight="1">
      <c r="A106" s="56">
        <v>45834.0</v>
      </c>
      <c r="B106" s="70">
        <v>1200.0</v>
      </c>
      <c r="C106" s="70">
        <v>1190.0</v>
      </c>
      <c r="D106" s="70">
        <v>1225.6</v>
      </c>
      <c r="E106" s="70">
        <v>14.58</v>
      </c>
      <c r="F106" s="70"/>
      <c r="G106" s="70"/>
      <c r="H106" s="70">
        <v>2.0755</v>
      </c>
      <c r="I106" s="70">
        <v>1.6059999999999999</v>
      </c>
      <c r="J106" s="70"/>
      <c r="K106" s="70">
        <v>0.0</v>
      </c>
      <c r="L106" s="70"/>
      <c r="M106" s="70">
        <v>1.0615</v>
      </c>
      <c r="N106" s="70">
        <v>1.18</v>
      </c>
      <c r="O106" s="70">
        <v>1.0552</v>
      </c>
      <c r="P106" s="70">
        <v>1.1059999999999999</v>
      </c>
      <c r="Q106" s="70">
        <v>1.0875</v>
      </c>
      <c r="R106" s="70">
        <v>1.0785</v>
      </c>
      <c r="S106" s="70">
        <v>1.077</v>
      </c>
      <c r="T106" s="70">
        <v>1.695</v>
      </c>
      <c r="U106" s="70">
        <v>1.03</v>
      </c>
      <c r="V106" s="70">
        <v>1.1865</v>
      </c>
      <c r="W106" s="70">
        <v>1.042</v>
      </c>
      <c r="X106" s="70">
        <v>1.4344999999999999</v>
      </c>
      <c r="Y106" s="70">
        <v>827.9</v>
      </c>
      <c r="Z106" s="70">
        <v>1.864</v>
      </c>
      <c r="AA106" s="70">
        <v>1.083</v>
      </c>
      <c r="AB106" s="70">
        <v>1.1715</v>
      </c>
      <c r="AC106" s="70">
        <v>1.4715</v>
      </c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21"/>
      <c r="AX106" s="73">
        <v>19600.0</v>
      </c>
      <c r="AY106" s="73">
        <v>626.0</v>
      </c>
      <c r="AZ106" s="73">
        <v>6199.972212</v>
      </c>
      <c r="BA106" s="73">
        <v>25675.0</v>
      </c>
      <c r="BB106" s="73">
        <v>6790.0</v>
      </c>
      <c r="BC106" s="73">
        <v>8496.30592</v>
      </c>
      <c r="BD106" s="73"/>
      <c r="BE106" s="21"/>
      <c r="BF106" s="21"/>
      <c r="BG106" s="21">
        <v>2038948.45</v>
      </c>
      <c r="BH106" s="21"/>
      <c r="BI106" s="72"/>
      <c r="BJ106" s="21"/>
      <c r="BK106" s="72"/>
      <c r="BL106" s="21"/>
      <c r="BM106" s="72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</row>
    <row r="107" ht="15.75" customHeight="1">
      <c r="A107" s="56">
        <v>45835.0</v>
      </c>
      <c r="B107" s="70">
        <v>1199.0</v>
      </c>
      <c r="C107" s="70">
        <v>1188.0</v>
      </c>
      <c r="D107" s="70">
        <v>1238.0</v>
      </c>
      <c r="E107" s="70">
        <v>14.635</v>
      </c>
      <c r="F107" s="70"/>
      <c r="G107" s="70"/>
      <c r="H107" s="70">
        <v>2.08</v>
      </c>
      <c r="I107" s="70">
        <v>1.6155000000000002</v>
      </c>
      <c r="J107" s="70"/>
      <c r="K107" s="70">
        <v>0.0</v>
      </c>
      <c r="L107" s="70"/>
      <c r="M107" s="70">
        <v>1.069</v>
      </c>
      <c r="N107" s="70">
        <v>1.193</v>
      </c>
      <c r="O107" s="70">
        <v>1.0552</v>
      </c>
      <c r="P107" s="70">
        <v>1.112</v>
      </c>
      <c r="Q107" s="70">
        <v>1.094</v>
      </c>
      <c r="R107" s="70">
        <v>1.084</v>
      </c>
      <c r="S107" s="70">
        <v>1.0845</v>
      </c>
      <c r="T107" s="70">
        <v>1.695</v>
      </c>
      <c r="U107" s="70">
        <v>1.03</v>
      </c>
      <c r="V107" s="70">
        <v>1.1895</v>
      </c>
      <c r="W107" s="70">
        <v>1.0495</v>
      </c>
      <c r="X107" s="70">
        <v>1.43969</v>
      </c>
      <c r="Y107" s="70">
        <v>824.9</v>
      </c>
      <c r="Z107" s="70">
        <v>1.8675</v>
      </c>
      <c r="AA107" s="70">
        <v>1.0874</v>
      </c>
      <c r="AB107" s="70">
        <v>1.1845</v>
      </c>
      <c r="AC107" s="70">
        <v>1.4815</v>
      </c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21"/>
      <c r="AX107" s="73">
        <v>19325.0</v>
      </c>
      <c r="AY107" s="73">
        <v>630.0</v>
      </c>
      <c r="AZ107" s="73">
        <v>6170.164653</v>
      </c>
      <c r="BA107" s="73">
        <v>25625.0</v>
      </c>
      <c r="BB107" s="73">
        <v>6730.0</v>
      </c>
      <c r="BC107" s="73">
        <v>8509.3676</v>
      </c>
      <c r="BD107" s="73"/>
      <c r="BE107" s="21"/>
      <c r="BF107" s="21"/>
      <c r="BG107" s="21">
        <v>2041077.8</v>
      </c>
      <c r="BH107" s="21"/>
      <c r="BI107" s="72"/>
      <c r="BJ107" s="21"/>
      <c r="BK107" s="72"/>
      <c r="BL107" s="21"/>
      <c r="BM107" s="72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</row>
    <row r="108" ht="15.75" customHeight="1">
      <c r="A108" s="56">
        <v>45838.0</v>
      </c>
      <c r="B108" s="70">
        <v>1213.2</v>
      </c>
      <c r="C108" s="70">
        <v>1201.9</v>
      </c>
      <c r="D108" s="70">
        <v>1240.0</v>
      </c>
      <c r="E108" s="70">
        <v>14.65</v>
      </c>
      <c r="F108" s="70"/>
      <c r="G108" s="70"/>
      <c r="H108" s="70">
        <v>2.084</v>
      </c>
      <c r="I108" s="70">
        <v>1.6230000000000002</v>
      </c>
      <c r="J108" s="70"/>
      <c r="K108" s="70">
        <v>0.0</v>
      </c>
      <c r="L108" s="70"/>
      <c r="M108" s="70">
        <v>1.055</v>
      </c>
      <c r="N108" s="70">
        <v>1.192</v>
      </c>
      <c r="O108" s="70">
        <v>1.0552</v>
      </c>
      <c r="P108" s="70">
        <v>1.11</v>
      </c>
      <c r="Q108" s="70">
        <v>1.0845</v>
      </c>
      <c r="R108" s="70">
        <v>1.077</v>
      </c>
      <c r="S108" s="70">
        <v>1.074</v>
      </c>
      <c r="T108" s="70">
        <v>1.689</v>
      </c>
      <c r="U108" s="70">
        <v>1.03</v>
      </c>
      <c r="V108" s="70">
        <v>1.2065000000000001</v>
      </c>
      <c r="W108" s="70">
        <v>1.0390000000000001</v>
      </c>
      <c r="X108" s="70">
        <v>1.44059</v>
      </c>
      <c r="Y108" s="70">
        <v>829.5</v>
      </c>
      <c r="Z108" s="70">
        <v>1.86</v>
      </c>
      <c r="AA108" s="70">
        <v>1.0859999999999999</v>
      </c>
      <c r="AB108" s="70">
        <v>1.1840000000000002</v>
      </c>
      <c r="AC108" s="70">
        <v>1.482</v>
      </c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21"/>
      <c r="AX108" s="73">
        <v>19350.0</v>
      </c>
      <c r="AY108" s="73">
        <v>616.0</v>
      </c>
      <c r="AZ108" s="73">
        <v>6040.998566</v>
      </c>
      <c r="BA108" s="73">
        <v>26400.0</v>
      </c>
      <c r="BB108" s="73">
        <v>6580.0</v>
      </c>
      <c r="BC108" s="73">
        <v>8360.25485</v>
      </c>
      <c r="BD108" s="73"/>
      <c r="BE108" s="21"/>
      <c r="BF108" s="21"/>
      <c r="BG108" s="21">
        <v>1994824.53</v>
      </c>
      <c r="BH108" s="21"/>
      <c r="BI108" s="72"/>
      <c r="BJ108" s="21"/>
      <c r="BK108" s="72"/>
      <c r="BL108" s="21"/>
      <c r="BM108" s="72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</row>
    <row r="109" ht="15.75" customHeight="1">
      <c r="A109" s="56">
        <v>45839.0</v>
      </c>
      <c r="B109" s="70">
        <v>1230.0</v>
      </c>
      <c r="C109" s="70">
        <v>1222.0</v>
      </c>
      <c r="D109" s="70">
        <v>1265.0</v>
      </c>
      <c r="E109" s="70">
        <v>14.665</v>
      </c>
      <c r="F109" s="70"/>
      <c r="G109" s="70"/>
      <c r="H109" s="70">
        <v>2.09</v>
      </c>
      <c r="I109" s="70">
        <v>1.6235</v>
      </c>
      <c r="J109" s="70"/>
      <c r="K109" s="70">
        <v>0.0</v>
      </c>
      <c r="L109" s="70"/>
      <c r="M109" s="70">
        <v>1.0534999999999999</v>
      </c>
      <c r="N109" s="70">
        <v>1.1825</v>
      </c>
      <c r="O109" s="70">
        <v>1.0552</v>
      </c>
      <c r="P109" s="70">
        <v>1.1075</v>
      </c>
      <c r="Q109" s="70">
        <v>1.0795000000000001</v>
      </c>
      <c r="R109" s="70">
        <v>1.0665</v>
      </c>
      <c r="S109" s="70">
        <v>1.0645</v>
      </c>
      <c r="T109" s="70">
        <v>1.6835</v>
      </c>
      <c r="U109" s="70">
        <v>1.03</v>
      </c>
      <c r="V109" s="70">
        <v>1.197</v>
      </c>
      <c r="W109" s="70">
        <v>1.0295</v>
      </c>
      <c r="X109" s="70">
        <v>1.4422</v>
      </c>
      <c r="Y109" s="70">
        <v>843.7</v>
      </c>
      <c r="Z109" s="70">
        <v>1.8605</v>
      </c>
      <c r="AA109" s="70">
        <v>1.0847499999999999</v>
      </c>
      <c r="AB109" s="70">
        <v>1.1740000000000002</v>
      </c>
      <c r="AC109" s="70">
        <v>1.475</v>
      </c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21"/>
      <c r="AX109" s="73">
        <v>19450.0</v>
      </c>
      <c r="AY109" s="73">
        <v>612.0</v>
      </c>
      <c r="AZ109" s="73">
        <v>6150.292948</v>
      </c>
      <c r="BA109" s="73">
        <v>25700.0</v>
      </c>
      <c r="BB109" s="73">
        <v>6630.0</v>
      </c>
      <c r="BC109" s="73">
        <v>8469.6042</v>
      </c>
      <c r="BD109" s="73"/>
      <c r="BE109" s="21"/>
      <c r="BF109" s="21"/>
      <c r="BG109" s="21">
        <v>2031093.18</v>
      </c>
      <c r="BH109" s="21"/>
      <c r="BI109" s="72"/>
      <c r="BJ109" s="21"/>
      <c r="BK109" s="72"/>
      <c r="BL109" s="21"/>
      <c r="BM109" s="72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</row>
    <row r="110" ht="15.75" customHeight="1">
      <c r="A110" s="56">
        <v>45840.0</v>
      </c>
      <c r="B110" s="70">
        <v>1242.9</v>
      </c>
      <c r="C110" s="70">
        <v>1236.0</v>
      </c>
      <c r="D110" s="70">
        <v>1265.0</v>
      </c>
      <c r="E110" s="70">
        <v>14.77</v>
      </c>
      <c r="F110" s="70"/>
      <c r="G110" s="70"/>
      <c r="H110" s="70">
        <v>2.0980000000000003</v>
      </c>
      <c r="I110" s="70">
        <v>1.6344999999999998</v>
      </c>
      <c r="J110" s="70"/>
      <c r="K110" s="70">
        <v>0.0</v>
      </c>
      <c r="L110" s="70"/>
      <c r="M110" s="70">
        <v>1.0659999999999998</v>
      </c>
      <c r="N110" s="70">
        <v>1.198</v>
      </c>
      <c r="O110" s="70">
        <v>1.0552</v>
      </c>
      <c r="P110" s="70">
        <v>1.1155</v>
      </c>
      <c r="Q110" s="70">
        <v>1.0925</v>
      </c>
      <c r="R110" s="70">
        <v>1.0795000000000001</v>
      </c>
      <c r="S110" s="70">
        <v>1.0785</v>
      </c>
      <c r="T110" s="70">
        <v>1.6965000000000001</v>
      </c>
      <c r="U110" s="70">
        <v>1.03</v>
      </c>
      <c r="V110" s="70">
        <v>1.198</v>
      </c>
      <c r="W110" s="70">
        <v>1.0334999999999999</v>
      </c>
      <c r="X110" s="70">
        <v>1.4444</v>
      </c>
      <c r="Y110" s="70">
        <v>851.2</v>
      </c>
      <c r="Z110" s="70">
        <v>1.8730000000000002</v>
      </c>
      <c r="AA110" s="70">
        <v>1.091</v>
      </c>
      <c r="AB110" s="70">
        <v>1.1875</v>
      </c>
      <c r="AC110" s="70">
        <v>1.485</v>
      </c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21"/>
      <c r="AX110" s="73">
        <v>20050.0</v>
      </c>
      <c r="AY110" s="73">
        <v>638.0</v>
      </c>
      <c r="AZ110" s="73">
        <v>6190.036359</v>
      </c>
      <c r="BA110" s="73">
        <v>25425.0</v>
      </c>
      <c r="BB110" s="73">
        <v>6680.0</v>
      </c>
      <c r="BC110" s="73">
        <v>8519.30845</v>
      </c>
      <c r="BD110" s="73"/>
      <c r="BE110" s="21"/>
      <c r="BF110" s="21"/>
      <c r="BG110" s="21">
        <v>2063026.6</v>
      </c>
      <c r="BH110" s="21"/>
      <c r="BI110" s="72"/>
      <c r="BJ110" s="21"/>
      <c r="BK110" s="72"/>
      <c r="BL110" s="21"/>
      <c r="BM110" s="72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</row>
    <row r="111" ht="15.75" customHeight="1">
      <c r="A111" s="56">
        <v>45841.0</v>
      </c>
      <c r="B111" s="70">
        <v>1235.9</v>
      </c>
      <c r="C111" s="70">
        <v>1234.9</v>
      </c>
      <c r="D111" s="70">
        <v>1279.9</v>
      </c>
      <c r="E111" s="70">
        <v>14.795</v>
      </c>
      <c r="F111" s="70"/>
      <c r="G111" s="70"/>
      <c r="H111" s="70">
        <v>2.1</v>
      </c>
      <c r="I111" s="70">
        <v>1.635</v>
      </c>
      <c r="J111" s="70"/>
      <c r="K111" s="70">
        <v>0.0</v>
      </c>
      <c r="L111" s="70"/>
      <c r="M111" s="70">
        <v>1.0665</v>
      </c>
      <c r="N111" s="70">
        <v>1.198</v>
      </c>
      <c r="O111" s="70">
        <v>1.0552</v>
      </c>
      <c r="P111" s="70">
        <v>1.1185</v>
      </c>
      <c r="Q111" s="70">
        <v>1.0945</v>
      </c>
      <c r="R111" s="70">
        <v>1.082</v>
      </c>
      <c r="S111" s="70">
        <v>1.08</v>
      </c>
      <c r="T111" s="70">
        <v>1.699</v>
      </c>
      <c r="U111" s="70">
        <v>1.03</v>
      </c>
      <c r="V111" s="70">
        <v>1.2015</v>
      </c>
      <c r="W111" s="70">
        <v>1.0390000000000001</v>
      </c>
      <c r="X111" s="70">
        <v>1.4463</v>
      </c>
      <c r="Y111" s="70">
        <v>852.0</v>
      </c>
      <c r="Z111" s="70">
        <v>1.885</v>
      </c>
      <c r="AA111" s="70">
        <v>1.0943</v>
      </c>
      <c r="AB111" s="70">
        <v>1.1875</v>
      </c>
      <c r="AC111" s="70">
        <v>1.4880000000000002</v>
      </c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21"/>
      <c r="AX111" s="73">
        <v>19700.0</v>
      </c>
      <c r="AY111" s="73">
        <v>646.0</v>
      </c>
      <c r="AZ111" s="73">
        <v>6219.843918</v>
      </c>
      <c r="BA111" s="73">
        <v>25900.0</v>
      </c>
      <c r="BB111" s="73">
        <v>6640.0</v>
      </c>
      <c r="BC111" s="73">
        <v>8469.6042</v>
      </c>
      <c r="BD111" s="73"/>
      <c r="BE111" s="21"/>
      <c r="BF111" s="21"/>
      <c r="BG111" s="21">
        <v>2078160.8</v>
      </c>
      <c r="BH111" s="21"/>
      <c r="BI111" s="72"/>
      <c r="BJ111" s="21"/>
      <c r="BK111" s="72"/>
      <c r="BL111" s="21"/>
      <c r="BM111" s="72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</row>
    <row r="112" ht="15.75" customHeight="1">
      <c r="A112" s="56">
        <v>45842.0</v>
      </c>
      <c r="B112" s="70">
        <v>1252.8</v>
      </c>
      <c r="C112" s="70">
        <v>1246.5</v>
      </c>
      <c r="D112" s="70">
        <v>1285.1</v>
      </c>
      <c r="E112" s="70">
        <v>14.82</v>
      </c>
      <c r="F112" s="70"/>
      <c r="G112" s="70"/>
      <c r="H112" s="70">
        <v>2.1069999999999998</v>
      </c>
      <c r="I112" s="70">
        <v>1.6380000000000001</v>
      </c>
      <c r="J112" s="70"/>
      <c r="K112" s="70">
        <v>0.0</v>
      </c>
      <c r="L112" s="70"/>
      <c r="M112" s="70">
        <v>1.068</v>
      </c>
      <c r="N112" s="70">
        <v>1.2</v>
      </c>
      <c r="O112" s="70">
        <v>1.0552</v>
      </c>
      <c r="P112" s="70">
        <v>1.1265</v>
      </c>
      <c r="Q112" s="70">
        <v>1.1065</v>
      </c>
      <c r="R112" s="70">
        <v>1.09</v>
      </c>
      <c r="S112" s="70">
        <v>1.0885</v>
      </c>
      <c r="T112" s="70">
        <v>1.702</v>
      </c>
      <c r="U112" s="70">
        <v>1.03</v>
      </c>
      <c r="V112" s="70">
        <v>1.205</v>
      </c>
      <c r="W112" s="70">
        <v>1.044</v>
      </c>
      <c r="X112" s="70">
        <v>1.45</v>
      </c>
      <c r="Y112" s="70">
        <v>859.0</v>
      </c>
      <c r="Z112" s="70">
        <v>1.8875</v>
      </c>
      <c r="AA112" s="70">
        <v>1.0976000000000001</v>
      </c>
      <c r="AB112" s="70">
        <v>1.192</v>
      </c>
      <c r="AC112" s="70">
        <v>1.4945</v>
      </c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21"/>
      <c r="AX112" s="73">
        <v>19850.0</v>
      </c>
      <c r="AY112" s="73">
        <v>647.0</v>
      </c>
      <c r="AZ112" s="73">
        <v>6209.908065</v>
      </c>
      <c r="BA112" s="73">
        <v>25975.0</v>
      </c>
      <c r="BB112" s="73">
        <v>6670.0</v>
      </c>
      <c r="BC112" s="73">
        <v>8529.2493</v>
      </c>
      <c r="BD112" s="73"/>
      <c r="BE112" s="21"/>
      <c r="BF112" s="21"/>
      <c r="BG112" s="21">
        <v>2078697.04</v>
      </c>
      <c r="BH112" s="21"/>
      <c r="BI112" s="72"/>
      <c r="BJ112" s="21"/>
      <c r="BK112" s="72"/>
      <c r="BL112" s="21"/>
      <c r="BM112" s="72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</row>
    <row r="113" ht="15.75" customHeight="1">
      <c r="A113" s="56">
        <v>45845.0</v>
      </c>
      <c r="B113" s="70">
        <v>1274.0</v>
      </c>
      <c r="C113" s="70">
        <v>1272.0</v>
      </c>
      <c r="D113" s="70">
        <v>1350.0</v>
      </c>
      <c r="E113" s="70">
        <v>14.83</v>
      </c>
      <c r="F113" s="70"/>
      <c r="G113" s="70"/>
      <c r="H113" s="70">
        <v>2.112</v>
      </c>
      <c r="I113" s="70">
        <v>1.6375</v>
      </c>
      <c r="J113" s="70"/>
      <c r="K113" s="70">
        <v>0.0</v>
      </c>
      <c r="L113" s="70"/>
      <c r="M113" s="70">
        <v>1.06</v>
      </c>
      <c r="N113" s="70">
        <v>1.196</v>
      </c>
      <c r="O113" s="70">
        <v>1.0552</v>
      </c>
      <c r="P113" s="70">
        <v>1.123</v>
      </c>
      <c r="Q113" s="70">
        <v>1.1035</v>
      </c>
      <c r="R113" s="70">
        <v>1.0905</v>
      </c>
      <c r="S113" s="70">
        <v>1.0895000000000001</v>
      </c>
      <c r="T113" s="70">
        <v>1.702</v>
      </c>
      <c r="U113" s="70">
        <v>1.03</v>
      </c>
      <c r="V113" s="70">
        <v>1.207</v>
      </c>
      <c r="W113" s="70">
        <v>1.0390000000000001</v>
      </c>
      <c r="X113" s="70">
        <v>1.4515</v>
      </c>
      <c r="Y113" s="70">
        <v>868.7</v>
      </c>
      <c r="Z113" s="70">
        <v>1.89</v>
      </c>
      <c r="AA113" s="70">
        <v>1.097</v>
      </c>
      <c r="AB113" s="70">
        <v>1.187</v>
      </c>
      <c r="AC113" s="70">
        <v>1.4915</v>
      </c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21"/>
      <c r="AX113" s="73">
        <v>19975.0</v>
      </c>
      <c r="AY113" s="73">
        <v>638.0</v>
      </c>
      <c r="AZ113" s="73">
        <v>6151.2432</v>
      </c>
      <c r="BA113" s="73">
        <v>26525.0</v>
      </c>
      <c r="BB113" s="73">
        <v>6530.0</v>
      </c>
      <c r="BC113" s="73">
        <v>8370.1957</v>
      </c>
      <c r="BD113" s="73"/>
      <c r="BE113" s="21"/>
      <c r="BF113" s="21"/>
      <c r="BG113" s="21">
        <v>2049934.07</v>
      </c>
      <c r="BH113" s="21"/>
      <c r="BI113" s="72"/>
      <c r="BJ113" s="21"/>
      <c r="BK113" s="72"/>
      <c r="BL113" s="21"/>
      <c r="BM113" s="72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</row>
    <row r="114" ht="15.75" customHeight="1">
      <c r="A114" s="56">
        <v>45846.0</v>
      </c>
      <c r="B114" s="70">
        <v>1260.0</v>
      </c>
      <c r="C114" s="70">
        <v>1260.0</v>
      </c>
      <c r="D114" s="70">
        <v>1287.5</v>
      </c>
      <c r="E114" s="70">
        <v>14.865</v>
      </c>
      <c r="F114" s="70"/>
      <c r="G114" s="70"/>
      <c r="H114" s="70">
        <v>2.1165000000000003</v>
      </c>
      <c r="I114" s="70">
        <v>1.6425</v>
      </c>
      <c r="J114" s="70"/>
      <c r="K114" s="70">
        <v>0.0</v>
      </c>
      <c r="L114" s="70"/>
      <c r="M114" s="70">
        <v>1.074</v>
      </c>
      <c r="N114" s="70">
        <v>1.204</v>
      </c>
      <c r="O114" s="70">
        <v>1.06</v>
      </c>
      <c r="P114" s="70">
        <v>1.1284999999999998</v>
      </c>
      <c r="Q114" s="70">
        <v>1.1095</v>
      </c>
      <c r="R114" s="70">
        <v>1.0979999999999999</v>
      </c>
      <c r="S114" s="70">
        <v>1.0959999999999999</v>
      </c>
      <c r="T114" s="70">
        <v>1.7075</v>
      </c>
      <c r="U114" s="70">
        <v>1.035</v>
      </c>
      <c r="V114" s="70">
        <v>1.2085</v>
      </c>
      <c r="W114" s="70">
        <v>1.0505</v>
      </c>
      <c r="X114" s="70">
        <v>1.4535</v>
      </c>
      <c r="Y114" s="70">
        <v>858.9</v>
      </c>
      <c r="Z114" s="70">
        <v>1.89</v>
      </c>
      <c r="AA114" s="70">
        <v>1.102</v>
      </c>
      <c r="AB114" s="70">
        <v>1.196</v>
      </c>
      <c r="AC114" s="70">
        <v>1.4985</v>
      </c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21"/>
      <c r="AX114" s="73">
        <v>20300.0</v>
      </c>
      <c r="AY114" s="73">
        <v>625.0</v>
      </c>
      <c r="AZ114" s="73">
        <v>6350.6352</v>
      </c>
      <c r="BA114" s="73">
        <v>25975.0</v>
      </c>
      <c r="BB114" s="73">
        <v>6770.0</v>
      </c>
      <c r="BC114" s="73">
        <v>8797.65225</v>
      </c>
      <c r="BD114" s="73"/>
      <c r="BE114" s="21"/>
      <c r="BF114" s="21"/>
      <c r="BG114" s="21">
        <v>2129785.51</v>
      </c>
      <c r="BH114" s="21"/>
      <c r="BI114" s="72"/>
      <c r="BJ114" s="21"/>
      <c r="BK114" s="72"/>
      <c r="BL114" s="21"/>
      <c r="BM114" s="72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</row>
    <row r="115" ht="15.75" customHeight="1">
      <c r="A115" s="56">
        <v>45848.0</v>
      </c>
      <c r="B115" s="70">
        <v>1268.5</v>
      </c>
      <c r="C115" s="70">
        <v>1271.9</v>
      </c>
      <c r="D115" s="70">
        <v>1298.0</v>
      </c>
      <c r="E115" s="70">
        <v>14.885</v>
      </c>
      <c r="F115" s="70"/>
      <c r="G115" s="70"/>
      <c r="H115" s="70">
        <v>2.115</v>
      </c>
      <c r="I115" s="70">
        <v>1.646</v>
      </c>
      <c r="J115" s="70"/>
      <c r="K115" s="70">
        <v>0.0</v>
      </c>
      <c r="L115" s="70"/>
      <c r="M115" s="70">
        <v>1.081</v>
      </c>
      <c r="N115" s="70">
        <v>1.2115</v>
      </c>
      <c r="O115" s="70">
        <v>1.06</v>
      </c>
      <c r="P115" s="70">
        <v>1.1284999999999998</v>
      </c>
      <c r="Q115" s="70">
        <v>1.11</v>
      </c>
      <c r="R115" s="70">
        <v>1.0975</v>
      </c>
      <c r="S115" s="70">
        <v>1.0955</v>
      </c>
      <c r="T115" s="70">
        <v>1.7075</v>
      </c>
      <c r="U115" s="70">
        <v>1.035</v>
      </c>
      <c r="V115" s="70">
        <v>1.2125</v>
      </c>
      <c r="W115" s="70">
        <v>1.0615</v>
      </c>
      <c r="X115" s="70">
        <v>1.45631</v>
      </c>
      <c r="Y115" s="70">
        <v>766.0</v>
      </c>
      <c r="Z115" s="70">
        <v>1.892</v>
      </c>
      <c r="AA115" s="70">
        <v>1.1065</v>
      </c>
      <c r="AB115" s="70">
        <v>1.2035</v>
      </c>
      <c r="AC115" s="70">
        <v>1.507</v>
      </c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21"/>
      <c r="AX115" s="73">
        <v>20750.0</v>
      </c>
      <c r="AY115" s="73">
        <v>629.0</v>
      </c>
      <c r="AZ115" s="73">
        <v>6171.1824</v>
      </c>
      <c r="BA115" s="73">
        <v>25500.0</v>
      </c>
      <c r="BB115" s="73">
        <v>6510.0</v>
      </c>
      <c r="BC115" s="73">
        <v>8519.30845</v>
      </c>
      <c r="BD115" s="73"/>
      <c r="BE115" s="21"/>
      <c r="BF115" s="21"/>
      <c r="BG115" s="21">
        <v>2068736.04</v>
      </c>
      <c r="BH115" s="21"/>
      <c r="BI115" s="72"/>
      <c r="BJ115" s="21"/>
      <c r="BK115" s="72"/>
      <c r="BL115" s="21"/>
      <c r="BM115" s="72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</row>
    <row r="116" ht="15.75" customHeight="1">
      <c r="A116" s="56">
        <v>45849.0</v>
      </c>
      <c r="B116" s="70">
        <v>1275.0</v>
      </c>
      <c r="C116" s="70">
        <v>1287.8</v>
      </c>
      <c r="D116" s="70">
        <v>1296.0</v>
      </c>
      <c r="E116" s="70">
        <v>14.95</v>
      </c>
      <c r="F116" s="70"/>
      <c r="G116" s="70"/>
      <c r="H116" s="70">
        <v>2.128</v>
      </c>
      <c r="I116" s="70">
        <v>1.6505</v>
      </c>
      <c r="J116" s="70"/>
      <c r="K116" s="70">
        <v>0.0</v>
      </c>
      <c r="L116" s="70"/>
      <c r="M116" s="70">
        <v>1.092</v>
      </c>
      <c r="N116" s="70">
        <v>1.217</v>
      </c>
      <c r="O116" s="70">
        <v>1.06</v>
      </c>
      <c r="P116" s="70">
        <v>1.1305</v>
      </c>
      <c r="Q116" s="70">
        <v>1.107</v>
      </c>
      <c r="R116" s="70">
        <v>1.0925</v>
      </c>
      <c r="S116" s="70">
        <v>1.092</v>
      </c>
      <c r="T116" s="70">
        <v>1.706</v>
      </c>
      <c r="U116" s="70">
        <v>1.035</v>
      </c>
      <c r="V116" s="70">
        <v>1.219</v>
      </c>
      <c r="W116" s="70">
        <v>1.068</v>
      </c>
      <c r="X116" s="70">
        <v>1.46004</v>
      </c>
      <c r="Y116" s="70">
        <v>758.9</v>
      </c>
      <c r="Z116" s="70">
        <v>1.8955000000000002</v>
      </c>
      <c r="AA116" s="70">
        <v>1.1095</v>
      </c>
      <c r="AB116" s="70">
        <v>1.209</v>
      </c>
      <c r="AC116" s="70">
        <v>1.5130000000000001</v>
      </c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21"/>
      <c r="AX116" s="73">
        <v>19625.0</v>
      </c>
      <c r="AY116" s="73">
        <v>622.0</v>
      </c>
      <c r="AZ116" s="73">
        <v>5981.76</v>
      </c>
      <c r="BA116" s="73">
        <v>25300.0</v>
      </c>
      <c r="BB116" s="73">
        <v>6210.0</v>
      </c>
      <c r="BC116" s="73">
        <v>8260.84635</v>
      </c>
      <c r="BD116" s="73"/>
      <c r="BE116" s="21"/>
      <c r="BF116" s="21"/>
      <c r="BG116" s="21">
        <v>2007432.66</v>
      </c>
      <c r="BH116" s="21"/>
      <c r="BI116" s="72"/>
      <c r="BJ116" s="21"/>
      <c r="BK116" s="72"/>
      <c r="BL116" s="21"/>
      <c r="BM116" s="72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</row>
    <row r="117" ht="15.75" customHeight="1">
      <c r="A117" s="56">
        <v>45852.0</v>
      </c>
      <c r="B117" s="70">
        <v>1300.0</v>
      </c>
      <c r="C117" s="70">
        <v>1303.0</v>
      </c>
      <c r="D117" s="70">
        <v>1307.9</v>
      </c>
      <c r="E117" s="70">
        <v>14.96</v>
      </c>
      <c r="F117" s="70"/>
      <c r="G117" s="70"/>
      <c r="H117" s="70">
        <v>2.1315</v>
      </c>
      <c r="I117" s="70">
        <v>1.652</v>
      </c>
      <c r="J117" s="70"/>
      <c r="K117" s="70">
        <v>0.0</v>
      </c>
      <c r="L117" s="70"/>
      <c r="M117" s="70">
        <v>1.0855</v>
      </c>
      <c r="N117" s="70">
        <v>1.214</v>
      </c>
      <c r="O117" s="70">
        <v>1.06</v>
      </c>
      <c r="P117" s="70">
        <v>1.1275</v>
      </c>
      <c r="Q117" s="70">
        <v>1.1035</v>
      </c>
      <c r="R117" s="70">
        <v>1.0875</v>
      </c>
      <c r="S117" s="70">
        <v>1.089</v>
      </c>
      <c r="T117" s="70">
        <v>1.7035</v>
      </c>
      <c r="U117" s="70">
        <v>1.035</v>
      </c>
      <c r="V117" s="70">
        <v>1.2229999999999999</v>
      </c>
      <c r="W117" s="70">
        <v>1.0685</v>
      </c>
      <c r="X117" s="70">
        <v>1.4588999999999999</v>
      </c>
      <c r="Y117" s="70">
        <v>768.5</v>
      </c>
      <c r="Z117" s="70">
        <v>1.8984999999999999</v>
      </c>
      <c r="AA117" s="70">
        <v>1.113</v>
      </c>
      <c r="AB117" s="70">
        <v>1.204</v>
      </c>
      <c r="AC117" s="70">
        <v>1.5019999999999998</v>
      </c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21"/>
      <c r="AX117" s="73">
        <v>19625.0</v>
      </c>
      <c r="AY117" s="73">
        <v>658.0</v>
      </c>
      <c r="AZ117" s="73">
        <v>6061.5168</v>
      </c>
      <c r="BA117" s="73">
        <v>25775.0</v>
      </c>
      <c r="BB117" s="73">
        <v>6330.0</v>
      </c>
      <c r="BC117" s="73">
        <v>8380.13655</v>
      </c>
      <c r="BD117" s="73"/>
      <c r="BE117" s="21"/>
      <c r="BF117" s="21"/>
      <c r="BG117" s="21">
        <v>2064025.38</v>
      </c>
      <c r="BH117" s="21"/>
      <c r="BI117" s="72"/>
      <c r="BJ117" s="21"/>
      <c r="BK117" s="72"/>
      <c r="BL117" s="21"/>
      <c r="BM117" s="72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</row>
    <row r="118" ht="15.75" customHeight="1">
      <c r="A118" s="56">
        <v>45853.0</v>
      </c>
      <c r="B118" s="70">
        <v>1281.0</v>
      </c>
      <c r="C118" s="70">
        <v>1300.0</v>
      </c>
      <c r="D118" s="70">
        <v>1299.9</v>
      </c>
      <c r="E118" s="70">
        <v>14.855</v>
      </c>
      <c r="F118" s="70"/>
      <c r="G118" s="70"/>
      <c r="H118" s="70">
        <v>2.115</v>
      </c>
      <c r="I118" s="70">
        <v>1.64</v>
      </c>
      <c r="J118" s="70"/>
      <c r="K118" s="70">
        <v>0.0</v>
      </c>
      <c r="L118" s="70"/>
      <c r="M118" s="70">
        <v>1.0645</v>
      </c>
      <c r="N118" s="70">
        <v>1.199</v>
      </c>
      <c r="O118" s="70">
        <v>1.067</v>
      </c>
      <c r="P118" s="70">
        <v>1.124</v>
      </c>
      <c r="Q118" s="70">
        <v>1.1</v>
      </c>
      <c r="R118" s="70">
        <v>1.0805</v>
      </c>
      <c r="S118" s="70">
        <v>1.0775</v>
      </c>
      <c r="T118" s="70">
        <v>1.675</v>
      </c>
      <c r="U118" s="70">
        <v>1.037</v>
      </c>
      <c r="V118" s="70">
        <v>1.215</v>
      </c>
      <c r="W118" s="70">
        <v>1.052</v>
      </c>
      <c r="X118" s="70">
        <v>1.45515</v>
      </c>
      <c r="Y118" s="70">
        <v>760.0</v>
      </c>
      <c r="Z118" s="70">
        <v>1.8825</v>
      </c>
      <c r="AA118" s="70">
        <v>1.0965</v>
      </c>
      <c r="AB118" s="70">
        <v>1.1895</v>
      </c>
      <c r="AC118" s="70">
        <v>1.494</v>
      </c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21"/>
      <c r="AX118" s="73">
        <v>19375.0</v>
      </c>
      <c r="AY118" s="73">
        <v>655.0</v>
      </c>
      <c r="AZ118" s="73">
        <v>6061.5168</v>
      </c>
      <c r="BA118" s="73">
        <v>25500.0</v>
      </c>
      <c r="BB118" s="73">
        <v>6430.0</v>
      </c>
      <c r="BC118" s="73">
        <v>8350.314</v>
      </c>
      <c r="BD118" s="73"/>
      <c r="BE118" s="21"/>
      <c r="BF118" s="21"/>
      <c r="BG118" s="21">
        <v>2075071.76</v>
      </c>
      <c r="BH118" s="21"/>
      <c r="BI118" s="72"/>
      <c r="BJ118" s="21"/>
      <c r="BK118" s="72"/>
      <c r="BL118" s="21"/>
      <c r="BM118" s="72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</row>
    <row r="119" ht="15.75" customHeight="1">
      <c r="A119" s="56">
        <v>45854.0</v>
      </c>
      <c r="B119" s="70">
        <v>1310.0</v>
      </c>
      <c r="C119" s="70">
        <v>1289.9</v>
      </c>
      <c r="D119" s="70">
        <v>1280.0</v>
      </c>
      <c r="E119" s="70">
        <v>14.79</v>
      </c>
      <c r="F119" s="70"/>
      <c r="G119" s="70"/>
      <c r="H119" s="70">
        <v>2.115</v>
      </c>
      <c r="I119" s="70">
        <v>1.64</v>
      </c>
      <c r="J119" s="70"/>
      <c r="K119" s="70">
        <v>0.0</v>
      </c>
      <c r="L119" s="70"/>
      <c r="M119" s="70">
        <v>1.0659999999999998</v>
      </c>
      <c r="N119" s="70">
        <v>1.196</v>
      </c>
      <c r="O119" s="70">
        <v>1.067</v>
      </c>
      <c r="P119" s="70">
        <v>1.126</v>
      </c>
      <c r="Q119" s="70">
        <v>1.0979999999999999</v>
      </c>
      <c r="R119" s="70">
        <v>1.08</v>
      </c>
      <c r="S119" s="70">
        <v>1.0785</v>
      </c>
      <c r="T119" s="70">
        <v>1.666</v>
      </c>
      <c r="U119" s="70">
        <v>1.037</v>
      </c>
      <c r="V119" s="70">
        <v>1.207</v>
      </c>
      <c r="W119" s="70">
        <v>1.054</v>
      </c>
      <c r="X119" s="70">
        <v>1.4562</v>
      </c>
      <c r="Y119" s="70">
        <v>756.0</v>
      </c>
      <c r="Z119" s="70">
        <v>1.8840000000000001</v>
      </c>
      <c r="AA119" s="70">
        <v>1.095</v>
      </c>
      <c r="AB119" s="70">
        <v>1.188</v>
      </c>
      <c r="AC119" s="70">
        <v>1.494</v>
      </c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21"/>
      <c r="AX119" s="73">
        <v>18825.0</v>
      </c>
      <c r="AY119" s="73">
        <v>650.0</v>
      </c>
      <c r="AZ119" s="73">
        <v>5902.0032</v>
      </c>
      <c r="BA119" s="73">
        <v>25575.0</v>
      </c>
      <c r="BB119" s="73">
        <v>6270.0</v>
      </c>
      <c r="BC119" s="73">
        <v>7962.62085</v>
      </c>
      <c r="BD119" s="73"/>
      <c r="BE119" s="21"/>
      <c r="BF119" s="21"/>
      <c r="BG119" s="21">
        <v>2027274.12</v>
      </c>
      <c r="BH119" s="21"/>
      <c r="BI119" s="72"/>
      <c r="BJ119" s="21"/>
      <c r="BK119" s="72"/>
      <c r="BL119" s="21"/>
      <c r="BM119" s="72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</row>
    <row r="120" ht="15.75" customHeight="1">
      <c r="A120" s="56">
        <v>45855.0</v>
      </c>
      <c r="B120" s="70">
        <v>1312.9</v>
      </c>
      <c r="C120" s="70">
        <v>1308.0</v>
      </c>
      <c r="D120" s="70">
        <v>1263.2</v>
      </c>
      <c r="E120" s="70">
        <v>14.725</v>
      </c>
      <c r="F120" s="70"/>
      <c r="G120" s="70"/>
      <c r="H120" s="70">
        <v>2.11</v>
      </c>
      <c r="I120" s="70">
        <v>1.6295</v>
      </c>
      <c r="J120" s="70"/>
      <c r="K120" s="70">
        <v>0.0</v>
      </c>
      <c r="L120" s="70"/>
      <c r="M120" s="70">
        <v>1.0534999999999999</v>
      </c>
      <c r="N120" s="70">
        <v>1.181</v>
      </c>
      <c r="O120" s="70">
        <v>1.067</v>
      </c>
      <c r="P120" s="70">
        <v>1.114</v>
      </c>
      <c r="Q120" s="70">
        <v>1.0959999999999999</v>
      </c>
      <c r="R120" s="70">
        <v>1.0735</v>
      </c>
      <c r="S120" s="70">
        <v>1.0715000000000001</v>
      </c>
      <c r="T120" s="70">
        <v>1.653</v>
      </c>
      <c r="U120" s="70">
        <v>1.037</v>
      </c>
      <c r="V120" s="70">
        <v>1.203</v>
      </c>
      <c r="W120" s="70">
        <v>1.0545</v>
      </c>
      <c r="X120" s="70">
        <v>1.4568</v>
      </c>
      <c r="Y120" s="70">
        <v>754.0</v>
      </c>
      <c r="Z120" s="70">
        <v>1.87</v>
      </c>
      <c r="AA120" s="70">
        <v>1.0874</v>
      </c>
      <c r="AB120" s="70">
        <v>1.1795</v>
      </c>
      <c r="AC120" s="70">
        <v>1.4769999999999999</v>
      </c>
      <c r="AD120" s="70">
        <v>1.4585</v>
      </c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21"/>
      <c r="AX120" s="73">
        <v>19325.0</v>
      </c>
      <c r="AY120" s="73">
        <v>643.0</v>
      </c>
      <c r="AZ120" s="73">
        <v>6101.3952</v>
      </c>
      <c r="BA120" s="73">
        <v>25225.0</v>
      </c>
      <c r="BB120" s="73">
        <v>6500.0</v>
      </c>
      <c r="BC120" s="73">
        <v>8300.60975</v>
      </c>
      <c r="BD120" s="73"/>
      <c r="BE120" s="21"/>
      <c r="BF120" s="21"/>
      <c r="BG120" s="21">
        <v>2066134.29</v>
      </c>
      <c r="BH120" s="21"/>
      <c r="BI120" s="72"/>
      <c r="BJ120" s="21"/>
      <c r="BK120" s="72"/>
      <c r="BL120" s="21"/>
      <c r="BM120" s="72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</row>
    <row r="121" ht="15.75" customHeight="1">
      <c r="A121" s="56">
        <v>45856.0</v>
      </c>
      <c r="B121" s="70">
        <v>1299.4</v>
      </c>
      <c r="C121" s="70">
        <v>1334.5</v>
      </c>
      <c r="D121" s="70">
        <v>1296.0</v>
      </c>
      <c r="E121" s="70">
        <v>14.65</v>
      </c>
      <c r="F121" s="70"/>
      <c r="G121" s="70"/>
      <c r="H121" s="70">
        <v>2.1</v>
      </c>
      <c r="I121" s="70">
        <v>1.6275</v>
      </c>
      <c r="J121" s="70"/>
      <c r="K121" s="70">
        <v>0.0</v>
      </c>
      <c r="L121" s="70"/>
      <c r="M121" s="70">
        <v>1.05</v>
      </c>
      <c r="N121" s="70">
        <v>1.171</v>
      </c>
      <c r="O121" s="70">
        <v>1.067</v>
      </c>
      <c r="P121" s="70">
        <v>1.113</v>
      </c>
      <c r="Q121" s="70">
        <v>1.093</v>
      </c>
      <c r="R121" s="70">
        <v>1.0675</v>
      </c>
      <c r="S121" s="70">
        <v>1.0625</v>
      </c>
      <c r="T121" s="70">
        <v>1.645</v>
      </c>
      <c r="U121" s="70">
        <v>1.037</v>
      </c>
      <c r="V121" s="70">
        <v>1.209</v>
      </c>
      <c r="W121" s="70">
        <v>1.05</v>
      </c>
      <c r="X121" s="70">
        <v>1.46</v>
      </c>
      <c r="Y121" s="70">
        <v>758.5</v>
      </c>
      <c r="Z121" s="70">
        <v>1.8595</v>
      </c>
      <c r="AA121" s="70">
        <v>1.0864</v>
      </c>
      <c r="AB121" s="70">
        <v>1.172</v>
      </c>
      <c r="AC121" s="70">
        <v>1.4769999999999999</v>
      </c>
      <c r="AD121" s="70">
        <v>1.465</v>
      </c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21"/>
      <c r="AX121" s="73">
        <v>19250.0</v>
      </c>
      <c r="AY121" s="73">
        <v>657.0</v>
      </c>
      <c r="AZ121" s="73">
        <v>6081.456</v>
      </c>
      <c r="BA121" s="73">
        <v>26100.0</v>
      </c>
      <c r="BB121" s="73">
        <v>6480.0</v>
      </c>
      <c r="BC121" s="73">
        <v>8320.49145</v>
      </c>
      <c r="BD121" s="73"/>
      <c r="BE121" s="21"/>
      <c r="BF121" s="21"/>
      <c r="BG121" s="21">
        <v>2075286.29</v>
      </c>
      <c r="BH121" s="21"/>
      <c r="BI121" s="72"/>
      <c r="BJ121" s="21"/>
      <c r="BK121" s="72"/>
      <c r="BL121" s="21"/>
      <c r="BM121" s="72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</row>
    <row r="122" ht="15.75" customHeight="1">
      <c r="A122" s="56">
        <v>45859.0</v>
      </c>
      <c r="B122" s="70">
        <v>1287.0</v>
      </c>
      <c r="C122" s="70">
        <v>1304.6</v>
      </c>
      <c r="D122" s="70">
        <v>1275.1</v>
      </c>
      <c r="E122" s="70">
        <v>14.55</v>
      </c>
      <c r="F122" s="70"/>
      <c r="G122" s="70"/>
      <c r="H122" s="70">
        <v>2.0945</v>
      </c>
      <c r="I122" s="70">
        <v>1.607</v>
      </c>
      <c r="J122" s="70"/>
      <c r="K122" s="70">
        <v>0.0</v>
      </c>
      <c r="L122" s="70"/>
      <c r="M122" s="70">
        <v>1.037</v>
      </c>
      <c r="N122" s="70">
        <v>1.16</v>
      </c>
      <c r="O122" s="70">
        <v>1.067</v>
      </c>
      <c r="P122" s="70">
        <v>1.101</v>
      </c>
      <c r="Q122" s="70">
        <v>1.0675</v>
      </c>
      <c r="R122" s="70">
        <v>1.0585</v>
      </c>
      <c r="S122" s="70">
        <v>1.05</v>
      </c>
      <c r="T122" s="70">
        <v>1.62</v>
      </c>
      <c r="U122" s="70">
        <v>1.037</v>
      </c>
      <c r="V122" s="70">
        <v>1.189</v>
      </c>
      <c r="W122" s="70">
        <v>1.024</v>
      </c>
      <c r="X122" s="70">
        <v>1.455</v>
      </c>
      <c r="Y122" s="70">
        <v>751.3</v>
      </c>
      <c r="Z122" s="70">
        <v>1.819</v>
      </c>
      <c r="AA122" s="70">
        <v>1.0775</v>
      </c>
      <c r="AB122" s="70">
        <v>1.155</v>
      </c>
      <c r="AC122" s="70">
        <v>1.4625</v>
      </c>
      <c r="AD122" s="70">
        <v>1.443</v>
      </c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21"/>
      <c r="AX122" s="73">
        <v>18575.0</v>
      </c>
      <c r="AY122" s="73">
        <v>631.0</v>
      </c>
      <c r="AZ122" s="73">
        <v>6021.6384</v>
      </c>
      <c r="BA122" s="73">
        <v>25525.0</v>
      </c>
      <c r="BB122" s="73">
        <v>6380.0</v>
      </c>
      <c r="BC122" s="73">
        <v>8330.4323</v>
      </c>
      <c r="BD122" s="73"/>
      <c r="BE122" s="21"/>
      <c r="BF122" s="21"/>
      <c r="BG122" s="21">
        <v>2042465.47</v>
      </c>
      <c r="BH122" s="21"/>
      <c r="BI122" s="72"/>
      <c r="BJ122" s="21"/>
      <c r="BK122" s="72"/>
      <c r="BL122" s="21"/>
      <c r="BM122" s="72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</row>
    <row r="123" ht="15.75" customHeight="1">
      <c r="A123" s="56">
        <v>45860.0</v>
      </c>
      <c r="B123" s="70">
        <v>1268.9</v>
      </c>
      <c r="C123" s="70">
        <v>1267.0</v>
      </c>
      <c r="D123" s="70">
        <v>1268.1</v>
      </c>
      <c r="E123" s="70">
        <v>14.45</v>
      </c>
      <c r="F123" s="70"/>
      <c r="G123" s="70"/>
      <c r="H123" s="70">
        <v>2.086</v>
      </c>
      <c r="I123" s="70">
        <v>1.598</v>
      </c>
      <c r="J123" s="70"/>
      <c r="K123" s="70">
        <v>0.0</v>
      </c>
      <c r="L123" s="70"/>
      <c r="M123" s="70">
        <v>1.042</v>
      </c>
      <c r="N123" s="70">
        <v>1.1655</v>
      </c>
      <c r="O123" s="70">
        <v>1.0</v>
      </c>
      <c r="P123" s="70">
        <v>1.0975</v>
      </c>
      <c r="Q123" s="70">
        <v>1.0775</v>
      </c>
      <c r="R123" s="70">
        <v>1.0515</v>
      </c>
      <c r="S123" s="70">
        <v>1.041</v>
      </c>
      <c r="T123" s="70">
        <v>1.621</v>
      </c>
      <c r="U123" s="70">
        <v>1.037</v>
      </c>
      <c r="V123" s="70">
        <v>1.209</v>
      </c>
      <c r="W123" s="70">
        <v>1.0270000000000001</v>
      </c>
      <c r="X123" s="70">
        <v>1.459</v>
      </c>
      <c r="Y123" s="70">
        <v>743.0</v>
      </c>
      <c r="Z123" s="70">
        <v>1.821</v>
      </c>
      <c r="AA123" s="70">
        <v>1.0749</v>
      </c>
      <c r="AB123" s="70">
        <v>1.1525</v>
      </c>
      <c r="AC123" s="70">
        <v>1.4655</v>
      </c>
      <c r="AD123" s="70">
        <v>1.45</v>
      </c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21"/>
      <c r="AX123" s="73">
        <v>18125.0</v>
      </c>
      <c r="AY123" s="73">
        <v>617.0</v>
      </c>
      <c r="AZ123" s="73">
        <v>6011.6688</v>
      </c>
      <c r="BA123" s="73">
        <v>25175.0</v>
      </c>
      <c r="BB123" s="73">
        <v>6200.0</v>
      </c>
      <c r="BC123" s="73">
        <v>8300.60975</v>
      </c>
      <c r="BD123" s="73"/>
      <c r="BE123" s="21"/>
      <c r="BF123" s="21"/>
      <c r="BG123" s="21">
        <v>2010482.18</v>
      </c>
      <c r="BH123" s="21"/>
      <c r="BI123" s="72"/>
      <c r="BJ123" s="21"/>
      <c r="BK123" s="72"/>
      <c r="BL123" s="21"/>
      <c r="BM123" s="72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</row>
    <row r="124" ht="15.75" customHeight="1">
      <c r="A124" s="56">
        <v>45861.0</v>
      </c>
      <c r="B124" s="70">
        <v>1271.1</v>
      </c>
      <c r="C124" s="70">
        <v>1278.7</v>
      </c>
      <c r="D124" s="70">
        <v>1245.0</v>
      </c>
      <c r="E124" s="70">
        <v>14.75</v>
      </c>
      <c r="F124" s="70"/>
      <c r="G124" s="70"/>
      <c r="H124" s="70">
        <v>2.1185</v>
      </c>
      <c r="I124" s="70">
        <v>1.62</v>
      </c>
      <c r="J124" s="70"/>
      <c r="K124" s="70">
        <v>0.0</v>
      </c>
      <c r="L124" s="70"/>
      <c r="M124" s="70">
        <v>1.0490000000000002</v>
      </c>
      <c r="N124" s="70">
        <v>1.175</v>
      </c>
      <c r="O124" s="70">
        <v>1.0</v>
      </c>
      <c r="P124" s="70">
        <v>1.1125</v>
      </c>
      <c r="Q124" s="70">
        <v>1.093</v>
      </c>
      <c r="R124" s="70">
        <v>1.0659999999999998</v>
      </c>
      <c r="S124" s="70">
        <v>1.058</v>
      </c>
      <c r="T124" s="70">
        <v>1.655</v>
      </c>
      <c r="U124" s="70">
        <v>1.037</v>
      </c>
      <c r="V124" s="70">
        <v>1.2075</v>
      </c>
      <c r="W124" s="70">
        <v>1.037</v>
      </c>
      <c r="X124" s="70">
        <v>1.464</v>
      </c>
      <c r="Y124" s="70">
        <v>743.5</v>
      </c>
      <c r="Z124" s="70">
        <v>1.8625</v>
      </c>
      <c r="AA124" s="70">
        <v>1.0857999999999999</v>
      </c>
      <c r="AB124" s="70">
        <v>1.168</v>
      </c>
      <c r="AC124" s="70">
        <v>1.48</v>
      </c>
      <c r="AD124" s="70">
        <v>1.4575</v>
      </c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21"/>
      <c r="AX124" s="73">
        <v>18725.0</v>
      </c>
      <c r="AY124" s="73">
        <v>621.0</v>
      </c>
      <c r="AZ124" s="73">
        <v>6211.0608</v>
      </c>
      <c r="BA124" s="73">
        <v>25250.0</v>
      </c>
      <c r="BB124" s="73">
        <v>6450.0</v>
      </c>
      <c r="BC124" s="73">
        <v>8539.19015</v>
      </c>
      <c r="BD124" s="73"/>
      <c r="BE124" s="21"/>
      <c r="BF124" s="21"/>
      <c r="BG124" s="21">
        <v>2083677.16</v>
      </c>
      <c r="BH124" s="21"/>
      <c r="BI124" s="72"/>
      <c r="BJ124" s="21"/>
      <c r="BK124" s="72"/>
      <c r="BL124" s="21"/>
      <c r="BM124" s="72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</row>
    <row r="125" ht="15.75" customHeight="1">
      <c r="A125" s="56">
        <v>45862.0</v>
      </c>
      <c r="B125" s="70">
        <v>1250.4</v>
      </c>
      <c r="C125" s="70">
        <v>1267.0</v>
      </c>
      <c r="D125" s="70">
        <v>1277.8</v>
      </c>
      <c r="E125" s="70">
        <v>14.765</v>
      </c>
      <c r="F125" s="70"/>
      <c r="G125" s="70"/>
      <c r="H125" s="70">
        <v>2.1175</v>
      </c>
      <c r="I125" s="70">
        <v>1.63</v>
      </c>
      <c r="J125" s="70"/>
      <c r="K125" s="70">
        <v>0.0</v>
      </c>
      <c r="L125" s="70"/>
      <c r="M125" s="70">
        <v>1.06</v>
      </c>
      <c r="N125" s="70">
        <v>1.1845</v>
      </c>
      <c r="O125" s="70">
        <v>1.0</v>
      </c>
      <c r="P125" s="70">
        <v>1.129</v>
      </c>
      <c r="Q125" s="70">
        <v>1.1025</v>
      </c>
      <c r="R125" s="70">
        <v>1.081</v>
      </c>
      <c r="S125" s="70">
        <v>1.072</v>
      </c>
      <c r="T125" s="70">
        <v>1.672</v>
      </c>
      <c r="U125" s="70">
        <v>1.037</v>
      </c>
      <c r="V125" s="70">
        <v>1.214</v>
      </c>
      <c r="W125" s="70">
        <v>1.0465</v>
      </c>
      <c r="X125" s="70">
        <v>1.4675</v>
      </c>
      <c r="Y125" s="70">
        <v>757.6</v>
      </c>
      <c r="Z125" s="70">
        <v>1.868</v>
      </c>
      <c r="AA125" s="70">
        <v>1.0914</v>
      </c>
      <c r="AB125" s="70">
        <v>1.177</v>
      </c>
      <c r="AC125" s="70">
        <v>1.4894999999999998</v>
      </c>
      <c r="AD125" s="70">
        <v>1.4665000000000001</v>
      </c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21"/>
      <c r="AX125" s="73">
        <v>18600.0</v>
      </c>
      <c r="AY125" s="73">
        <v>631.0</v>
      </c>
      <c r="AZ125" s="73">
        <v>6480.24</v>
      </c>
      <c r="BA125" s="73">
        <v>25475.0</v>
      </c>
      <c r="BB125" s="73">
        <v>6680.0</v>
      </c>
      <c r="BC125" s="73">
        <v>8877.17905</v>
      </c>
      <c r="BD125" s="73"/>
      <c r="BE125" s="21"/>
      <c r="BF125" s="21"/>
      <c r="BG125" s="21">
        <v>2135086.53</v>
      </c>
      <c r="BH125" s="21"/>
      <c r="BI125" s="72"/>
      <c r="BJ125" s="21"/>
      <c r="BK125" s="72"/>
      <c r="BL125" s="21"/>
      <c r="BM125" s="72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</row>
    <row r="126" ht="15.75" customHeight="1">
      <c r="A126" s="56">
        <v>45863.0</v>
      </c>
      <c r="B126" s="70">
        <v>1270.0</v>
      </c>
      <c r="C126" s="70">
        <v>1293.0</v>
      </c>
      <c r="D126" s="70">
        <v>1299.8</v>
      </c>
      <c r="E126" s="70">
        <v>14.61</v>
      </c>
      <c r="F126" s="70"/>
      <c r="G126" s="70"/>
      <c r="H126" s="70">
        <v>2.1075</v>
      </c>
      <c r="I126" s="70">
        <v>1.619</v>
      </c>
      <c r="J126" s="70"/>
      <c r="K126" s="70">
        <v>0.0</v>
      </c>
      <c r="L126" s="70"/>
      <c r="M126" s="70">
        <v>1.0465</v>
      </c>
      <c r="N126" s="70">
        <v>1.172</v>
      </c>
      <c r="O126" s="70">
        <v>1.0</v>
      </c>
      <c r="P126" s="70">
        <v>1.123</v>
      </c>
      <c r="Q126" s="70">
        <v>1.0935</v>
      </c>
      <c r="R126" s="70">
        <v>1.079</v>
      </c>
      <c r="S126" s="70">
        <v>1.062</v>
      </c>
      <c r="T126" s="70">
        <v>1.653</v>
      </c>
      <c r="U126" s="70">
        <v>1.037</v>
      </c>
      <c r="V126" s="70">
        <v>1.215</v>
      </c>
      <c r="W126" s="70">
        <v>1.04</v>
      </c>
      <c r="X126" s="70">
        <v>1.4709999999999999</v>
      </c>
      <c r="Y126" s="70">
        <v>768.5</v>
      </c>
      <c r="Z126" s="70">
        <v>1.86</v>
      </c>
      <c r="AA126" s="70">
        <v>1.0927</v>
      </c>
      <c r="AB126" s="70">
        <v>1.1684999999999999</v>
      </c>
      <c r="AC126" s="70">
        <v>1.4785</v>
      </c>
      <c r="AD126" s="70">
        <v>1.4625</v>
      </c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21"/>
      <c r="AX126" s="73">
        <v>19125.0</v>
      </c>
      <c r="AY126" s="73">
        <v>660.0</v>
      </c>
      <c r="AZ126" s="73">
        <v>6619.8144</v>
      </c>
      <c r="BA126" s="73">
        <v>25375.0</v>
      </c>
      <c r="BB126" s="73">
        <v>6850.0</v>
      </c>
      <c r="BC126" s="73">
        <v>9135.64115</v>
      </c>
      <c r="BD126" s="73"/>
      <c r="BE126" s="21"/>
      <c r="BF126" s="21"/>
      <c r="BG126" s="21">
        <v>2197098.38</v>
      </c>
      <c r="BH126" s="21"/>
      <c r="BI126" s="72"/>
      <c r="BJ126" s="21"/>
      <c r="BK126" s="72"/>
      <c r="BL126" s="21"/>
      <c r="BM126" s="72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</row>
    <row r="127" ht="15.75" customHeight="1">
      <c r="A127" s="56">
        <v>45866.0</v>
      </c>
      <c r="B127" s="70">
        <v>1300.0</v>
      </c>
      <c r="C127" s="70">
        <v>1295.0</v>
      </c>
      <c r="D127" s="70">
        <v>1296.0</v>
      </c>
      <c r="E127" s="70">
        <v>14.485</v>
      </c>
      <c r="F127" s="70"/>
      <c r="G127" s="70"/>
      <c r="H127" s="70">
        <v>2.1</v>
      </c>
      <c r="I127" s="70">
        <v>1.607</v>
      </c>
      <c r="J127" s="70"/>
      <c r="K127" s="70">
        <v>0.0</v>
      </c>
      <c r="L127" s="70"/>
      <c r="M127" s="70">
        <v>1.031</v>
      </c>
      <c r="N127" s="70">
        <v>1.1640000000000001</v>
      </c>
      <c r="O127" s="70">
        <v>1.005</v>
      </c>
      <c r="P127" s="70">
        <v>1.113</v>
      </c>
      <c r="Q127" s="70">
        <v>1.0845</v>
      </c>
      <c r="R127" s="70">
        <v>1.0665</v>
      </c>
      <c r="S127" s="70">
        <v>1.052</v>
      </c>
      <c r="T127" s="70">
        <v>1.6425</v>
      </c>
      <c r="U127" s="70">
        <v>1.037</v>
      </c>
      <c r="V127" s="70">
        <v>1.209</v>
      </c>
      <c r="W127" s="70">
        <v>1.028</v>
      </c>
      <c r="X127" s="70">
        <v>1.4725</v>
      </c>
      <c r="Y127" s="70">
        <v>778.9</v>
      </c>
      <c r="Z127" s="70">
        <v>1.8375</v>
      </c>
      <c r="AA127" s="70">
        <v>1.0875</v>
      </c>
      <c r="AB127" s="70">
        <v>1.1615</v>
      </c>
      <c r="AC127" s="70">
        <v>1.4794999999999998</v>
      </c>
      <c r="AD127" s="70">
        <v>1.4555</v>
      </c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21"/>
      <c r="AX127" s="73">
        <v>18925.0</v>
      </c>
      <c r="AY127" s="73">
        <v>658.0</v>
      </c>
      <c r="AZ127" s="73">
        <v>6599.8752</v>
      </c>
      <c r="BA127" s="73">
        <v>25475.0</v>
      </c>
      <c r="BB127" s="73">
        <v>6800.0</v>
      </c>
      <c r="BC127" s="73">
        <v>9075.99605</v>
      </c>
      <c r="BD127" s="73"/>
      <c r="BE127" s="21"/>
      <c r="BF127" s="21"/>
      <c r="BG127" s="21">
        <v>2213570.17</v>
      </c>
      <c r="BH127" s="21"/>
      <c r="BI127" s="72"/>
      <c r="BJ127" s="21"/>
      <c r="BK127" s="72"/>
      <c r="BL127" s="21"/>
      <c r="BM127" s="72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</row>
    <row r="128" ht="15.75" customHeight="1">
      <c r="A128" s="56">
        <v>45867.0</v>
      </c>
      <c r="B128" s="70">
        <v>1272.0</v>
      </c>
      <c r="C128" s="70">
        <v>1295.0</v>
      </c>
      <c r="D128" s="70">
        <v>1301.2</v>
      </c>
      <c r="E128" s="70">
        <v>14.46</v>
      </c>
      <c r="F128" s="70"/>
      <c r="G128" s="70"/>
      <c r="H128" s="70">
        <v>2.084</v>
      </c>
      <c r="I128" s="70">
        <v>1.601</v>
      </c>
      <c r="J128" s="70"/>
      <c r="K128" s="70">
        <v>0.0</v>
      </c>
      <c r="L128" s="70"/>
      <c r="M128" s="70">
        <v>1.0275</v>
      </c>
      <c r="N128" s="70">
        <v>1.162</v>
      </c>
      <c r="O128" s="70">
        <v>1.005</v>
      </c>
      <c r="P128" s="70">
        <v>1.1059999999999999</v>
      </c>
      <c r="Q128" s="70">
        <v>1.0759999999999998</v>
      </c>
      <c r="R128" s="70">
        <v>1.0585</v>
      </c>
      <c r="S128" s="70">
        <v>1.045</v>
      </c>
      <c r="T128" s="70">
        <v>1.6355000000000002</v>
      </c>
      <c r="U128" s="70">
        <v>1.037</v>
      </c>
      <c r="V128" s="70">
        <v>1.198</v>
      </c>
      <c r="W128" s="70">
        <v>1.0290000000000001</v>
      </c>
      <c r="X128" s="70">
        <v>1.4756</v>
      </c>
      <c r="Y128" s="70">
        <v>773.5</v>
      </c>
      <c r="Z128" s="70">
        <v>1.829</v>
      </c>
      <c r="AA128" s="70">
        <v>1.0765</v>
      </c>
      <c r="AB128" s="70">
        <v>1.1565</v>
      </c>
      <c r="AC128" s="70">
        <v>1.4685</v>
      </c>
      <c r="AD128" s="70">
        <v>1.4469999999999998</v>
      </c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21"/>
      <c r="AX128" s="73">
        <v>19875.0</v>
      </c>
      <c r="AY128" s="73">
        <v>665.0</v>
      </c>
      <c r="AZ128" s="73">
        <v>6809.2368</v>
      </c>
      <c r="BA128" s="73">
        <v>25725.0</v>
      </c>
      <c r="BB128" s="73">
        <v>7130.0</v>
      </c>
      <c r="BC128" s="73">
        <v>9480.0</v>
      </c>
      <c r="BD128" s="73"/>
      <c r="BE128" s="21"/>
      <c r="BF128" s="21"/>
      <c r="BG128" s="21">
        <v>2304342.57</v>
      </c>
      <c r="BH128" s="21"/>
      <c r="BI128" s="72"/>
      <c r="BJ128" s="21"/>
      <c r="BK128" s="72"/>
      <c r="BL128" s="21"/>
      <c r="BM128" s="72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</row>
    <row r="129" ht="15.75" customHeight="1">
      <c r="A129" s="56">
        <v>45868.0</v>
      </c>
      <c r="B129" s="70">
        <v>1301.0</v>
      </c>
      <c r="C129" s="70">
        <v>1304.5</v>
      </c>
      <c r="D129" s="70">
        <v>1324.7</v>
      </c>
      <c r="E129" s="70">
        <v>14.5</v>
      </c>
      <c r="F129" s="70"/>
      <c r="G129" s="70"/>
      <c r="H129" s="70">
        <v>2.09</v>
      </c>
      <c r="I129" s="70">
        <v>1.608</v>
      </c>
      <c r="J129" s="70"/>
      <c r="K129" s="70">
        <v>0.0</v>
      </c>
      <c r="L129" s="70"/>
      <c r="M129" s="70">
        <v>1.0315</v>
      </c>
      <c r="N129" s="70">
        <v>1.1695</v>
      </c>
      <c r="O129" s="70">
        <v>1.005</v>
      </c>
      <c r="P129" s="70">
        <v>1.1059999999999999</v>
      </c>
      <c r="Q129" s="70">
        <v>1.078</v>
      </c>
      <c r="R129" s="70">
        <v>1.054</v>
      </c>
      <c r="S129" s="70">
        <v>1.0490000000000002</v>
      </c>
      <c r="T129" s="70">
        <v>1.635</v>
      </c>
      <c r="U129" s="70">
        <v>1.037</v>
      </c>
      <c r="V129" s="70">
        <v>1.2015</v>
      </c>
      <c r="W129" s="70">
        <v>1.023</v>
      </c>
      <c r="X129" s="70">
        <v>1.4756</v>
      </c>
      <c r="Y129" s="70">
        <v>799.5</v>
      </c>
      <c r="Z129" s="70">
        <v>1.82</v>
      </c>
      <c r="AA129" s="70">
        <v>1.082</v>
      </c>
      <c r="AB129" s="70">
        <v>1.16</v>
      </c>
      <c r="AC129" s="70">
        <v>1.4769999999999999</v>
      </c>
      <c r="AD129" s="70">
        <v>1.4585</v>
      </c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21"/>
      <c r="AX129" s="73">
        <v>19975.0</v>
      </c>
      <c r="AY129" s="73">
        <v>694.0</v>
      </c>
      <c r="AZ129" s="73">
        <v>6829.176</v>
      </c>
      <c r="BA129" s="73">
        <v>26150.0</v>
      </c>
      <c r="BB129" s="73">
        <v>7190.0</v>
      </c>
      <c r="BC129" s="73">
        <v>9420.0</v>
      </c>
      <c r="BD129" s="73"/>
      <c r="BE129" s="21"/>
      <c r="BF129" s="21"/>
      <c r="BG129" s="21">
        <v>2306756.29</v>
      </c>
      <c r="BH129" s="21"/>
      <c r="BI129" s="72"/>
      <c r="BJ129" s="21"/>
      <c r="BK129" s="72"/>
      <c r="BL129" s="21"/>
      <c r="BM129" s="72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</row>
    <row r="130" ht="15.75" customHeight="1">
      <c r="A130" s="56">
        <v>45869.0</v>
      </c>
      <c r="B130" s="70">
        <v>1368.0</v>
      </c>
      <c r="C130" s="70">
        <v>1348.0</v>
      </c>
      <c r="D130" s="70">
        <v>1358.0</v>
      </c>
      <c r="E130" s="70">
        <v>14.85</v>
      </c>
      <c r="F130" s="70"/>
      <c r="G130" s="70"/>
      <c r="H130" s="70">
        <v>2.13</v>
      </c>
      <c r="I130" s="70">
        <v>1.6425</v>
      </c>
      <c r="J130" s="70"/>
      <c r="K130" s="70">
        <v>0.0</v>
      </c>
      <c r="L130" s="70"/>
      <c r="M130" s="70">
        <v>1.0615</v>
      </c>
      <c r="N130" s="70">
        <v>1.1909999999999998</v>
      </c>
      <c r="O130" s="70">
        <v>1.005</v>
      </c>
      <c r="P130" s="70">
        <v>1.1205</v>
      </c>
      <c r="Q130" s="70">
        <v>1.095</v>
      </c>
      <c r="R130" s="70">
        <v>1.077</v>
      </c>
      <c r="S130" s="70">
        <v>1.074</v>
      </c>
      <c r="T130" s="70">
        <v>1.67</v>
      </c>
      <c r="U130" s="70">
        <v>1.037</v>
      </c>
      <c r="V130" s="70">
        <v>1.219</v>
      </c>
      <c r="W130" s="70">
        <v>1.063</v>
      </c>
      <c r="X130" s="70">
        <v>1.4756</v>
      </c>
      <c r="Y130" s="70">
        <v>812.9</v>
      </c>
      <c r="Z130" s="70">
        <v>1.865</v>
      </c>
      <c r="AA130" s="70">
        <v>1.1049</v>
      </c>
      <c r="AB130" s="70">
        <v>1.1804999999999999</v>
      </c>
      <c r="AC130" s="70">
        <v>1.4955</v>
      </c>
      <c r="AD130" s="70">
        <v>1.474</v>
      </c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21"/>
      <c r="AX130" s="73">
        <v>20250.0</v>
      </c>
      <c r="AY130" s="73">
        <v>696.0</v>
      </c>
      <c r="AZ130" s="73">
        <v>6849.1152</v>
      </c>
      <c r="BA130" s="73">
        <v>26850.0</v>
      </c>
      <c r="BB130" s="73">
        <v>7190.0</v>
      </c>
      <c r="BC130" s="73">
        <v>9440.0</v>
      </c>
      <c r="BD130" s="73"/>
      <c r="BE130" s="21"/>
      <c r="BF130" s="21"/>
      <c r="BG130" s="21">
        <v>2319510.48</v>
      </c>
      <c r="BH130" s="21"/>
      <c r="BI130" s="72"/>
      <c r="BJ130" s="21"/>
      <c r="BK130" s="72"/>
      <c r="BL130" s="21"/>
      <c r="BM130" s="72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</row>
    <row r="131" ht="15.75" customHeight="1">
      <c r="A131" s="56">
        <v>45870.0</v>
      </c>
      <c r="B131" s="70">
        <v>1360.0</v>
      </c>
      <c r="C131" s="70">
        <v>1351.3</v>
      </c>
      <c r="D131" s="70">
        <v>1351.1</v>
      </c>
      <c r="E131" s="70">
        <v>14.91</v>
      </c>
      <c r="F131" s="70"/>
      <c r="G131" s="70"/>
      <c r="H131" s="70">
        <v>2.145</v>
      </c>
      <c r="I131" s="70">
        <v>1.6480000000000001</v>
      </c>
      <c r="J131" s="70"/>
      <c r="K131" s="70">
        <v>0.0</v>
      </c>
      <c r="L131" s="70"/>
      <c r="M131" s="70">
        <v>1.07</v>
      </c>
      <c r="N131" s="70">
        <v>1.194</v>
      </c>
      <c r="O131" s="70">
        <v>1.005</v>
      </c>
      <c r="P131" s="70">
        <v>1.1365</v>
      </c>
      <c r="Q131" s="70">
        <v>1.114</v>
      </c>
      <c r="R131" s="70">
        <v>1.091</v>
      </c>
      <c r="S131" s="70">
        <v>1.0825</v>
      </c>
      <c r="T131" s="70">
        <v>1.679</v>
      </c>
      <c r="U131" s="70">
        <v>1.037</v>
      </c>
      <c r="V131" s="70">
        <v>1.2309999999999999</v>
      </c>
      <c r="W131" s="70">
        <v>1.068</v>
      </c>
      <c r="X131" s="70">
        <v>1.4756</v>
      </c>
      <c r="Y131" s="70">
        <v>809.3</v>
      </c>
      <c r="Z131" s="70">
        <v>1.867</v>
      </c>
      <c r="AA131" s="70">
        <v>1.1009900000000001</v>
      </c>
      <c r="AB131" s="70">
        <v>1.1885</v>
      </c>
      <c r="AC131" s="70">
        <v>1.5015</v>
      </c>
      <c r="AD131" s="70">
        <v>1.479</v>
      </c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21"/>
      <c r="AX131" s="73">
        <v>19800.0</v>
      </c>
      <c r="AY131" s="73">
        <v>675.0</v>
      </c>
      <c r="AZ131" s="73">
        <v>6669.6624</v>
      </c>
      <c r="BA131" s="73">
        <v>27100.0</v>
      </c>
      <c r="BB131" s="73">
        <v>6950.0</v>
      </c>
      <c r="BC131" s="73">
        <v>9160.0</v>
      </c>
      <c r="BD131" s="73"/>
      <c r="BE131" s="21"/>
      <c r="BF131" s="21"/>
      <c r="BG131" s="21">
        <v>2278848.71</v>
      </c>
      <c r="BH131" s="21"/>
      <c r="BI131" s="72"/>
      <c r="BJ131" s="21"/>
      <c r="BK131" s="72"/>
      <c r="BL131" s="21"/>
      <c r="BM131" s="72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</row>
    <row r="132" ht="15.75" customHeight="1">
      <c r="A132" s="56">
        <v>45873.0</v>
      </c>
      <c r="B132" s="70">
        <v>1359.0</v>
      </c>
      <c r="C132" s="70">
        <v>1379.9</v>
      </c>
      <c r="D132" s="70">
        <v>1352.0</v>
      </c>
      <c r="E132" s="70">
        <v>14.93</v>
      </c>
      <c r="F132" s="70"/>
      <c r="G132" s="70"/>
      <c r="H132" s="70">
        <v>2.1425</v>
      </c>
      <c r="I132" s="70">
        <v>1.652</v>
      </c>
      <c r="J132" s="70"/>
      <c r="K132" s="70">
        <v>0.0</v>
      </c>
      <c r="L132" s="70"/>
      <c r="M132" s="70">
        <v>1.071</v>
      </c>
      <c r="N132" s="70">
        <v>1.1995</v>
      </c>
      <c r="O132" s="70">
        <v>1.0123</v>
      </c>
      <c r="P132" s="70">
        <v>1.148</v>
      </c>
      <c r="Q132" s="70">
        <v>1.1235</v>
      </c>
      <c r="R132" s="70">
        <v>1.103</v>
      </c>
      <c r="S132" s="70">
        <v>1.0855</v>
      </c>
      <c r="T132" s="70">
        <v>1.6855000000000002</v>
      </c>
      <c r="U132" s="70">
        <v>1.037</v>
      </c>
      <c r="V132" s="70">
        <v>1.23</v>
      </c>
      <c r="W132" s="70">
        <v>1.067</v>
      </c>
      <c r="X132" s="70">
        <v>1.4756</v>
      </c>
      <c r="Y132" s="70">
        <v>813.0</v>
      </c>
      <c r="Z132" s="70">
        <v>1.8825</v>
      </c>
      <c r="AA132" s="70">
        <v>1.102</v>
      </c>
      <c r="AB132" s="70">
        <v>1.193</v>
      </c>
      <c r="AC132" s="70">
        <v>1.506</v>
      </c>
      <c r="AD132" s="70">
        <v>1.4775</v>
      </c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21"/>
      <c r="AX132" s="73">
        <v>19950.0</v>
      </c>
      <c r="AY132" s="73">
        <v>654.0</v>
      </c>
      <c r="AZ132" s="73">
        <v>6669.6624</v>
      </c>
      <c r="BA132" s="73">
        <v>27225.0</v>
      </c>
      <c r="BB132" s="73">
        <v>7150.0</v>
      </c>
      <c r="BC132" s="73">
        <v>9340.0</v>
      </c>
      <c r="BD132" s="73"/>
      <c r="BE132" s="21"/>
      <c r="BF132" s="21"/>
      <c r="BG132" s="21">
        <v>2287328.88</v>
      </c>
      <c r="BH132" s="21"/>
      <c r="BI132" s="72"/>
      <c r="BJ132" s="21"/>
      <c r="BK132" s="72"/>
      <c r="BL132" s="21"/>
      <c r="BM132" s="72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</row>
    <row r="133" ht="15.75" customHeight="1">
      <c r="A133" s="56">
        <v>45874.0</v>
      </c>
      <c r="B133" s="70">
        <v>1351.5</v>
      </c>
      <c r="C133" s="70">
        <v>1334.0</v>
      </c>
      <c r="D133" s="70">
        <v>1340.0</v>
      </c>
      <c r="E133" s="70">
        <v>15.03</v>
      </c>
      <c r="F133" s="70"/>
      <c r="G133" s="70"/>
      <c r="H133" s="70">
        <v>2.141</v>
      </c>
      <c r="I133" s="70">
        <v>1.661</v>
      </c>
      <c r="J133" s="70"/>
      <c r="K133" s="70">
        <v>0.0</v>
      </c>
      <c r="L133" s="70"/>
      <c r="M133" s="70">
        <v>1.0745</v>
      </c>
      <c r="N133" s="70">
        <v>1.205</v>
      </c>
      <c r="O133" s="70">
        <v>1.0123</v>
      </c>
      <c r="P133" s="70">
        <v>1.151</v>
      </c>
      <c r="Q133" s="70">
        <v>1.1255</v>
      </c>
      <c r="R133" s="70">
        <v>1.105</v>
      </c>
      <c r="S133" s="70">
        <v>1.09</v>
      </c>
      <c r="T133" s="70">
        <v>1.6975</v>
      </c>
      <c r="U133" s="70">
        <v>1.037</v>
      </c>
      <c r="V133" s="70">
        <v>1.2305</v>
      </c>
      <c r="W133" s="70">
        <v>1.0635</v>
      </c>
      <c r="X133" s="70">
        <v>1.4756</v>
      </c>
      <c r="Y133" s="70">
        <v>807.3</v>
      </c>
      <c r="Z133" s="70">
        <v>1.8940000000000001</v>
      </c>
      <c r="AA133" s="70">
        <v>1.102</v>
      </c>
      <c r="AB133" s="70">
        <v>1.1955</v>
      </c>
      <c r="AC133" s="70">
        <v>1.5025</v>
      </c>
      <c r="AD133" s="70">
        <v>1.4769999999999999</v>
      </c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21"/>
      <c r="AX133" s="73">
        <v>20200.0</v>
      </c>
      <c r="AY133" s="73">
        <v>647.0</v>
      </c>
      <c r="AZ133" s="73">
        <v>6839.1456</v>
      </c>
      <c r="BA133" s="73">
        <v>27225.0</v>
      </c>
      <c r="BB133" s="73">
        <v>7358.25852</v>
      </c>
      <c r="BC133" s="73">
        <v>9683.6025</v>
      </c>
      <c r="BD133" s="73"/>
      <c r="BE133" s="21"/>
      <c r="BF133" s="21"/>
      <c r="BG133" s="21">
        <v>2346867.28</v>
      </c>
      <c r="BH133" s="21"/>
      <c r="BI133" s="72"/>
      <c r="BJ133" s="21"/>
      <c r="BK133" s="72"/>
      <c r="BL133" s="21"/>
      <c r="BM133" s="72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</row>
    <row r="134" ht="15.75" customHeight="1">
      <c r="A134" s="56">
        <v>45875.0</v>
      </c>
      <c r="B134" s="70">
        <v>1341.5</v>
      </c>
      <c r="C134" s="70">
        <v>1359.7</v>
      </c>
      <c r="D134" s="70">
        <v>1335.0</v>
      </c>
      <c r="E134" s="70">
        <v>14.92</v>
      </c>
      <c r="F134" s="70"/>
      <c r="G134" s="70"/>
      <c r="H134" s="70">
        <v>2.13</v>
      </c>
      <c r="I134" s="70">
        <v>1.649</v>
      </c>
      <c r="J134" s="70"/>
      <c r="K134" s="70">
        <v>0.0</v>
      </c>
      <c r="L134" s="70"/>
      <c r="M134" s="70">
        <v>1.068</v>
      </c>
      <c r="N134" s="70">
        <v>1.196</v>
      </c>
      <c r="O134" s="70">
        <v>1.0123</v>
      </c>
      <c r="P134" s="70">
        <v>1.1540000000000001</v>
      </c>
      <c r="Q134" s="70">
        <v>1.125</v>
      </c>
      <c r="R134" s="70">
        <v>1.11</v>
      </c>
      <c r="S134" s="70">
        <v>1.0979999999999999</v>
      </c>
      <c r="T134" s="70">
        <v>1.68</v>
      </c>
      <c r="U134" s="70">
        <v>1.037</v>
      </c>
      <c r="V134" s="70">
        <v>1.222</v>
      </c>
      <c r="W134" s="70">
        <v>1.0565</v>
      </c>
      <c r="X134" s="70">
        <v>1.4756</v>
      </c>
      <c r="Y134" s="70">
        <v>804.3</v>
      </c>
      <c r="Z134" s="70">
        <v>1.885</v>
      </c>
      <c r="AA134" s="70">
        <v>1.094</v>
      </c>
      <c r="AB134" s="70">
        <v>1.186</v>
      </c>
      <c r="AC134" s="70">
        <v>1.49</v>
      </c>
      <c r="AD134" s="70">
        <v>1.47</v>
      </c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21"/>
      <c r="AX134" s="73">
        <v>20325.0</v>
      </c>
      <c r="AY134" s="73">
        <v>635.0</v>
      </c>
      <c r="AZ134" s="73">
        <v>7048.5072</v>
      </c>
      <c r="BA134" s="73">
        <v>25850.0</v>
      </c>
      <c r="BB134" s="73">
        <v>7617.49256</v>
      </c>
      <c r="BC134" s="73">
        <v>9981.5595</v>
      </c>
      <c r="BD134" s="73"/>
      <c r="BE134" s="21"/>
      <c r="BF134" s="21"/>
      <c r="BG134" s="21">
        <v>2415040.72</v>
      </c>
      <c r="BH134" s="21"/>
      <c r="BI134" s="72"/>
      <c r="BJ134" s="21"/>
      <c r="BK134" s="72"/>
      <c r="BL134" s="21"/>
      <c r="BM134" s="72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</row>
    <row r="135" ht="15.75" customHeight="1">
      <c r="A135" s="56">
        <v>45876.0</v>
      </c>
      <c r="B135" s="70">
        <v>1335.0</v>
      </c>
      <c r="C135" s="70">
        <v>1330.1</v>
      </c>
      <c r="D135" s="70">
        <v>1330.0</v>
      </c>
      <c r="E135" s="70">
        <v>14.68</v>
      </c>
      <c r="F135" s="70"/>
      <c r="G135" s="70"/>
      <c r="H135" s="70">
        <v>2.109</v>
      </c>
      <c r="I135" s="70">
        <v>1.6230000000000002</v>
      </c>
      <c r="J135" s="70"/>
      <c r="K135" s="70">
        <v>0.0</v>
      </c>
      <c r="L135" s="70"/>
      <c r="M135" s="70">
        <v>1.0534999999999999</v>
      </c>
      <c r="N135" s="70">
        <v>1.1775</v>
      </c>
      <c r="O135" s="70">
        <v>1.0123</v>
      </c>
      <c r="P135" s="70">
        <v>1.1520000000000001</v>
      </c>
      <c r="Q135" s="70">
        <v>1.1179999999999999</v>
      </c>
      <c r="R135" s="70">
        <v>1.1079999999999999</v>
      </c>
      <c r="S135" s="70">
        <v>1.093</v>
      </c>
      <c r="T135" s="70">
        <v>1.6640000000000001</v>
      </c>
      <c r="U135" s="70">
        <v>1.037</v>
      </c>
      <c r="V135" s="70">
        <v>1.2205</v>
      </c>
      <c r="W135" s="70">
        <v>1.055</v>
      </c>
      <c r="X135" s="70">
        <v>1.4756</v>
      </c>
      <c r="Y135" s="70">
        <v>800.0</v>
      </c>
      <c r="Z135" s="70">
        <v>1.858</v>
      </c>
      <c r="AA135" s="70">
        <v>1.0815000000000001</v>
      </c>
      <c r="AB135" s="70">
        <v>1.173</v>
      </c>
      <c r="AC135" s="70">
        <v>1.4709999999999999</v>
      </c>
      <c r="AD135" s="70">
        <v>1.4609999999999999</v>
      </c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21"/>
      <c r="AX135" s="73">
        <v>19775.0</v>
      </c>
      <c r="AY135" s="73">
        <v>616.0</v>
      </c>
      <c r="AZ135" s="73">
        <v>6840.0</v>
      </c>
      <c r="BA135" s="73">
        <v>25925.0</v>
      </c>
      <c r="BB135" s="73">
        <v>7338.31744</v>
      </c>
      <c r="BC135" s="73">
        <v>9584.2835</v>
      </c>
      <c r="BD135" s="73"/>
      <c r="BE135" s="21"/>
      <c r="BF135" s="21"/>
      <c r="BG135" s="21">
        <v>2349020.51</v>
      </c>
      <c r="BH135" s="21"/>
      <c r="BI135" s="72"/>
      <c r="BJ135" s="21"/>
      <c r="BK135" s="72"/>
      <c r="BL135" s="21"/>
      <c r="BM135" s="72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</row>
    <row r="136" ht="15.75" customHeight="1">
      <c r="A136" s="56">
        <v>45877.0</v>
      </c>
      <c r="B136" s="70">
        <v>1400.0</v>
      </c>
      <c r="C136" s="70">
        <v>1340.7</v>
      </c>
      <c r="D136" s="70">
        <v>1340.0</v>
      </c>
      <c r="E136" s="70">
        <v>14.62</v>
      </c>
      <c r="F136" s="70"/>
      <c r="G136" s="70"/>
      <c r="H136" s="70">
        <v>2.108</v>
      </c>
      <c r="I136" s="70">
        <v>1.6205</v>
      </c>
      <c r="J136" s="70"/>
      <c r="K136" s="70">
        <v>0.0</v>
      </c>
      <c r="L136" s="70"/>
      <c r="M136" s="70">
        <v>1.0465</v>
      </c>
      <c r="N136" s="70">
        <v>1.18</v>
      </c>
      <c r="O136" s="70">
        <v>1.0123</v>
      </c>
      <c r="P136" s="70">
        <v>1.1525</v>
      </c>
      <c r="Q136" s="70">
        <v>1.122</v>
      </c>
      <c r="R136" s="70">
        <v>1.105</v>
      </c>
      <c r="S136" s="70">
        <v>1.0965</v>
      </c>
      <c r="T136" s="70">
        <v>1.6544999999999999</v>
      </c>
      <c r="U136" s="70">
        <v>1.037</v>
      </c>
      <c r="V136" s="70">
        <v>1.216</v>
      </c>
      <c r="W136" s="70">
        <v>1.0490000000000002</v>
      </c>
      <c r="X136" s="70">
        <v>1.4756</v>
      </c>
      <c r="Y136" s="70">
        <v>801.0</v>
      </c>
      <c r="Z136" s="70">
        <v>1.844</v>
      </c>
      <c r="AA136" s="70">
        <v>1.08999</v>
      </c>
      <c r="AB136" s="70">
        <v>1.1704999999999999</v>
      </c>
      <c r="AC136" s="70">
        <v>1.479</v>
      </c>
      <c r="AD136" s="70">
        <v>1.465</v>
      </c>
      <c r="AE136" s="70">
        <v>1.452</v>
      </c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21"/>
      <c r="AX136" s="73">
        <v>18950.0</v>
      </c>
      <c r="AY136" s="73">
        <v>633.0</v>
      </c>
      <c r="AZ136" s="73">
        <v>6780.0</v>
      </c>
      <c r="BA136" s="73">
        <v>26150.0</v>
      </c>
      <c r="BB136" s="73">
        <v>7298.43528</v>
      </c>
      <c r="BC136" s="73">
        <v>9405.5093</v>
      </c>
      <c r="BD136" s="73"/>
      <c r="BE136" s="21"/>
      <c r="BF136" s="21"/>
      <c r="BG136" s="21">
        <v>2300926.1</v>
      </c>
      <c r="BH136" s="21"/>
      <c r="BI136" s="72"/>
      <c r="BJ136" s="21"/>
      <c r="BK136" s="72"/>
      <c r="BL136" s="21"/>
      <c r="BM136" s="72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</row>
    <row r="137" ht="15.75" customHeight="1">
      <c r="A137" s="56">
        <v>45880.0</v>
      </c>
      <c r="B137" s="70">
        <v>1330.0</v>
      </c>
      <c r="C137" s="70">
        <v>1342.1</v>
      </c>
      <c r="D137" s="70">
        <v>1321.0</v>
      </c>
      <c r="E137" s="70">
        <v>14.545</v>
      </c>
      <c r="F137" s="70"/>
      <c r="G137" s="70"/>
      <c r="H137" s="70">
        <v>2.0935</v>
      </c>
      <c r="I137" s="70">
        <v>1.61</v>
      </c>
      <c r="J137" s="70"/>
      <c r="K137" s="70">
        <v>0.0</v>
      </c>
      <c r="L137" s="70"/>
      <c r="M137" s="70">
        <v>1.04</v>
      </c>
      <c r="N137" s="70">
        <v>1.1740000000000002</v>
      </c>
      <c r="O137" s="70">
        <v>1.0123</v>
      </c>
      <c r="P137" s="70">
        <v>1.148</v>
      </c>
      <c r="Q137" s="70">
        <v>1.121</v>
      </c>
      <c r="R137" s="70">
        <v>1.1035</v>
      </c>
      <c r="S137" s="70">
        <v>1.097</v>
      </c>
      <c r="T137" s="70">
        <v>1.636</v>
      </c>
      <c r="U137" s="70">
        <v>1.037</v>
      </c>
      <c r="V137" s="70">
        <v>1.209</v>
      </c>
      <c r="W137" s="70">
        <v>1.043</v>
      </c>
      <c r="X137" s="70">
        <v>1.4756</v>
      </c>
      <c r="Y137" s="70">
        <v>803.4</v>
      </c>
      <c r="Z137" s="70">
        <v>1.83</v>
      </c>
      <c r="AA137" s="70">
        <v>1.084</v>
      </c>
      <c r="AB137" s="70">
        <v>1.165</v>
      </c>
      <c r="AC137" s="70">
        <v>1.4745</v>
      </c>
      <c r="AD137" s="70">
        <v>1.46</v>
      </c>
      <c r="AE137" s="70">
        <v>1.45293</v>
      </c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21"/>
      <c r="AX137" s="73">
        <v>18975.0</v>
      </c>
      <c r="AY137" s="73">
        <v>640.0</v>
      </c>
      <c r="AZ137" s="73">
        <v>6780.0</v>
      </c>
      <c r="BA137" s="73">
        <v>25425.0</v>
      </c>
      <c r="BB137" s="73">
        <v>7338.31744</v>
      </c>
      <c r="BC137" s="73">
        <v>9395.5774</v>
      </c>
      <c r="BD137" s="73"/>
      <c r="BE137" s="21"/>
      <c r="BF137" s="21"/>
      <c r="BG137" s="21">
        <v>2303302.21</v>
      </c>
      <c r="BH137" s="21"/>
      <c r="BI137" s="72"/>
      <c r="BJ137" s="21"/>
      <c r="BK137" s="72"/>
      <c r="BL137" s="21"/>
      <c r="BM137" s="72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</row>
    <row r="138" ht="15.75" customHeight="1">
      <c r="A138" s="56">
        <v>45881.0</v>
      </c>
      <c r="B138" s="70">
        <v>1335.0</v>
      </c>
      <c r="C138" s="70">
        <v>1383.0</v>
      </c>
      <c r="D138" s="70">
        <v>1328.9</v>
      </c>
      <c r="E138" s="70">
        <v>14.575</v>
      </c>
      <c r="F138" s="70"/>
      <c r="G138" s="70"/>
      <c r="H138" s="70">
        <v>2.1025</v>
      </c>
      <c r="I138" s="70">
        <v>1.614</v>
      </c>
      <c r="J138" s="70"/>
      <c r="K138" s="70">
        <v>0.0</v>
      </c>
      <c r="L138" s="70"/>
      <c r="M138" s="70">
        <v>1.043</v>
      </c>
      <c r="N138" s="70">
        <v>1.1765</v>
      </c>
      <c r="O138" s="70">
        <v>1.0123</v>
      </c>
      <c r="P138" s="70">
        <v>1.141</v>
      </c>
      <c r="Q138" s="70">
        <v>1.1135</v>
      </c>
      <c r="R138" s="70">
        <v>1.1</v>
      </c>
      <c r="S138" s="70">
        <v>1.091</v>
      </c>
      <c r="T138" s="70">
        <v>1.6495</v>
      </c>
      <c r="U138" s="70">
        <v>1.037</v>
      </c>
      <c r="V138" s="70">
        <v>1.212</v>
      </c>
      <c r="W138" s="70">
        <v>1.0415</v>
      </c>
      <c r="X138" s="70">
        <v>1.4756</v>
      </c>
      <c r="Y138" s="70">
        <v>803.9</v>
      </c>
      <c r="Z138" s="70">
        <v>1.84</v>
      </c>
      <c r="AA138" s="70">
        <v>1.0851</v>
      </c>
      <c r="AB138" s="70">
        <v>1.1684999999999999</v>
      </c>
      <c r="AC138" s="70">
        <v>1.4735</v>
      </c>
      <c r="AD138" s="70">
        <v>1.4655</v>
      </c>
      <c r="AE138" s="70">
        <v>1.4550999999999998</v>
      </c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21"/>
      <c r="AX138" s="73">
        <v>18750.0</v>
      </c>
      <c r="AY138" s="73">
        <v>632.0</v>
      </c>
      <c r="AZ138" s="73">
        <v>6870.0</v>
      </c>
      <c r="BA138" s="73">
        <v>25950.0</v>
      </c>
      <c r="BB138" s="73">
        <v>7368.22906</v>
      </c>
      <c r="BC138" s="73">
        <v>9534.624</v>
      </c>
      <c r="BD138" s="73"/>
      <c r="BE138" s="21"/>
      <c r="BF138" s="21"/>
      <c r="BG138" s="21">
        <v>2311836.34</v>
      </c>
      <c r="BH138" s="21"/>
      <c r="BI138" s="72"/>
      <c r="BJ138" s="21"/>
      <c r="BK138" s="72"/>
      <c r="BL138" s="21"/>
      <c r="BM138" s="72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</row>
    <row r="139" ht="15.75" customHeight="1">
      <c r="A139" s="56">
        <v>45882.0</v>
      </c>
      <c r="B139" s="70">
        <v>1331.6</v>
      </c>
      <c r="C139" s="70">
        <v>1365.0</v>
      </c>
      <c r="D139" s="70">
        <v>1315.0</v>
      </c>
      <c r="E139" s="70">
        <v>14.575</v>
      </c>
      <c r="F139" s="70"/>
      <c r="G139" s="70"/>
      <c r="H139" s="70">
        <v>2.103</v>
      </c>
      <c r="I139" s="70">
        <v>1.615</v>
      </c>
      <c r="J139" s="70"/>
      <c r="K139" s="70">
        <v>0.0</v>
      </c>
      <c r="L139" s="70"/>
      <c r="M139" s="70">
        <v>1.0515</v>
      </c>
      <c r="N139" s="70">
        <v>1.175</v>
      </c>
      <c r="O139" s="70">
        <v>1.0123</v>
      </c>
      <c r="P139" s="70">
        <v>1.1445</v>
      </c>
      <c r="Q139" s="70">
        <v>1.1175</v>
      </c>
      <c r="R139" s="70">
        <v>1.097</v>
      </c>
      <c r="S139" s="70">
        <v>1.087</v>
      </c>
      <c r="T139" s="70">
        <v>1.6625</v>
      </c>
      <c r="U139" s="70">
        <v>1.037</v>
      </c>
      <c r="V139" s="70">
        <v>1.213</v>
      </c>
      <c r="W139" s="70">
        <v>1.047</v>
      </c>
      <c r="X139" s="70">
        <v>0.0</v>
      </c>
      <c r="Y139" s="70">
        <v>805.8</v>
      </c>
      <c r="Z139" s="70">
        <v>1.847</v>
      </c>
      <c r="AA139" s="70">
        <v>1.0895000000000001</v>
      </c>
      <c r="AB139" s="70">
        <v>1.1640000000000001</v>
      </c>
      <c r="AC139" s="70">
        <v>1.482</v>
      </c>
      <c r="AD139" s="70">
        <v>1.4675</v>
      </c>
      <c r="AE139" s="70">
        <v>1.4565100000000002</v>
      </c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21"/>
      <c r="AX139" s="73">
        <v>19000.0</v>
      </c>
      <c r="AY139" s="73">
        <v>624.0</v>
      </c>
      <c r="AZ139" s="73">
        <v>6830.0</v>
      </c>
      <c r="BA139" s="73">
        <v>25700.0</v>
      </c>
      <c r="BB139" s="73">
        <v>7198.72988</v>
      </c>
      <c r="BC139" s="73">
        <v>9355.8498</v>
      </c>
      <c r="BD139" s="73"/>
      <c r="BE139" s="21"/>
      <c r="BF139" s="21"/>
      <c r="BG139" s="21">
        <v>2287631.16</v>
      </c>
      <c r="BH139" s="21"/>
      <c r="BI139" s="72"/>
      <c r="BJ139" s="21"/>
      <c r="BK139" s="72"/>
      <c r="BL139" s="21"/>
      <c r="BM139" s="72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</row>
    <row r="140" ht="15.75" customHeight="1">
      <c r="A140" s="56">
        <v>45883.0</v>
      </c>
      <c r="B140" s="70">
        <v>1350.0</v>
      </c>
      <c r="C140" s="70">
        <v>1335.0</v>
      </c>
      <c r="D140" s="70">
        <v>1302.0</v>
      </c>
      <c r="E140" s="70">
        <v>14.38</v>
      </c>
      <c r="F140" s="70"/>
      <c r="G140" s="70"/>
      <c r="H140" s="70">
        <v>2.09</v>
      </c>
      <c r="I140" s="70">
        <v>1.5805</v>
      </c>
      <c r="J140" s="70"/>
      <c r="K140" s="70">
        <v>0.0</v>
      </c>
      <c r="L140" s="70"/>
      <c r="M140" s="70">
        <v>1.044</v>
      </c>
      <c r="N140" s="70">
        <v>1.163</v>
      </c>
      <c r="O140" s="70">
        <v>1.0123</v>
      </c>
      <c r="P140" s="70">
        <v>1.1384999999999998</v>
      </c>
      <c r="Q140" s="70">
        <v>1.107</v>
      </c>
      <c r="R140" s="70">
        <v>1.081</v>
      </c>
      <c r="S140" s="70">
        <v>1.0759999999999998</v>
      </c>
      <c r="T140" s="70">
        <v>1.631</v>
      </c>
      <c r="U140" s="70">
        <v>1.037</v>
      </c>
      <c r="V140" s="70">
        <v>1.2</v>
      </c>
      <c r="W140" s="70">
        <v>1.032</v>
      </c>
      <c r="X140" s="70">
        <v>0.0</v>
      </c>
      <c r="Y140" s="70">
        <v>787.7</v>
      </c>
      <c r="Z140" s="70">
        <v>1.815</v>
      </c>
      <c r="AA140" s="70">
        <v>1.0875</v>
      </c>
      <c r="AB140" s="70">
        <v>1.163</v>
      </c>
      <c r="AC140" s="70">
        <v>1.4780000000000002</v>
      </c>
      <c r="AD140" s="70">
        <v>1.48</v>
      </c>
      <c r="AE140" s="70">
        <v>1.4565100000000002</v>
      </c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21"/>
      <c r="AX140" s="73">
        <v>18050.0</v>
      </c>
      <c r="AY140" s="73">
        <v>609.0</v>
      </c>
      <c r="AZ140" s="73">
        <v>6450.0</v>
      </c>
      <c r="BA140" s="73">
        <v>25375.0</v>
      </c>
      <c r="BB140" s="73">
        <v>6839.79044</v>
      </c>
      <c r="BC140" s="73">
        <v>8978.4376</v>
      </c>
      <c r="BD140" s="73"/>
      <c r="BE140" s="21"/>
      <c r="BF140" s="21"/>
      <c r="BG140" s="21">
        <v>2188542.39</v>
      </c>
      <c r="BH140" s="21"/>
      <c r="BI140" s="72"/>
      <c r="BJ140" s="21"/>
      <c r="BK140" s="72"/>
      <c r="BL140" s="21"/>
      <c r="BM140" s="72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</row>
    <row r="141" ht="15.75" customHeight="1">
      <c r="A141" s="56">
        <v>45887.0</v>
      </c>
      <c r="B141" s="70">
        <v>1333.0</v>
      </c>
      <c r="C141" s="70">
        <v>1340.0</v>
      </c>
      <c r="D141" s="70">
        <v>1290.5</v>
      </c>
      <c r="E141" s="70">
        <v>14.28</v>
      </c>
      <c r="F141" s="70"/>
      <c r="G141" s="70"/>
      <c r="H141" s="70">
        <v>2.0875</v>
      </c>
      <c r="I141" s="70">
        <v>1.565</v>
      </c>
      <c r="J141" s="70"/>
      <c r="K141" s="70">
        <v>0.0</v>
      </c>
      <c r="L141" s="70"/>
      <c r="M141" s="70">
        <v>1.03</v>
      </c>
      <c r="N141" s="70">
        <v>1.16</v>
      </c>
      <c r="O141" s="70">
        <v>1.0123</v>
      </c>
      <c r="P141" s="70">
        <v>1.1335</v>
      </c>
      <c r="Q141" s="70">
        <v>1.0965</v>
      </c>
      <c r="R141" s="70">
        <v>1.0725</v>
      </c>
      <c r="S141" s="70">
        <v>1.0725</v>
      </c>
      <c r="T141" s="70">
        <v>1.6235</v>
      </c>
      <c r="U141" s="70">
        <v>1.037</v>
      </c>
      <c r="V141" s="70">
        <v>1.205</v>
      </c>
      <c r="W141" s="70">
        <v>1.026</v>
      </c>
      <c r="X141" s="70">
        <v>0.0</v>
      </c>
      <c r="Y141" s="70">
        <v>795.7</v>
      </c>
      <c r="Z141" s="70">
        <v>1.798</v>
      </c>
      <c r="AA141" s="70">
        <v>1.0875</v>
      </c>
      <c r="AB141" s="70">
        <v>1.1584999999999999</v>
      </c>
      <c r="AC141" s="70">
        <v>1.47</v>
      </c>
      <c r="AD141" s="70">
        <v>1.4715</v>
      </c>
      <c r="AE141" s="70">
        <v>1.4565100000000002</v>
      </c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21"/>
      <c r="AX141" s="73">
        <v>18150.0</v>
      </c>
      <c r="AY141" s="73">
        <v>605.0</v>
      </c>
      <c r="AZ141" s="73">
        <v>6380.0</v>
      </c>
      <c r="BA141" s="73">
        <v>25750.0</v>
      </c>
      <c r="BB141" s="73">
        <v>6999.31908</v>
      </c>
      <c r="BC141" s="73">
        <v>9157.2118</v>
      </c>
      <c r="BD141" s="73"/>
      <c r="BE141" s="21"/>
      <c r="BF141" s="21"/>
      <c r="BG141" s="21">
        <v>2198382.12</v>
      </c>
      <c r="BH141" s="21"/>
      <c r="BI141" s="72"/>
      <c r="BJ141" s="21"/>
      <c r="BK141" s="72"/>
      <c r="BL141" s="21"/>
      <c r="BM141" s="72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</row>
    <row r="142" ht="15.75" customHeight="1">
      <c r="A142" s="56">
        <v>45888.0</v>
      </c>
      <c r="B142" s="70">
        <v>1335.0</v>
      </c>
      <c r="C142" s="70">
        <v>1322.0</v>
      </c>
      <c r="D142" s="70">
        <v>1298.0</v>
      </c>
      <c r="E142" s="70">
        <v>14.3</v>
      </c>
      <c r="F142" s="70"/>
      <c r="G142" s="70"/>
      <c r="H142" s="70">
        <v>2.0865</v>
      </c>
      <c r="I142" s="70">
        <v>1.5785</v>
      </c>
      <c r="J142" s="70"/>
      <c r="K142" s="70">
        <v>0.0</v>
      </c>
      <c r="L142" s="70"/>
      <c r="M142" s="70">
        <v>1.0265</v>
      </c>
      <c r="N142" s="70">
        <v>1.1615</v>
      </c>
      <c r="O142" s="70">
        <v>1.0123</v>
      </c>
      <c r="P142" s="70">
        <v>1.141</v>
      </c>
      <c r="Q142" s="70">
        <v>1.1025</v>
      </c>
      <c r="R142" s="70">
        <v>1.089</v>
      </c>
      <c r="S142" s="70">
        <v>1.0795000000000001</v>
      </c>
      <c r="T142" s="70">
        <v>1.619</v>
      </c>
      <c r="U142" s="70">
        <v>1.037</v>
      </c>
      <c r="V142" s="70">
        <v>1.21</v>
      </c>
      <c r="W142" s="70">
        <v>1.03</v>
      </c>
      <c r="X142" s="70">
        <v>0.0</v>
      </c>
      <c r="Y142" s="70">
        <v>793.8</v>
      </c>
      <c r="Z142" s="70">
        <v>1.801</v>
      </c>
      <c r="AA142" s="70">
        <v>1.0848</v>
      </c>
      <c r="AB142" s="70">
        <v>1.1615</v>
      </c>
      <c r="AC142" s="70">
        <v>1.4780000000000002</v>
      </c>
      <c r="AD142" s="70">
        <v>1.4765000000000001</v>
      </c>
      <c r="AE142" s="70">
        <v>1.4565100000000002</v>
      </c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21"/>
      <c r="AX142" s="73">
        <v>17475.0</v>
      </c>
      <c r="AY142" s="73">
        <v>597.0</v>
      </c>
      <c r="AZ142" s="73">
        <v>6070.0</v>
      </c>
      <c r="BA142" s="73">
        <v>25375.0</v>
      </c>
      <c r="BB142" s="73">
        <v>6480.851</v>
      </c>
      <c r="BC142" s="73">
        <v>8501.7064</v>
      </c>
      <c r="BD142" s="73"/>
      <c r="BE142" s="21"/>
      <c r="BF142" s="21"/>
      <c r="BG142" s="21">
        <v>2092205.51</v>
      </c>
      <c r="BH142" s="21"/>
      <c r="BI142" s="72"/>
      <c r="BJ142" s="21"/>
      <c r="BK142" s="72"/>
      <c r="BL142" s="21"/>
      <c r="BM142" s="72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</row>
    <row r="143" ht="15.75" customHeight="1">
      <c r="A143" s="56">
        <v>45889.0</v>
      </c>
      <c r="B143" s="70">
        <v>1343.0</v>
      </c>
      <c r="C143" s="70">
        <v>1320.0</v>
      </c>
      <c r="D143" s="70">
        <v>1295.0</v>
      </c>
      <c r="E143" s="70">
        <v>14.11</v>
      </c>
      <c r="F143" s="70"/>
      <c r="G143" s="70"/>
      <c r="H143" s="70">
        <v>2.073</v>
      </c>
      <c r="I143" s="70">
        <v>1.5730000000000002</v>
      </c>
      <c r="J143" s="70"/>
      <c r="K143" s="70">
        <v>0.0</v>
      </c>
      <c r="L143" s="70"/>
      <c r="M143" s="70">
        <v>1.012</v>
      </c>
      <c r="N143" s="70">
        <v>1.1475</v>
      </c>
      <c r="O143" s="70">
        <v>1.0123</v>
      </c>
      <c r="P143" s="70">
        <v>1.139</v>
      </c>
      <c r="Q143" s="70">
        <v>1.093</v>
      </c>
      <c r="R143" s="70">
        <v>1.0725</v>
      </c>
      <c r="S143" s="70">
        <v>1.064</v>
      </c>
      <c r="T143" s="70">
        <v>1.59</v>
      </c>
      <c r="U143" s="70">
        <v>1.037</v>
      </c>
      <c r="V143" s="70">
        <v>1.2105</v>
      </c>
      <c r="W143" s="70">
        <v>1.02</v>
      </c>
      <c r="X143" s="70">
        <v>0.0</v>
      </c>
      <c r="Y143" s="70">
        <v>784.6</v>
      </c>
      <c r="Z143" s="70">
        <v>1.78</v>
      </c>
      <c r="AA143" s="70">
        <v>1.08497</v>
      </c>
      <c r="AB143" s="70">
        <v>1.1465</v>
      </c>
      <c r="AC143" s="70">
        <v>1.47</v>
      </c>
      <c r="AD143" s="70">
        <v>1.473</v>
      </c>
      <c r="AE143" s="70">
        <v>1.4565100000000002</v>
      </c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21"/>
      <c r="AX143" s="73">
        <v>17575.0</v>
      </c>
      <c r="AY143" s="73">
        <v>582.0</v>
      </c>
      <c r="AZ143" s="73">
        <v>6040.0</v>
      </c>
      <c r="BA143" s="73">
        <v>25550.0</v>
      </c>
      <c r="BB143" s="73">
        <v>6490.82154</v>
      </c>
      <c r="BC143" s="73">
        <v>8630.8211</v>
      </c>
      <c r="BD143" s="73"/>
      <c r="BE143" s="21"/>
      <c r="BF143" s="21"/>
      <c r="BG143" s="21">
        <v>2081951.07</v>
      </c>
      <c r="BH143" s="21"/>
      <c r="BI143" s="72"/>
      <c r="BJ143" s="21"/>
      <c r="BK143" s="72"/>
      <c r="BL143" s="21"/>
      <c r="BM143" s="72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</row>
    <row r="144" ht="15.75" customHeight="1">
      <c r="A144" s="56">
        <v>45890.0</v>
      </c>
      <c r="B144" s="70">
        <v>1336.9</v>
      </c>
      <c r="C144" s="70">
        <v>1317.0</v>
      </c>
      <c r="D144" s="70">
        <v>1300.0</v>
      </c>
      <c r="E144" s="70">
        <v>14.07</v>
      </c>
      <c r="F144" s="70"/>
      <c r="G144" s="70"/>
      <c r="H144" s="70">
        <v>2.084</v>
      </c>
      <c r="I144" s="70">
        <v>1.5815000000000001</v>
      </c>
      <c r="J144" s="70"/>
      <c r="K144" s="70">
        <v>0.0</v>
      </c>
      <c r="L144" s="70"/>
      <c r="M144" s="70">
        <v>1.015</v>
      </c>
      <c r="N144" s="70">
        <v>1.171</v>
      </c>
      <c r="O144" s="70">
        <v>1.0123</v>
      </c>
      <c r="P144" s="70">
        <v>1.1420000000000001</v>
      </c>
      <c r="Q144" s="70">
        <v>1.0955</v>
      </c>
      <c r="R144" s="70">
        <v>1.07</v>
      </c>
      <c r="S144" s="70">
        <v>1.0635</v>
      </c>
      <c r="T144" s="70">
        <v>1.5759999999999998</v>
      </c>
      <c r="U144" s="70">
        <v>1.037</v>
      </c>
      <c r="V144" s="70">
        <v>1.21</v>
      </c>
      <c r="W144" s="70">
        <v>1.0075</v>
      </c>
      <c r="X144" s="70">
        <v>0.0</v>
      </c>
      <c r="Y144" s="70">
        <v>789.2</v>
      </c>
      <c r="Z144" s="70">
        <v>1.7594999999999998</v>
      </c>
      <c r="AA144" s="70">
        <v>1.0965</v>
      </c>
      <c r="AB144" s="70">
        <v>1.1695</v>
      </c>
      <c r="AC144" s="70">
        <v>1.485</v>
      </c>
      <c r="AD144" s="70">
        <v>1.4745</v>
      </c>
      <c r="AE144" s="70">
        <v>1.4565100000000002</v>
      </c>
      <c r="AF144" s="70">
        <v>1.2109999999999999</v>
      </c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21"/>
      <c r="AX144" s="73">
        <v>17775.0</v>
      </c>
      <c r="AY144" s="73">
        <v>597.0</v>
      </c>
      <c r="AZ144" s="73">
        <v>6090.0</v>
      </c>
      <c r="BA144" s="73">
        <v>25825.0</v>
      </c>
      <c r="BB144" s="73">
        <v>6191.70534</v>
      </c>
      <c r="BC144" s="73">
        <v>8640.753</v>
      </c>
      <c r="BD144" s="73"/>
      <c r="BE144" s="21"/>
      <c r="BF144" s="21"/>
      <c r="BG144" s="21">
        <v>2103162.67</v>
      </c>
      <c r="BH144" s="21"/>
      <c r="BI144" s="72"/>
      <c r="BJ144" s="21"/>
      <c r="BK144" s="72"/>
      <c r="BL144" s="21"/>
      <c r="BM144" s="72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</row>
    <row r="145" ht="15.75" customHeight="1">
      <c r="A145" s="56">
        <v>45891.0</v>
      </c>
      <c r="B145" s="70">
        <v>1329.3</v>
      </c>
      <c r="C145" s="70">
        <v>1374.9</v>
      </c>
      <c r="D145" s="70">
        <v>1319.9</v>
      </c>
      <c r="E145" s="70">
        <v>14.06</v>
      </c>
      <c r="F145" s="70"/>
      <c r="G145" s="70"/>
      <c r="H145" s="70">
        <v>2.085</v>
      </c>
      <c r="I145" s="70">
        <v>1.579</v>
      </c>
      <c r="J145" s="70"/>
      <c r="K145" s="70">
        <v>0.0</v>
      </c>
      <c r="L145" s="70"/>
      <c r="M145" s="70">
        <v>1.018</v>
      </c>
      <c r="N145" s="70">
        <v>1.17</v>
      </c>
      <c r="O145" s="70">
        <v>1.034</v>
      </c>
      <c r="P145" s="70">
        <v>1.15</v>
      </c>
      <c r="Q145" s="70">
        <v>1.103</v>
      </c>
      <c r="R145" s="70">
        <v>1.0825</v>
      </c>
      <c r="S145" s="70">
        <v>1.0715000000000001</v>
      </c>
      <c r="T145" s="70">
        <v>1.5615</v>
      </c>
      <c r="U145" s="70">
        <v>1.0</v>
      </c>
      <c r="V145" s="70">
        <v>0.0</v>
      </c>
      <c r="W145" s="70">
        <v>1.001</v>
      </c>
      <c r="X145" s="70">
        <v>0.0</v>
      </c>
      <c r="Y145" s="70">
        <v>789.9</v>
      </c>
      <c r="Z145" s="70">
        <v>1.755</v>
      </c>
      <c r="AA145" s="70">
        <v>1.08701</v>
      </c>
      <c r="AB145" s="70">
        <v>1.165</v>
      </c>
      <c r="AC145" s="70">
        <v>1.4780000000000002</v>
      </c>
      <c r="AD145" s="70">
        <v>1.4775</v>
      </c>
      <c r="AE145" s="70">
        <v>1.4565100000000002</v>
      </c>
      <c r="AF145" s="70">
        <v>1.2095</v>
      </c>
      <c r="AG145" s="70">
        <v>1.5465</v>
      </c>
      <c r="AH145" s="70">
        <v>1.5145</v>
      </c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21"/>
      <c r="AX145" s="73">
        <v>17925.0</v>
      </c>
      <c r="AY145" s="73">
        <v>600.0</v>
      </c>
      <c r="AZ145" s="73">
        <v>5985.393526</v>
      </c>
      <c r="BA145" s="73">
        <v>27050.0</v>
      </c>
      <c r="BB145" s="73">
        <v>6103.450663</v>
      </c>
      <c r="BC145" s="73">
        <v>8596.244731</v>
      </c>
      <c r="BD145" s="73"/>
      <c r="BE145" s="21"/>
      <c r="BF145" s="21"/>
      <c r="BG145" s="21">
        <v>2106200.0</v>
      </c>
      <c r="BH145" s="21"/>
      <c r="BI145" s="72"/>
      <c r="BJ145" s="21"/>
      <c r="BK145" s="72"/>
      <c r="BL145" s="21"/>
      <c r="BM145" s="72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</row>
    <row r="146" ht="15.75" customHeight="1">
      <c r="A146" s="56">
        <v>45894.0</v>
      </c>
      <c r="B146" s="70">
        <v>1400.0</v>
      </c>
      <c r="C146" s="70">
        <v>1352.0</v>
      </c>
      <c r="D146" s="70">
        <v>1350.0</v>
      </c>
      <c r="E146" s="70">
        <v>13.69</v>
      </c>
      <c r="F146" s="70"/>
      <c r="G146" s="70"/>
      <c r="H146" s="70">
        <v>2.0540000000000003</v>
      </c>
      <c r="I146" s="70">
        <v>1.53</v>
      </c>
      <c r="J146" s="70"/>
      <c r="K146" s="70">
        <v>0.0</v>
      </c>
      <c r="L146" s="70"/>
      <c r="M146" s="70">
        <v>1.0045</v>
      </c>
      <c r="N146" s="70">
        <v>1.1440000000000001</v>
      </c>
      <c r="O146" s="70">
        <v>1.034</v>
      </c>
      <c r="P146" s="70">
        <v>1.128</v>
      </c>
      <c r="Q146" s="70">
        <v>1.0865</v>
      </c>
      <c r="R146" s="70">
        <v>1.069</v>
      </c>
      <c r="S146" s="70">
        <v>1.05</v>
      </c>
      <c r="T146" s="70">
        <v>1.5065</v>
      </c>
      <c r="U146" s="70">
        <v>1.0</v>
      </c>
      <c r="V146" s="70">
        <v>0.0</v>
      </c>
      <c r="W146" s="70">
        <v>0.975</v>
      </c>
      <c r="X146" s="70">
        <v>0.0</v>
      </c>
      <c r="Y146" s="70">
        <v>786.0</v>
      </c>
      <c r="Z146" s="70">
        <v>1.6994999999999998</v>
      </c>
      <c r="AA146" s="70">
        <v>1.0786</v>
      </c>
      <c r="AB146" s="70">
        <v>1.1440000000000001</v>
      </c>
      <c r="AC146" s="70">
        <v>1.4585</v>
      </c>
      <c r="AD146" s="70">
        <v>1.465</v>
      </c>
      <c r="AE146" s="70">
        <v>1.4565100000000002</v>
      </c>
      <c r="AF146" s="70">
        <v>1.1919</v>
      </c>
      <c r="AG146" s="70">
        <v>1.5453000000000001</v>
      </c>
      <c r="AH146" s="70">
        <v>1.5057</v>
      </c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21"/>
      <c r="AX146" s="73">
        <v>17700.0</v>
      </c>
      <c r="AY146" s="73">
        <v>604.0</v>
      </c>
      <c r="AZ146" s="73">
        <v>5698.01536</v>
      </c>
      <c r="BA146" s="73">
        <v>27300.0</v>
      </c>
      <c r="BB146" s="73">
        <v>5756.663693</v>
      </c>
      <c r="BC146" s="73">
        <v>8037.537833</v>
      </c>
      <c r="BD146" s="73"/>
      <c r="BE146" s="21"/>
      <c r="BF146" s="21"/>
      <c r="BG146" s="21">
        <v>2021852.01</v>
      </c>
      <c r="BH146" s="21"/>
      <c r="BI146" s="72"/>
      <c r="BJ146" s="21"/>
      <c r="BK146" s="72"/>
      <c r="BL146" s="21"/>
      <c r="BM146" s="72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</row>
    <row r="147" ht="15.75" customHeight="1">
      <c r="A147" s="56">
        <v>45895.0</v>
      </c>
      <c r="B147" s="70">
        <v>1372.0</v>
      </c>
      <c r="C147" s="70">
        <v>1352.0</v>
      </c>
      <c r="D147" s="70">
        <v>1345.0</v>
      </c>
      <c r="E147" s="70">
        <v>14.0</v>
      </c>
      <c r="F147" s="70"/>
      <c r="G147" s="70"/>
      <c r="H147" s="70">
        <v>2.0675</v>
      </c>
      <c r="I147" s="70">
        <v>1.56</v>
      </c>
      <c r="J147" s="70"/>
      <c r="K147" s="70">
        <v>0.0</v>
      </c>
      <c r="L147" s="70"/>
      <c r="M147" s="70">
        <v>1.012</v>
      </c>
      <c r="N147" s="70">
        <v>1.1704999999999999</v>
      </c>
      <c r="O147" s="70">
        <v>1.034</v>
      </c>
      <c r="P147" s="70">
        <v>1.1415</v>
      </c>
      <c r="Q147" s="70">
        <v>1.092</v>
      </c>
      <c r="R147" s="70">
        <v>1.0659999999999998</v>
      </c>
      <c r="S147" s="70">
        <v>1.05</v>
      </c>
      <c r="T147" s="70">
        <v>1.54</v>
      </c>
      <c r="U147" s="70">
        <v>1.0</v>
      </c>
      <c r="V147" s="70">
        <v>0.0</v>
      </c>
      <c r="W147" s="70">
        <v>0.973</v>
      </c>
      <c r="X147" s="70">
        <v>0.0</v>
      </c>
      <c r="Y147" s="70">
        <v>785.0</v>
      </c>
      <c r="Z147" s="70">
        <v>1.7165000000000001</v>
      </c>
      <c r="AA147" s="70">
        <v>1.082</v>
      </c>
      <c r="AB147" s="70">
        <v>1.166</v>
      </c>
      <c r="AC147" s="70">
        <v>1.4745</v>
      </c>
      <c r="AD147" s="70">
        <v>1.4715</v>
      </c>
      <c r="AE147" s="70">
        <v>1.4565100000000002</v>
      </c>
      <c r="AF147" s="70">
        <v>1.2085</v>
      </c>
      <c r="AG147" s="70">
        <v>1.5525</v>
      </c>
      <c r="AH147" s="70">
        <v>1.5165</v>
      </c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21"/>
      <c r="AX147" s="73">
        <v>17875.0</v>
      </c>
      <c r="AY147" s="73">
        <v>589.0</v>
      </c>
      <c r="AZ147" s="73">
        <v>5598.919441</v>
      </c>
      <c r="BA147" s="73">
        <v>27150.0</v>
      </c>
      <c r="BB147" s="73">
        <v>5733.923034</v>
      </c>
      <c r="BC147" s="73">
        <v>7919.915328</v>
      </c>
      <c r="BD147" s="73"/>
      <c r="BE147" s="21"/>
      <c r="BF147" s="21"/>
      <c r="BG147" s="21">
        <v>2033345.31</v>
      </c>
      <c r="BH147" s="21"/>
      <c r="BI147" s="72"/>
      <c r="BJ147" s="21"/>
      <c r="BK147" s="72"/>
      <c r="BL147" s="21"/>
      <c r="BM147" s="72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</row>
    <row r="148" ht="15.75" customHeight="1">
      <c r="A148" s="56">
        <v>45896.0</v>
      </c>
      <c r="B148" s="70">
        <v>1364.0</v>
      </c>
      <c r="C148" s="70">
        <v>1384.0</v>
      </c>
      <c r="D148" s="70">
        <v>1340.0</v>
      </c>
      <c r="E148" s="70">
        <v>14.29</v>
      </c>
      <c r="F148" s="70"/>
      <c r="G148" s="70"/>
      <c r="H148" s="70">
        <v>2.0785</v>
      </c>
      <c r="I148" s="70">
        <v>1.589</v>
      </c>
      <c r="J148" s="70"/>
      <c r="K148" s="70">
        <v>0.0</v>
      </c>
      <c r="L148" s="70"/>
      <c r="M148" s="70">
        <v>1.008</v>
      </c>
      <c r="N148" s="70">
        <v>1.1595</v>
      </c>
      <c r="O148" s="70">
        <v>1.034</v>
      </c>
      <c r="P148" s="70">
        <v>1.147</v>
      </c>
      <c r="Q148" s="70">
        <v>1.1025</v>
      </c>
      <c r="R148" s="70">
        <v>1.07</v>
      </c>
      <c r="S148" s="70">
        <v>1.0590000000000002</v>
      </c>
      <c r="T148" s="70">
        <v>1.584</v>
      </c>
      <c r="U148" s="70">
        <v>1.0</v>
      </c>
      <c r="V148" s="70">
        <v>0.0</v>
      </c>
      <c r="W148" s="70">
        <v>0.9765</v>
      </c>
      <c r="X148" s="70">
        <v>0.0</v>
      </c>
      <c r="Y148" s="70">
        <v>792.8</v>
      </c>
      <c r="Z148" s="70">
        <v>1.7515</v>
      </c>
      <c r="AA148" s="70">
        <v>1.0825</v>
      </c>
      <c r="AB148" s="70">
        <v>1.16</v>
      </c>
      <c r="AC148" s="70">
        <v>1.463</v>
      </c>
      <c r="AD148" s="70">
        <v>1.474</v>
      </c>
      <c r="AE148" s="70">
        <v>1.4565100000000002</v>
      </c>
      <c r="AF148" s="70">
        <v>1.2091</v>
      </c>
      <c r="AG148" s="70">
        <v>1.5538999999999998</v>
      </c>
      <c r="AH148" s="70">
        <v>1.5205000000000002</v>
      </c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21"/>
      <c r="AX148" s="73">
        <v>17600.0</v>
      </c>
      <c r="AY148" s="73">
        <v>585.0</v>
      </c>
      <c r="AZ148" s="73">
        <v>5370.998826</v>
      </c>
      <c r="BA148" s="73">
        <v>27275.0</v>
      </c>
      <c r="BB148" s="73">
        <v>5485.486161</v>
      </c>
      <c r="BC148" s="73">
        <v>7549.849158</v>
      </c>
      <c r="BD148" s="73"/>
      <c r="BE148" s="21"/>
      <c r="BF148" s="21"/>
      <c r="BG148" s="21">
        <v>1974150.59</v>
      </c>
      <c r="BH148" s="21"/>
      <c r="BI148" s="72"/>
      <c r="BJ148" s="21"/>
      <c r="BK148" s="72"/>
      <c r="BL148" s="21"/>
      <c r="BM148" s="72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</row>
    <row r="149" ht="15.75" customHeight="1">
      <c r="A149" s="56">
        <v>45897.0</v>
      </c>
      <c r="B149" s="70">
        <v>1367.1</v>
      </c>
      <c r="C149" s="70">
        <v>1355.0</v>
      </c>
      <c r="D149" s="70">
        <v>1340.0</v>
      </c>
      <c r="E149" s="70">
        <v>14.73</v>
      </c>
      <c r="F149" s="70"/>
      <c r="G149" s="70"/>
      <c r="H149" s="70">
        <v>2.112</v>
      </c>
      <c r="I149" s="70">
        <v>1.626</v>
      </c>
      <c r="J149" s="70"/>
      <c r="K149" s="70">
        <v>0.0</v>
      </c>
      <c r="L149" s="70"/>
      <c r="M149" s="70">
        <v>1.025</v>
      </c>
      <c r="N149" s="70">
        <v>1.1835</v>
      </c>
      <c r="O149" s="70">
        <v>1.034</v>
      </c>
      <c r="P149" s="70">
        <v>1.165</v>
      </c>
      <c r="Q149" s="70">
        <v>1.128</v>
      </c>
      <c r="R149" s="70">
        <v>1.097</v>
      </c>
      <c r="S149" s="70">
        <v>1.0759999999999998</v>
      </c>
      <c r="T149" s="70">
        <v>1.6225</v>
      </c>
      <c r="U149" s="70">
        <v>1.0</v>
      </c>
      <c r="V149" s="70">
        <v>0.0</v>
      </c>
      <c r="W149" s="70">
        <v>0.998</v>
      </c>
      <c r="X149" s="70">
        <v>0.0</v>
      </c>
      <c r="Y149" s="70">
        <v>790.6</v>
      </c>
      <c r="Z149" s="70">
        <v>1.81</v>
      </c>
      <c r="AA149" s="70">
        <v>1.0974</v>
      </c>
      <c r="AB149" s="70">
        <v>1.18</v>
      </c>
      <c r="AC149" s="70">
        <v>1.4875</v>
      </c>
      <c r="AD149" s="70">
        <v>1.4880000000000002</v>
      </c>
      <c r="AE149" s="70">
        <v>1.4565100000000002</v>
      </c>
      <c r="AF149" s="70">
        <v>1.2229999999999999</v>
      </c>
      <c r="AG149" s="70">
        <v>1.5605099999999998</v>
      </c>
      <c r="AH149" s="70">
        <v>1.5292</v>
      </c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21"/>
      <c r="AX149" s="73">
        <v>17700.0</v>
      </c>
      <c r="AY149" s="73">
        <v>574.0</v>
      </c>
      <c r="AZ149" s="73">
        <v>5321.450867</v>
      </c>
      <c r="BA149" s="73">
        <v>27700.0</v>
      </c>
      <c r="BB149" s="73">
        <v>5574.923435</v>
      </c>
      <c r="BC149" s="73">
        <v>7826.183506</v>
      </c>
      <c r="BD149" s="73"/>
      <c r="BE149" s="21"/>
      <c r="BF149" s="21"/>
      <c r="BG149" s="21">
        <v>1997378.72</v>
      </c>
      <c r="BH149" s="21"/>
      <c r="BI149" s="72"/>
      <c r="BJ149" s="21"/>
      <c r="BK149" s="72"/>
      <c r="BL149" s="21"/>
      <c r="BM149" s="72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</row>
    <row r="150" ht="15.75" customHeight="1">
      <c r="A150" s="56">
        <v>45898.0</v>
      </c>
      <c r="B150" s="70">
        <v>1370.1</v>
      </c>
      <c r="C150" s="70">
        <v>1386.9</v>
      </c>
      <c r="D150" s="70">
        <v>1356.0</v>
      </c>
      <c r="E150" s="70">
        <v>14.7</v>
      </c>
      <c r="F150" s="70"/>
      <c r="G150" s="70"/>
      <c r="H150" s="70">
        <v>2.12</v>
      </c>
      <c r="I150" s="70">
        <v>1.63</v>
      </c>
      <c r="J150" s="70"/>
      <c r="K150" s="70">
        <v>0.0</v>
      </c>
      <c r="L150" s="70"/>
      <c r="M150" s="70">
        <v>1.022</v>
      </c>
      <c r="N150" s="70">
        <v>1.1795</v>
      </c>
      <c r="O150" s="70">
        <v>1.034</v>
      </c>
      <c r="P150" s="70">
        <v>1.161</v>
      </c>
      <c r="Q150" s="70">
        <v>1.1225</v>
      </c>
      <c r="R150" s="70">
        <v>1.0959999999999999</v>
      </c>
      <c r="S150" s="70">
        <v>1.0745</v>
      </c>
      <c r="T150" s="70">
        <v>1.6205</v>
      </c>
      <c r="U150" s="70">
        <v>1.0</v>
      </c>
      <c r="V150" s="70">
        <v>0.0</v>
      </c>
      <c r="W150" s="70">
        <v>0.9895</v>
      </c>
      <c r="X150" s="70">
        <v>0.0</v>
      </c>
      <c r="Y150" s="70">
        <v>795.0</v>
      </c>
      <c r="Z150" s="70">
        <v>1.827</v>
      </c>
      <c r="AA150" s="70">
        <v>1.109</v>
      </c>
      <c r="AB150" s="70">
        <v>1.1755</v>
      </c>
      <c r="AC150" s="70">
        <v>1.4909999999999999</v>
      </c>
      <c r="AD150" s="70">
        <v>1.5015</v>
      </c>
      <c r="AE150" s="70">
        <v>0.0</v>
      </c>
      <c r="AF150" s="70">
        <v>1.2339</v>
      </c>
      <c r="AG150" s="70">
        <v>1.5684</v>
      </c>
      <c r="AH150" s="70">
        <v>1.54249</v>
      </c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21"/>
      <c r="AX150" s="73">
        <v>17575.0</v>
      </c>
      <c r="AY150" s="73">
        <v>570.0</v>
      </c>
      <c r="AZ150" s="73">
        <v>5252.083723</v>
      </c>
      <c r="BA150" s="73">
        <v>27900.0</v>
      </c>
      <c r="BB150" s="73">
        <v>5485.486161</v>
      </c>
      <c r="BC150" s="73">
        <v>7717.623584</v>
      </c>
      <c r="BD150" s="73"/>
      <c r="BE150" s="21"/>
      <c r="BF150" s="21"/>
      <c r="BG150" s="21">
        <v>1984845.04</v>
      </c>
      <c r="BH150" s="21"/>
      <c r="BI150" s="72"/>
      <c r="BJ150" s="21"/>
      <c r="BK150" s="72"/>
      <c r="BL150" s="21"/>
      <c r="BM150" s="72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</row>
    <row r="151" ht="15.75" customHeight="1">
      <c r="A151" s="56">
        <v>45901.0</v>
      </c>
      <c r="B151" s="70">
        <v>1389.0</v>
      </c>
      <c r="C151" s="70">
        <v>1394.1</v>
      </c>
      <c r="D151" s="70">
        <v>1375.0</v>
      </c>
      <c r="E151" s="70">
        <v>14.67</v>
      </c>
      <c r="F151" s="70"/>
      <c r="G151" s="70"/>
      <c r="H151" s="70">
        <v>2.1205000000000003</v>
      </c>
      <c r="I151" s="70">
        <v>1.6119999999999999</v>
      </c>
      <c r="J151" s="70"/>
      <c r="K151" s="70">
        <v>0.0</v>
      </c>
      <c r="L151" s="70"/>
      <c r="M151" s="70">
        <v>1.016</v>
      </c>
      <c r="N151" s="70">
        <v>1.17</v>
      </c>
      <c r="O151" s="70">
        <v>1.034</v>
      </c>
      <c r="P151" s="70">
        <v>1.1575</v>
      </c>
      <c r="Q151" s="70">
        <v>1.115</v>
      </c>
      <c r="R151" s="70">
        <v>1.091</v>
      </c>
      <c r="S151" s="70">
        <v>1.0715000000000001</v>
      </c>
      <c r="T151" s="70">
        <v>1.6065</v>
      </c>
      <c r="U151" s="70">
        <v>1.0</v>
      </c>
      <c r="V151" s="70">
        <v>0.0</v>
      </c>
      <c r="W151" s="70">
        <v>0.971</v>
      </c>
      <c r="X151" s="70">
        <v>0.0</v>
      </c>
      <c r="Y151" s="70">
        <v>796.2</v>
      </c>
      <c r="Z151" s="70">
        <v>1.801</v>
      </c>
      <c r="AA151" s="70">
        <v>1.10417</v>
      </c>
      <c r="AB151" s="70">
        <v>1.1775</v>
      </c>
      <c r="AC151" s="70">
        <v>1.4925</v>
      </c>
      <c r="AD151" s="70">
        <v>1.501</v>
      </c>
      <c r="AE151" s="70">
        <v>0.0</v>
      </c>
      <c r="AF151" s="70">
        <v>1.2320099999999998</v>
      </c>
      <c r="AG151" s="70">
        <v>1.5693000000000001</v>
      </c>
      <c r="AH151" s="70">
        <v>1.53949</v>
      </c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21"/>
      <c r="AX151" s="73">
        <v>17525.0</v>
      </c>
      <c r="AY151" s="73">
        <v>578.0</v>
      </c>
      <c r="AZ151" s="73">
        <v>5152.987804</v>
      </c>
      <c r="BA151" s="73">
        <v>28125.0</v>
      </c>
      <c r="BB151" s="73">
        <v>5346.361512</v>
      </c>
      <c r="BC151" s="73">
        <v>7559.718242</v>
      </c>
      <c r="BD151" s="73"/>
      <c r="BE151" s="21"/>
      <c r="BF151" s="21"/>
      <c r="BG151" s="21">
        <v>1939743.31</v>
      </c>
      <c r="BH151" s="21"/>
      <c r="BI151" s="72"/>
      <c r="BJ151" s="21"/>
      <c r="BK151" s="72"/>
      <c r="BL151" s="21"/>
      <c r="BM151" s="72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</row>
    <row r="152" ht="15.75" customHeight="1">
      <c r="A152" s="56">
        <v>45902.0</v>
      </c>
      <c r="B152" s="70">
        <v>1390.0</v>
      </c>
      <c r="C152" s="70">
        <v>1399.0</v>
      </c>
      <c r="D152" s="70">
        <v>1365.0</v>
      </c>
      <c r="E152" s="70">
        <v>14.6</v>
      </c>
      <c r="F152" s="70"/>
      <c r="G152" s="70"/>
      <c r="H152" s="70">
        <v>2.128</v>
      </c>
      <c r="I152" s="70">
        <v>1.611</v>
      </c>
      <c r="J152" s="70"/>
      <c r="K152" s="70">
        <v>0.0</v>
      </c>
      <c r="L152" s="70"/>
      <c r="M152" s="70">
        <v>1.013</v>
      </c>
      <c r="N152" s="70">
        <v>1.1704999999999999</v>
      </c>
      <c r="O152" s="70">
        <v>1.034</v>
      </c>
      <c r="P152" s="70">
        <v>1.1545</v>
      </c>
      <c r="Q152" s="70">
        <v>1.117</v>
      </c>
      <c r="R152" s="70">
        <v>1.084</v>
      </c>
      <c r="S152" s="70">
        <v>1.0554999999999999</v>
      </c>
      <c r="T152" s="70">
        <v>1.59</v>
      </c>
      <c r="U152" s="70">
        <v>1.0</v>
      </c>
      <c r="V152" s="70">
        <v>0.0</v>
      </c>
      <c r="W152" s="70">
        <v>0.9603</v>
      </c>
      <c r="X152" s="70">
        <v>0.0</v>
      </c>
      <c r="Y152" s="70">
        <v>785.2</v>
      </c>
      <c r="Z152" s="70">
        <v>1.794</v>
      </c>
      <c r="AA152" s="70">
        <v>1.097</v>
      </c>
      <c r="AB152" s="70">
        <v>1.1715</v>
      </c>
      <c r="AC152" s="70">
        <v>1.4938</v>
      </c>
      <c r="AD152" s="70">
        <v>1.4955</v>
      </c>
      <c r="AE152" s="70">
        <v>0.0</v>
      </c>
      <c r="AF152" s="70">
        <v>1.2265000000000001</v>
      </c>
      <c r="AG152" s="70">
        <v>1.568</v>
      </c>
      <c r="AH152" s="70">
        <v>1.54079</v>
      </c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21"/>
      <c r="AX152" s="73">
        <v>17900.0</v>
      </c>
      <c r="AY152" s="73">
        <v>553.0</v>
      </c>
      <c r="AZ152" s="73">
        <v>5370.998826</v>
      </c>
      <c r="BA152" s="73">
        <v>27200.0</v>
      </c>
      <c r="BB152" s="73">
        <v>5584.86091</v>
      </c>
      <c r="BC152" s="73">
        <v>7826.183506</v>
      </c>
      <c r="BD152" s="73"/>
      <c r="BE152" s="21"/>
      <c r="BF152" s="21"/>
      <c r="BG152" s="21">
        <v>1975729.46</v>
      </c>
      <c r="BH152" s="21"/>
      <c r="BI152" s="72"/>
      <c r="BJ152" s="21"/>
      <c r="BK152" s="72"/>
      <c r="BL152" s="21"/>
      <c r="BM152" s="72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</row>
    <row r="153" ht="15.75" customHeight="1">
      <c r="A153" s="56">
        <v>45903.0</v>
      </c>
      <c r="B153" s="70">
        <v>1395.0</v>
      </c>
      <c r="C153" s="70">
        <v>1420.0</v>
      </c>
      <c r="D153" s="70">
        <v>1367.0</v>
      </c>
      <c r="E153" s="70">
        <v>14.5</v>
      </c>
      <c r="F153" s="70"/>
      <c r="G153" s="70"/>
      <c r="H153" s="70">
        <v>2.125</v>
      </c>
      <c r="I153" s="70">
        <v>1.615</v>
      </c>
      <c r="J153" s="70"/>
      <c r="K153" s="70">
        <v>0.0</v>
      </c>
      <c r="L153" s="70"/>
      <c r="M153" s="70">
        <v>1.0125</v>
      </c>
      <c r="N153" s="70">
        <v>1.1645</v>
      </c>
      <c r="O153" s="70">
        <v>1.034</v>
      </c>
      <c r="P153" s="70">
        <v>1.157</v>
      </c>
      <c r="Q153" s="70">
        <v>1.1105</v>
      </c>
      <c r="R153" s="70">
        <v>1.0759999999999998</v>
      </c>
      <c r="S153" s="70">
        <v>1.052</v>
      </c>
      <c r="T153" s="70">
        <v>1.587</v>
      </c>
      <c r="U153" s="70">
        <v>1.0</v>
      </c>
      <c r="V153" s="70">
        <v>0.0</v>
      </c>
      <c r="W153" s="70">
        <v>0.973</v>
      </c>
      <c r="X153" s="70">
        <v>0.0</v>
      </c>
      <c r="Y153" s="70">
        <v>782.6</v>
      </c>
      <c r="Z153" s="70">
        <v>1.785</v>
      </c>
      <c r="AA153" s="70">
        <v>1.095</v>
      </c>
      <c r="AB153" s="70">
        <v>1.167</v>
      </c>
      <c r="AC153" s="70">
        <v>1.485</v>
      </c>
      <c r="AD153" s="70">
        <v>1.4945</v>
      </c>
      <c r="AE153" s="70">
        <v>0.0</v>
      </c>
      <c r="AF153" s="70">
        <v>1.2255</v>
      </c>
      <c r="AG153" s="70">
        <v>1.5707</v>
      </c>
      <c r="AH153" s="70">
        <v>1.5385900000000001</v>
      </c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21"/>
      <c r="AX153" s="73">
        <v>17450.0</v>
      </c>
      <c r="AY153" s="73">
        <v>540.0</v>
      </c>
      <c r="AZ153" s="73">
        <v>5242.174131</v>
      </c>
      <c r="BA153" s="73">
        <v>27100.0</v>
      </c>
      <c r="BB153" s="73">
        <v>5505.361111</v>
      </c>
      <c r="BC153" s="73">
        <v>7618.932745</v>
      </c>
      <c r="BD153" s="73"/>
      <c r="BE153" s="21"/>
      <c r="BF153" s="21"/>
      <c r="BG153" s="21">
        <v>1933986.48</v>
      </c>
      <c r="BH153" s="21"/>
      <c r="BI153" s="72"/>
      <c r="BJ153" s="21"/>
      <c r="BK153" s="72"/>
      <c r="BL153" s="21"/>
      <c r="BM153" s="72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</row>
    <row r="154" ht="15.75" customHeight="1">
      <c r="A154" s="56">
        <v>45904.0</v>
      </c>
      <c r="B154" s="70">
        <v>1397.1</v>
      </c>
      <c r="C154" s="70">
        <v>1396.0</v>
      </c>
      <c r="D154" s="70">
        <v>1365.0</v>
      </c>
      <c r="E154" s="70">
        <v>14.6</v>
      </c>
      <c r="F154" s="70"/>
      <c r="G154" s="70"/>
      <c r="H154" s="70">
        <v>2.1265</v>
      </c>
      <c r="I154" s="70">
        <v>1.63</v>
      </c>
      <c r="J154" s="70"/>
      <c r="K154" s="70">
        <v>0.0</v>
      </c>
      <c r="L154" s="70"/>
      <c r="M154" s="70">
        <v>1.0195</v>
      </c>
      <c r="N154" s="70">
        <v>1.1675</v>
      </c>
      <c r="O154" s="70">
        <v>1.034</v>
      </c>
      <c r="P154" s="70">
        <v>1.1695</v>
      </c>
      <c r="Q154" s="70">
        <v>1.1185</v>
      </c>
      <c r="R154" s="70">
        <v>1.0895000000000001</v>
      </c>
      <c r="S154" s="70">
        <v>1.0705</v>
      </c>
      <c r="T154" s="70">
        <v>1.6019999999999999</v>
      </c>
      <c r="U154" s="70">
        <v>1.0</v>
      </c>
      <c r="V154" s="70">
        <v>0.0</v>
      </c>
      <c r="W154" s="70">
        <v>0.96</v>
      </c>
      <c r="X154" s="70">
        <v>0.0</v>
      </c>
      <c r="Y154" s="70">
        <v>778.0</v>
      </c>
      <c r="Z154" s="70">
        <v>1.815</v>
      </c>
      <c r="AA154" s="70">
        <v>1.095</v>
      </c>
      <c r="AB154" s="70">
        <v>1.1675</v>
      </c>
      <c r="AC154" s="70">
        <v>1.482</v>
      </c>
      <c r="AD154" s="70">
        <v>1.496</v>
      </c>
      <c r="AE154" s="70">
        <v>0.0</v>
      </c>
      <c r="AF154" s="70">
        <v>1.2265000000000001</v>
      </c>
      <c r="AG154" s="70">
        <v>1.5733000000000001</v>
      </c>
      <c r="AH154" s="70">
        <v>1.5404</v>
      </c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21"/>
      <c r="AX154" s="73">
        <v>17900.0</v>
      </c>
      <c r="AY154" s="73">
        <v>530.0</v>
      </c>
      <c r="AZ154" s="73">
        <v>5489.91393</v>
      </c>
      <c r="BA154" s="73">
        <v>27800.0</v>
      </c>
      <c r="BB154" s="73">
        <v>5684.235659</v>
      </c>
      <c r="BC154" s="73">
        <v>7905.136177</v>
      </c>
      <c r="BD154" s="73"/>
      <c r="BE154" s="21"/>
      <c r="BF154" s="21"/>
      <c r="BG154" s="21">
        <v>1990319.8</v>
      </c>
      <c r="BH154" s="21"/>
      <c r="BI154" s="72"/>
      <c r="BJ154" s="21"/>
      <c r="BK154" s="72"/>
      <c r="BL154" s="21"/>
      <c r="BM154" s="72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</row>
    <row r="155" ht="15.75" customHeight="1">
      <c r="A155" s="56">
        <v>45905.0</v>
      </c>
      <c r="B155" s="70">
        <v>1409.0</v>
      </c>
      <c r="C155" s="70">
        <v>1399.8</v>
      </c>
      <c r="D155" s="70">
        <v>1389.0</v>
      </c>
      <c r="E155" s="70">
        <v>14.85</v>
      </c>
      <c r="F155" s="70"/>
      <c r="G155" s="70"/>
      <c r="H155" s="70">
        <v>2.126</v>
      </c>
      <c r="I155" s="70">
        <v>1.6465</v>
      </c>
      <c r="J155" s="70"/>
      <c r="K155" s="70">
        <v>0.0</v>
      </c>
      <c r="L155" s="70"/>
      <c r="M155" s="70">
        <v>1.0195</v>
      </c>
      <c r="N155" s="70">
        <v>1.17</v>
      </c>
      <c r="O155" s="70">
        <v>1.034</v>
      </c>
      <c r="P155" s="70">
        <v>1.1775</v>
      </c>
      <c r="Q155" s="70">
        <v>1.131</v>
      </c>
      <c r="R155" s="70">
        <v>1.0975</v>
      </c>
      <c r="S155" s="70">
        <v>1.084</v>
      </c>
      <c r="T155" s="70">
        <v>1.6269999999999998</v>
      </c>
      <c r="U155" s="70">
        <v>1.0</v>
      </c>
      <c r="V155" s="70">
        <v>0.0</v>
      </c>
      <c r="W155" s="70">
        <v>0.9695</v>
      </c>
      <c r="X155" s="70">
        <v>0.0</v>
      </c>
      <c r="Y155" s="70">
        <v>778.4</v>
      </c>
      <c r="Z155" s="70">
        <v>1.837</v>
      </c>
      <c r="AA155" s="70">
        <v>1.1065</v>
      </c>
      <c r="AB155" s="70">
        <v>1.1715</v>
      </c>
      <c r="AC155" s="70">
        <v>1.4925</v>
      </c>
      <c r="AD155" s="70">
        <v>1.5048</v>
      </c>
      <c r="AE155" s="70">
        <v>0.0</v>
      </c>
      <c r="AF155" s="70">
        <v>1.2326000000000001</v>
      </c>
      <c r="AG155" s="70">
        <v>1.5781999999999998</v>
      </c>
      <c r="AH155" s="70">
        <v>1.547</v>
      </c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21"/>
      <c r="AX155" s="73">
        <v>17650.0</v>
      </c>
      <c r="AY155" s="73">
        <v>510.0</v>
      </c>
      <c r="AZ155" s="73">
        <v>5531.60508</v>
      </c>
      <c r="BA155" s="73">
        <v>27900.0</v>
      </c>
      <c r="BB155" s="73">
        <v>5604.73586</v>
      </c>
      <c r="BC155" s="73">
        <v>8033.434268</v>
      </c>
      <c r="BD155" s="73"/>
      <c r="BE155" s="21"/>
      <c r="BF155" s="21"/>
      <c r="BG155" s="21">
        <v>1997624.37</v>
      </c>
      <c r="BH155" s="21"/>
      <c r="BI155" s="72"/>
      <c r="BJ155" s="21"/>
      <c r="BK155" s="72"/>
      <c r="BL155" s="21"/>
      <c r="BM155" s="72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</row>
    <row r="156" ht="15.75" customHeight="1">
      <c r="A156" s="56">
        <v>45908.0</v>
      </c>
      <c r="B156" s="70">
        <v>1467.5</v>
      </c>
      <c r="C156" s="70">
        <v>1458.0</v>
      </c>
      <c r="D156" s="70">
        <v>1380.0</v>
      </c>
      <c r="E156" s="70">
        <v>14.46</v>
      </c>
      <c r="F156" s="70"/>
      <c r="G156" s="70"/>
      <c r="H156" s="70">
        <v>2.095</v>
      </c>
      <c r="I156" s="70">
        <v>1.611</v>
      </c>
      <c r="J156" s="70"/>
      <c r="K156" s="70">
        <v>0.0</v>
      </c>
      <c r="L156" s="70"/>
      <c r="M156" s="70">
        <v>0.995</v>
      </c>
      <c r="N156" s="70">
        <v>1.146</v>
      </c>
      <c r="O156" s="70">
        <v>1.034</v>
      </c>
      <c r="P156" s="70">
        <v>1.172</v>
      </c>
      <c r="Q156" s="70">
        <v>1.1159999999999999</v>
      </c>
      <c r="R156" s="70">
        <v>1.09</v>
      </c>
      <c r="S156" s="70">
        <v>1.0695000000000001</v>
      </c>
      <c r="T156" s="70">
        <v>1.545</v>
      </c>
      <c r="U156" s="70">
        <v>1.0</v>
      </c>
      <c r="V156" s="70">
        <v>0.0</v>
      </c>
      <c r="W156" s="70">
        <v>0.9245</v>
      </c>
      <c r="X156" s="70">
        <v>0.0</v>
      </c>
      <c r="Y156" s="70">
        <v>753.0</v>
      </c>
      <c r="Z156" s="70">
        <v>1.778</v>
      </c>
      <c r="AA156" s="70">
        <v>1.088</v>
      </c>
      <c r="AB156" s="70">
        <v>1.145</v>
      </c>
      <c r="AC156" s="70">
        <v>1.48</v>
      </c>
      <c r="AD156" s="70">
        <v>1.5005000000000002</v>
      </c>
      <c r="AE156" s="70">
        <v>0.0</v>
      </c>
      <c r="AF156" s="70">
        <v>1.2225</v>
      </c>
      <c r="AG156" s="70">
        <v>1.5825</v>
      </c>
      <c r="AH156" s="70">
        <v>1.5474</v>
      </c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21"/>
      <c r="AX156" s="73">
        <v>16880.0</v>
      </c>
      <c r="AY156" s="73">
        <v>510.0</v>
      </c>
      <c r="AZ156" s="73">
        <v>4417.32492</v>
      </c>
      <c r="BA156" s="73">
        <v>28220.0</v>
      </c>
      <c r="BB156" s="73">
        <v>4479.316824</v>
      </c>
      <c r="BC156" s="73">
        <v>6469.184475</v>
      </c>
      <c r="BD156" s="73"/>
      <c r="BE156" s="21"/>
      <c r="BF156" s="21"/>
      <c r="BG156" s="21">
        <v>1732923.77</v>
      </c>
      <c r="BH156" s="21"/>
      <c r="BI156" s="72"/>
      <c r="BJ156" s="21"/>
      <c r="BK156" s="72"/>
      <c r="BL156" s="21"/>
      <c r="BM156" s="72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</row>
    <row r="157" ht="15.75" customHeight="1">
      <c r="A157" s="56">
        <v>45909.0</v>
      </c>
      <c r="B157" s="70">
        <v>1449.2</v>
      </c>
      <c r="C157" s="70">
        <v>1473.0</v>
      </c>
      <c r="D157" s="70">
        <v>1387.1</v>
      </c>
      <c r="E157" s="70">
        <v>14.625</v>
      </c>
      <c r="F157" s="70"/>
      <c r="G157" s="70"/>
      <c r="H157" s="70">
        <v>2.1145</v>
      </c>
      <c r="I157" s="70">
        <v>1.625</v>
      </c>
      <c r="J157" s="70"/>
      <c r="K157" s="70">
        <v>0.0</v>
      </c>
      <c r="L157" s="70"/>
      <c r="M157" s="70">
        <v>0.9937999999999999</v>
      </c>
      <c r="N157" s="70">
        <v>1.157</v>
      </c>
      <c r="O157" s="70">
        <v>1.034</v>
      </c>
      <c r="P157" s="70">
        <v>1.1740000000000002</v>
      </c>
      <c r="Q157" s="70">
        <v>1.1185</v>
      </c>
      <c r="R157" s="70">
        <v>1.0825</v>
      </c>
      <c r="S157" s="70">
        <v>1.067</v>
      </c>
      <c r="T157" s="70">
        <v>1.5615</v>
      </c>
      <c r="U157" s="70">
        <v>1.0</v>
      </c>
      <c r="V157" s="70">
        <v>0.0</v>
      </c>
      <c r="W157" s="70">
        <v>0.919</v>
      </c>
      <c r="X157" s="70">
        <v>0.0</v>
      </c>
      <c r="Y157" s="70">
        <v>771.0</v>
      </c>
      <c r="Z157" s="70">
        <v>1.786</v>
      </c>
      <c r="AA157" s="70">
        <v>1.1079999999999999</v>
      </c>
      <c r="AB157" s="70">
        <v>1.155</v>
      </c>
      <c r="AC157" s="70">
        <v>1.4894999999999998</v>
      </c>
      <c r="AD157" s="70">
        <v>1.5196</v>
      </c>
      <c r="AE157" s="70">
        <v>0.0</v>
      </c>
      <c r="AF157" s="70">
        <v>1.24</v>
      </c>
      <c r="AG157" s="70">
        <v>1.5856800000000002</v>
      </c>
      <c r="AH157" s="70">
        <v>1.5590000000000002</v>
      </c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21"/>
      <c r="AX157" s="73">
        <v>17080.0</v>
      </c>
      <c r="AY157" s="73">
        <v>520.0</v>
      </c>
      <c r="AZ157" s="73">
        <v>4302.912225</v>
      </c>
      <c r="BA157" s="73">
        <v>28400.0</v>
      </c>
      <c r="BB157" s="73">
        <v>4372.488969</v>
      </c>
      <c r="BC157" s="73">
        <v>6222.457378</v>
      </c>
      <c r="BD157" s="73"/>
      <c r="BE157" s="21"/>
      <c r="BF157" s="21"/>
      <c r="BG157" s="21">
        <v>1728446.73</v>
      </c>
      <c r="BH157" s="21"/>
      <c r="BI157" s="72"/>
      <c r="BJ157" s="21"/>
      <c r="BK157" s="72"/>
      <c r="BL157" s="21"/>
      <c r="BM157" s="72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</row>
    <row r="158" ht="15.75" customHeight="1">
      <c r="A158" s="56">
        <v>45910.0</v>
      </c>
      <c r="B158" s="70">
        <v>1520.0</v>
      </c>
      <c r="C158" s="70">
        <v>1460.0</v>
      </c>
      <c r="D158" s="70">
        <v>1410.0</v>
      </c>
      <c r="E158" s="70">
        <v>14.85</v>
      </c>
      <c r="F158" s="70"/>
      <c r="G158" s="70"/>
      <c r="H158" s="70">
        <v>2.155</v>
      </c>
      <c r="I158" s="70">
        <v>1.645</v>
      </c>
      <c r="J158" s="70"/>
      <c r="K158" s="70">
        <v>0.0</v>
      </c>
      <c r="L158" s="70"/>
      <c r="M158" s="70">
        <v>1.0270000000000001</v>
      </c>
      <c r="N158" s="70">
        <v>1.187</v>
      </c>
      <c r="O158" s="70">
        <v>1.063</v>
      </c>
      <c r="P158" s="70">
        <v>1.1945000000000001</v>
      </c>
      <c r="Q158" s="70">
        <v>1.1284999999999998</v>
      </c>
      <c r="R158" s="70">
        <v>1.093</v>
      </c>
      <c r="S158" s="70">
        <v>1.0785</v>
      </c>
      <c r="T158" s="70">
        <v>1.61</v>
      </c>
      <c r="U158" s="70">
        <v>1.0274</v>
      </c>
      <c r="V158" s="70">
        <v>0.0</v>
      </c>
      <c r="W158" s="70">
        <v>0.9245</v>
      </c>
      <c r="X158" s="70">
        <v>0.0</v>
      </c>
      <c r="Y158" s="70">
        <v>783.3</v>
      </c>
      <c r="Z158" s="70">
        <v>1.845</v>
      </c>
      <c r="AA158" s="70">
        <v>1.125</v>
      </c>
      <c r="AB158" s="70">
        <v>1.1865</v>
      </c>
      <c r="AC158" s="70">
        <v>1.521</v>
      </c>
      <c r="AD158" s="70">
        <v>1.5290000000000001</v>
      </c>
      <c r="AE158" s="70">
        <v>0.0</v>
      </c>
      <c r="AF158" s="70">
        <v>1.25049</v>
      </c>
      <c r="AG158" s="70">
        <v>1.5883</v>
      </c>
      <c r="AH158" s="70">
        <v>1.5668</v>
      </c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21"/>
      <c r="AX158" s="73">
        <v>18240.0</v>
      </c>
      <c r="AY158" s="73">
        <v>551.5</v>
      </c>
      <c r="AZ158" s="73">
        <v>4591.431195</v>
      </c>
      <c r="BA158" s="73">
        <v>28000.0</v>
      </c>
      <c r="BB158" s="73">
        <v>4625.89458</v>
      </c>
      <c r="BC158" s="73">
        <v>6706.042487</v>
      </c>
      <c r="BD158" s="73"/>
      <c r="BE158" s="21"/>
      <c r="BF158" s="21"/>
      <c r="BG158" s="21">
        <v>1825227.53</v>
      </c>
      <c r="BH158" s="21"/>
      <c r="BI158" s="72"/>
      <c r="BJ158" s="21"/>
      <c r="BK158" s="72"/>
      <c r="BL158" s="21"/>
      <c r="BM158" s="72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</row>
    <row r="159" ht="15.75" customHeight="1">
      <c r="A159" s="56">
        <v>45911.0</v>
      </c>
      <c r="B159" s="70">
        <v>1467.5</v>
      </c>
      <c r="C159" s="70">
        <v>1450.0</v>
      </c>
      <c r="D159" s="70">
        <v>1425.0</v>
      </c>
      <c r="E159" s="70">
        <v>15.11</v>
      </c>
      <c r="F159" s="70"/>
      <c r="G159" s="70"/>
      <c r="H159" s="70">
        <v>2.181</v>
      </c>
      <c r="I159" s="70">
        <v>1.673</v>
      </c>
      <c r="J159" s="70"/>
      <c r="K159" s="70">
        <v>0.0</v>
      </c>
      <c r="L159" s="70"/>
      <c r="M159" s="70">
        <v>1.035</v>
      </c>
      <c r="N159" s="70">
        <v>1.2</v>
      </c>
      <c r="O159" s="70">
        <v>1.063</v>
      </c>
      <c r="P159" s="70">
        <v>1.2009999999999998</v>
      </c>
      <c r="Q159" s="70">
        <v>1.153</v>
      </c>
      <c r="R159" s="70">
        <v>1.1095</v>
      </c>
      <c r="S159" s="70">
        <v>1.0845</v>
      </c>
      <c r="T159" s="70">
        <v>1.649</v>
      </c>
      <c r="U159" s="70">
        <v>1.0274</v>
      </c>
      <c r="V159" s="70">
        <v>0.0</v>
      </c>
      <c r="W159" s="70">
        <v>0.935</v>
      </c>
      <c r="X159" s="70">
        <v>0.0</v>
      </c>
      <c r="Y159" s="70">
        <v>780.0</v>
      </c>
      <c r="Z159" s="70">
        <v>1.875</v>
      </c>
      <c r="AA159" s="70">
        <v>1.1355</v>
      </c>
      <c r="AB159" s="70">
        <v>1.2025</v>
      </c>
      <c r="AC159" s="70">
        <v>1.54</v>
      </c>
      <c r="AD159" s="70">
        <v>1.536</v>
      </c>
      <c r="AE159" s="70">
        <v>0.0</v>
      </c>
      <c r="AF159" s="70">
        <v>1.255</v>
      </c>
      <c r="AG159" s="70">
        <v>1.5883</v>
      </c>
      <c r="AH159" s="70">
        <v>1.5696</v>
      </c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21"/>
      <c r="AX159" s="73">
        <v>17980.0</v>
      </c>
      <c r="AY159" s="73">
        <v>550.5</v>
      </c>
      <c r="AZ159" s="73">
        <v>4499.403593</v>
      </c>
      <c r="BA159" s="73">
        <v>28180.0</v>
      </c>
      <c r="BB159" s="73">
        <v>4563.785361</v>
      </c>
      <c r="BC159" s="73">
        <v>6562.940771</v>
      </c>
      <c r="BD159" s="73"/>
      <c r="BE159" s="21"/>
      <c r="BF159" s="21"/>
      <c r="BG159" s="21">
        <v>1805181.98</v>
      </c>
      <c r="BH159" s="21"/>
      <c r="BI159" s="72"/>
      <c r="BJ159" s="21"/>
      <c r="BK159" s="72"/>
      <c r="BL159" s="21"/>
      <c r="BM159" s="72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</row>
    <row r="160" ht="15.75" customHeight="1">
      <c r="A160" s="56">
        <v>45912.0</v>
      </c>
      <c r="B160" s="70">
        <v>1483.0</v>
      </c>
      <c r="C160" s="70">
        <v>1520.0</v>
      </c>
      <c r="D160" s="70">
        <v>1465.0</v>
      </c>
      <c r="E160" s="70">
        <v>15.05</v>
      </c>
      <c r="F160" s="70"/>
      <c r="G160" s="70"/>
      <c r="H160" s="70">
        <v>2.1790000000000003</v>
      </c>
      <c r="I160" s="70">
        <v>1.6725</v>
      </c>
      <c r="J160" s="70"/>
      <c r="K160" s="70">
        <v>0.0</v>
      </c>
      <c r="L160" s="70"/>
      <c r="M160" s="70">
        <v>1.03</v>
      </c>
      <c r="N160" s="70">
        <v>1.1995</v>
      </c>
      <c r="O160" s="70">
        <v>1.063</v>
      </c>
      <c r="P160" s="70">
        <v>1.199</v>
      </c>
      <c r="Q160" s="70">
        <v>1.157</v>
      </c>
      <c r="R160" s="70">
        <v>1.1095</v>
      </c>
      <c r="S160" s="70">
        <v>1.08</v>
      </c>
      <c r="T160" s="70">
        <v>1.635</v>
      </c>
      <c r="U160" s="70">
        <v>1.0274</v>
      </c>
      <c r="V160" s="70">
        <v>0.0</v>
      </c>
      <c r="W160" s="70">
        <v>0.9395</v>
      </c>
      <c r="X160" s="70">
        <v>0.0</v>
      </c>
      <c r="Y160" s="70">
        <v>764.8</v>
      </c>
      <c r="Z160" s="70">
        <v>1.8519999999999999</v>
      </c>
      <c r="AA160" s="70">
        <v>1.1355</v>
      </c>
      <c r="AB160" s="70">
        <v>1.195</v>
      </c>
      <c r="AC160" s="70">
        <v>1.5285</v>
      </c>
      <c r="AD160" s="70">
        <v>1.5375</v>
      </c>
      <c r="AE160" s="70">
        <v>0.0</v>
      </c>
      <c r="AF160" s="70">
        <v>1.2595</v>
      </c>
      <c r="AG160" s="70">
        <v>1.5883</v>
      </c>
      <c r="AH160" s="70">
        <v>1.574</v>
      </c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70"/>
      <c r="AW160" s="21"/>
      <c r="AX160" s="73">
        <v>17630.0</v>
      </c>
      <c r="AY160" s="73">
        <v>540.0</v>
      </c>
      <c r="AZ160" s="73">
        <v>4387.47813</v>
      </c>
      <c r="BA160" s="73">
        <v>28780.0</v>
      </c>
      <c r="BB160" s="73">
        <v>4419.691975</v>
      </c>
      <c r="BC160" s="73">
        <v>6335.951842</v>
      </c>
      <c r="BD160" s="73"/>
      <c r="BE160" s="21"/>
      <c r="BF160" s="21"/>
      <c r="BG160" s="21">
        <v>1759873.99</v>
      </c>
      <c r="BH160" s="21"/>
      <c r="BI160" s="72"/>
      <c r="BJ160" s="21"/>
      <c r="BK160" s="72"/>
      <c r="BL160" s="21"/>
      <c r="BM160" s="72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</row>
    <row r="161" ht="15.75" customHeight="1">
      <c r="A161" s="56">
        <v>45915.0</v>
      </c>
      <c r="B161" s="70">
        <v>1455.0</v>
      </c>
      <c r="C161" s="70">
        <v>1510.0</v>
      </c>
      <c r="D161" s="70">
        <v>1498.9</v>
      </c>
      <c r="E161" s="70">
        <v>14.97</v>
      </c>
      <c r="F161" s="70"/>
      <c r="G161" s="70"/>
      <c r="H161" s="70">
        <v>2.185</v>
      </c>
      <c r="I161" s="70">
        <v>1.665</v>
      </c>
      <c r="J161" s="70"/>
      <c r="K161" s="70">
        <v>0.0</v>
      </c>
      <c r="L161" s="70"/>
      <c r="M161" s="70">
        <v>1.0170000000000001</v>
      </c>
      <c r="N161" s="70">
        <v>1.1885</v>
      </c>
      <c r="O161" s="70">
        <v>1.063</v>
      </c>
      <c r="P161" s="70">
        <v>1.19</v>
      </c>
      <c r="Q161" s="70">
        <v>1.1465</v>
      </c>
      <c r="R161" s="70">
        <v>1.09</v>
      </c>
      <c r="S161" s="70">
        <v>1.078</v>
      </c>
      <c r="T161" s="70">
        <v>1.587</v>
      </c>
      <c r="U161" s="70">
        <v>1.0274</v>
      </c>
      <c r="V161" s="70">
        <v>0.0</v>
      </c>
      <c r="W161" s="70">
        <v>0.925</v>
      </c>
      <c r="X161" s="70">
        <v>0.0</v>
      </c>
      <c r="Y161" s="70">
        <v>743.9</v>
      </c>
      <c r="Z161" s="70">
        <v>1.82</v>
      </c>
      <c r="AA161" s="70">
        <v>1.131</v>
      </c>
      <c r="AB161" s="70">
        <v>1.185</v>
      </c>
      <c r="AC161" s="70">
        <v>1.5219999999999998</v>
      </c>
      <c r="AD161" s="70">
        <v>1.5390000000000001</v>
      </c>
      <c r="AE161" s="70">
        <v>0.0</v>
      </c>
      <c r="AF161" s="70">
        <v>1.261</v>
      </c>
      <c r="AG161" s="70">
        <v>1.5883</v>
      </c>
      <c r="AH161" s="70">
        <v>1.5756000000000001</v>
      </c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21"/>
      <c r="AX161" s="73">
        <v>17620.0</v>
      </c>
      <c r="AY161" s="73">
        <v>555.5</v>
      </c>
      <c r="AZ161" s="73">
        <v>4283.014365</v>
      </c>
      <c r="BA161" s="73">
        <v>29160.0</v>
      </c>
      <c r="BB161" s="73">
        <v>4292.989169</v>
      </c>
      <c r="BC161" s="73">
        <v>6247.130088</v>
      </c>
      <c r="BD161" s="73"/>
      <c r="BE161" s="21"/>
      <c r="BF161" s="21"/>
      <c r="BG161" s="21">
        <v>1748701.64</v>
      </c>
      <c r="BH161" s="21"/>
      <c r="BI161" s="72"/>
      <c r="BJ161" s="21"/>
      <c r="BK161" s="72"/>
      <c r="BL161" s="21"/>
      <c r="BM161" s="72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</row>
    <row r="162" ht="15.75" customHeight="1">
      <c r="A162" s="56">
        <v>45916.0</v>
      </c>
      <c r="B162" s="70">
        <v>1497.0</v>
      </c>
      <c r="C162" s="70">
        <v>1523.8</v>
      </c>
      <c r="D162" s="70">
        <v>1480.0</v>
      </c>
      <c r="E162" s="70">
        <v>14.945</v>
      </c>
      <c r="F162" s="70"/>
      <c r="G162" s="70"/>
      <c r="H162" s="70">
        <v>2.185</v>
      </c>
      <c r="I162" s="70">
        <v>1.6675</v>
      </c>
      <c r="J162" s="70"/>
      <c r="K162" s="70">
        <v>0.0</v>
      </c>
      <c r="L162" s="70"/>
      <c r="M162" s="70">
        <v>1.0195</v>
      </c>
      <c r="N162" s="70">
        <v>1.192</v>
      </c>
      <c r="O162" s="70">
        <v>1.063</v>
      </c>
      <c r="P162" s="70">
        <v>1.1935</v>
      </c>
      <c r="Q162" s="70">
        <v>1.145</v>
      </c>
      <c r="R162" s="70">
        <v>1.0905</v>
      </c>
      <c r="S162" s="70">
        <v>1.0625</v>
      </c>
      <c r="T162" s="70">
        <v>1.5859999999999999</v>
      </c>
      <c r="U162" s="70">
        <v>1.0274</v>
      </c>
      <c r="V162" s="70">
        <v>0.0</v>
      </c>
      <c r="W162" s="70">
        <v>0.925</v>
      </c>
      <c r="X162" s="70">
        <v>0.0</v>
      </c>
      <c r="Y162" s="70">
        <v>754.5</v>
      </c>
      <c r="Z162" s="70">
        <v>1.82</v>
      </c>
      <c r="AA162" s="70">
        <v>1.137</v>
      </c>
      <c r="AB162" s="70">
        <v>1.1965000000000001</v>
      </c>
      <c r="AC162" s="70">
        <v>1.5341999999999998</v>
      </c>
      <c r="AD162" s="70">
        <v>1.544</v>
      </c>
      <c r="AE162" s="70">
        <v>0.0</v>
      </c>
      <c r="AF162" s="70">
        <v>1.2675</v>
      </c>
      <c r="AG162" s="70">
        <v>1.5883</v>
      </c>
      <c r="AH162" s="70">
        <v>1.5789</v>
      </c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21"/>
      <c r="AX162" s="73">
        <v>18080.0</v>
      </c>
      <c r="AY162" s="73">
        <v>571.5</v>
      </c>
      <c r="AZ162" s="73">
        <v>4417.32492</v>
      </c>
      <c r="BA162" s="73">
        <v>29400.0</v>
      </c>
      <c r="BB162" s="73">
        <v>4372.488969</v>
      </c>
      <c r="BC162" s="73">
        <v>6340.886384</v>
      </c>
      <c r="BD162" s="73"/>
      <c r="BE162" s="21"/>
      <c r="BF162" s="21"/>
      <c r="BG162" s="21">
        <v>1788268.73</v>
      </c>
      <c r="BH162" s="21"/>
      <c r="BI162" s="72"/>
      <c r="BJ162" s="21"/>
      <c r="BK162" s="72"/>
      <c r="BL162" s="21"/>
      <c r="BM162" s="72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</row>
    <row r="163" ht="15.75" customHeight="1">
      <c r="A163" s="56">
        <v>45917.0</v>
      </c>
      <c r="B163" s="70">
        <v>1519.9</v>
      </c>
      <c r="C163" s="70">
        <v>1511.0</v>
      </c>
      <c r="D163" s="70">
        <v>1492.9</v>
      </c>
      <c r="E163" s="70">
        <v>14.77</v>
      </c>
      <c r="F163" s="70"/>
      <c r="G163" s="70"/>
      <c r="H163" s="70">
        <v>2.185</v>
      </c>
      <c r="I163" s="70">
        <v>1.645</v>
      </c>
      <c r="J163" s="70"/>
      <c r="K163" s="70">
        <v>0.0</v>
      </c>
      <c r="L163" s="70"/>
      <c r="M163" s="70">
        <v>1.012</v>
      </c>
      <c r="N163" s="70">
        <v>1.189</v>
      </c>
      <c r="O163" s="70">
        <v>1.063</v>
      </c>
      <c r="P163" s="70">
        <v>1.1815</v>
      </c>
      <c r="Q163" s="70">
        <v>1.133</v>
      </c>
      <c r="R163" s="70">
        <v>1.083</v>
      </c>
      <c r="S163" s="70">
        <v>1.0490000000000002</v>
      </c>
      <c r="T163" s="70">
        <v>1.5575</v>
      </c>
      <c r="U163" s="70">
        <v>1.0274</v>
      </c>
      <c r="V163" s="70">
        <v>0.0</v>
      </c>
      <c r="W163" s="70">
        <v>0.9062</v>
      </c>
      <c r="X163" s="70">
        <v>0.0</v>
      </c>
      <c r="Y163" s="70">
        <v>741.3</v>
      </c>
      <c r="Z163" s="70">
        <v>1.7925</v>
      </c>
      <c r="AA163" s="70">
        <v>1.1355</v>
      </c>
      <c r="AB163" s="70">
        <v>1.19</v>
      </c>
      <c r="AC163" s="70">
        <v>1.531</v>
      </c>
      <c r="AD163" s="70">
        <v>1.5448</v>
      </c>
      <c r="AE163" s="70">
        <v>0.0</v>
      </c>
      <c r="AF163" s="70">
        <v>1.265</v>
      </c>
      <c r="AG163" s="70">
        <v>1.5883</v>
      </c>
      <c r="AH163" s="70">
        <v>1.57832</v>
      </c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21"/>
      <c r="AX163" s="73">
        <v>18260.0</v>
      </c>
      <c r="AY163" s="73">
        <v>570.5</v>
      </c>
      <c r="AZ163" s="73">
        <v>4384.990898</v>
      </c>
      <c r="BA163" s="73">
        <v>30500.0</v>
      </c>
      <c r="BB163" s="73">
        <v>4382.426444</v>
      </c>
      <c r="BC163" s="73">
        <v>6326.082759</v>
      </c>
      <c r="BD163" s="73"/>
      <c r="BE163" s="21"/>
      <c r="BF163" s="21"/>
      <c r="BG163" s="21">
        <v>1783519.79</v>
      </c>
      <c r="BH163" s="21"/>
      <c r="BI163" s="72"/>
      <c r="BJ163" s="21"/>
      <c r="BK163" s="72"/>
      <c r="BL163" s="21"/>
      <c r="BM163" s="72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</row>
    <row r="164" ht="15.75" customHeight="1">
      <c r="A164" s="56">
        <v>45918.0</v>
      </c>
      <c r="B164" s="70">
        <v>1520.0</v>
      </c>
      <c r="C164" s="70">
        <v>1550.0</v>
      </c>
      <c r="D164" s="70">
        <v>1509.9</v>
      </c>
      <c r="E164" s="70">
        <v>13.93</v>
      </c>
      <c r="F164" s="70"/>
      <c r="G164" s="70"/>
      <c r="H164" s="70">
        <v>2.0615</v>
      </c>
      <c r="I164" s="70">
        <v>1.56</v>
      </c>
      <c r="J164" s="70"/>
      <c r="K164" s="70">
        <v>0.0</v>
      </c>
      <c r="L164" s="70"/>
      <c r="M164" s="70">
        <v>0.985</v>
      </c>
      <c r="N164" s="70">
        <v>1.162</v>
      </c>
      <c r="O164" s="70">
        <v>1.063</v>
      </c>
      <c r="P164" s="70">
        <v>1.135</v>
      </c>
      <c r="Q164" s="70">
        <v>1.094</v>
      </c>
      <c r="R164" s="70">
        <v>1.03</v>
      </c>
      <c r="S164" s="70">
        <v>1.02</v>
      </c>
      <c r="T164" s="70">
        <v>1.4325</v>
      </c>
      <c r="U164" s="70">
        <v>1.0274</v>
      </c>
      <c r="V164" s="70">
        <v>0.0</v>
      </c>
      <c r="W164" s="70">
        <v>0.86</v>
      </c>
      <c r="X164" s="70">
        <v>0.0</v>
      </c>
      <c r="Y164" s="70">
        <v>694.5</v>
      </c>
      <c r="Z164" s="70">
        <v>1.694</v>
      </c>
      <c r="AA164" s="70">
        <v>1.1051</v>
      </c>
      <c r="AB164" s="70">
        <v>1.1595</v>
      </c>
      <c r="AC164" s="70">
        <v>1.4965000000000002</v>
      </c>
      <c r="AD164" s="70">
        <v>1.5355</v>
      </c>
      <c r="AE164" s="70">
        <v>0.0</v>
      </c>
      <c r="AF164" s="70">
        <v>1.25</v>
      </c>
      <c r="AG164" s="70">
        <v>1.5883</v>
      </c>
      <c r="AH164" s="70">
        <v>1.5715000000000001</v>
      </c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 s="21"/>
      <c r="AX164" s="73">
        <v>18030.0</v>
      </c>
      <c r="AY164" s="73">
        <v>543.5</v>
      </c>
      <c r="AZ164" s="73">
        <v>4173.576135</v>
      </c>
      <c r="BA164" s="73">
        <v>32160.0</v>
      </c>
      <c r="BB164" s="73">
        <v>4203.551895</v>
      </c>
      <c r="BC164" s="73">
        <v>6074.42112</v>
      </c>
      <c r="BD164" s="73"/>
      <c r="BE164" s="21"/>
      <c r="BF164" s="21"/>
      <c r="BG164" s="21">
        <v>1695529.96</v>
      </c>
      <c r="BH164" s="21"/>
      <c r="BI164" s="72"/>
      <c r="BJ164" s="21"/>
      <c r="BK164" s="72"/>
      <c r="BL164" s="21"/>
      <c r="BM164" s="72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</row>
    <row r="165" ht="15.75" customHeight="1">
      <c r="A165" s="56">
        <v>45919.0</v>
      </c>
      <c r="B165" s="70">
        <v>1509.8</v>
      </c>
      <c r="C165" s="70">
        <v>1550.0</v>
      </c>
      <c r="D165" s="70">
        <v>1530.0</v>
      </c>
      <c r="E165" s="70">
        <v>13.7</v>
      </c>
      <c r="F165" s="70"/>
      <c r="G165" s="70"/>
      <c r="H165" s="70">
        <v>2.1</v>
      </c>
      <c r="I165" s="70">
        <v>1.54</v>
      </c>
      <c r="J165" s="70"/>
      <c r="K165" s="70">
        <v>0.0</v>
      </c>
      <c r="L165" s="70"/>
      <c r="M165" s="70">
        <v>0.971</v>
      </c>
      <c r="N165" s="70">
        <v>1.1395</v>
      </c>
      <c r="O165" s="70">
        <v>1.063</v>
      </c>
      <c r="P165" s="70">
        <v>1.105</v>
      </c>
      <c r="Q165" s="70">
        <v>1.0495</v>
      </c>
      <c r="R165" s="70">
        <v>1.01</v>
      </c>
      <c r="S165" s="70">
        <v>0.972</v>
      </c>
      <c r="T165" s="70">
        <v>1.3995</v>
      </c>
      <c r="U165" s="70">
        <v>1.0274</v>
      </c>
      <c r="V165" s="70">
        <v>0.0</v>
      </c>
      <c r="W165" s="70">
        <v>0.825</v>
      </c>
      <c r="X165" s="70">
        <v>0.0</v>
      </c>
      <c r="Y165" s="70">
        <v>693.3</v>
      </c>
      <c r="Z165" s="70">
        <v>1.629</v>
      </c>
      <c r="AA165" s="70">
        <v>1.1098000000000001</v>
      </c>
      <c r="AB165" s="70">
        <v>1.15</v>
      </c>
      <c r="AC165" s="70">
        <v>1.47</v>
      </c>
      <c r="AD165" s="70">
        <v>1.535</v>
      </c>
      <c r="AE165" s="70">
        <v>0.0</v>
      </c>
      <c r="AF165" s="70">
        <v>1.246</v>
      </c>
      <c r="AG165" s="70">
        <v>1.5883</v>
      </c>
      <c r="AH165" s="70">
        <v>1.57901</v>
      </c>
      <c r="AI165" s="70">
        <v>0.7990999999999999</v>
      </c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 s="21"/>
      <c r="AX165" s="73">
        <v>17530.0</v>
      </c>
      <c r="AY165" s="73">
        <v>551.0</v>
      </c>
      <c r="AZ165" s="73">
        <v>4066.625138</v>
      </c>
      <c r="BA165" s="73">
        <v>31860.0</v>
      </c>
      <c r="BB165" s="73">
        <v>3982.443078</v>
      </c>
      <c r="BC165" s="73">
        <v>5970.795739</v>
      </c>
      <c r="BD165" s="73"/>
      <c r="BE165" s="21"/>
      <c r="BF165" s="21"/>
      <c r="BG165" s="21">
        <v>1683959.61</v>
      </c>
      <c r="BH165" s="21"/>
      <c r="BI165" s="72"/>
      <c r="BJ165" s="21"/>
      <c r="BK165" s="72"/>
      <c r="BL165" s="21"/>
      <c r="BM165" s="72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</row>
    <row r="166" ht="15.75" customHeight="1">
      <c r="A166" s="56">
        <v>45922.0</v>
      </c>
      <c r="B166" s="70">
        <v>1545.0</v>
      </c>
      <c r="C166" s="70">
        <v>1498.0</v>
      </c>
      <c r="D166" s="70">
        <v>1439.9</v>
      </c>
      <c r="E166" s="70">
        <v>14.48</v>
      </c>
      <c r="F166" s="70"/>
      <c r="G166" s="70"/>
      <c r="H166" s="70">
        <v>2.16</v>
      </c>
      <c r="I166" s="70">
        <v>1.631</v>
      </c>
      <c r="J166" s="70"/>
      <c r="K166" s="70">
        <v>0.0</v>
      </c>
      <c r="L166" s="70"/>
      <c r="M166" s="70">
        <v>1.0095</v>
      </c>
      <c r="N166" s="70">
        <v>1.19</v>
      </c>
      <c r="O166" s="70">
        <v>1.063</v>
      </c>
      <c r="P166" s="70">
        <v>1.1604999999999999</v>
      </c>
      <c r="Q166" s="70">
        <v>1.099</v>
      </c>
      <c r="R166" s="70">
        <v>1.06</v>
      </c>
      <c r="S166" s="70">
        <v>1.03</v>
      </c>
      <c r="T166" s="70">
        <v>1.515</v>
      </c>
      <c r="U166" s="70">
        <v>1.0274</v>
      </c>
      <c r="V166" s="70">
        <v>0.0</v>
      </c>
      <c r="W166" s="70">
        <v>0.9054000000000001</v>
      </c>
      <c r="X166" s="70">
        <v>0.0</v>
      </c>
      <c r="Y166" s="70">
        <v>750.0</v>
      </c>
      <c r="Z166" s="70">
        <v>1.77</v>
      </c>
      <c r="AA166" s="70">
        <v>1.1320000000000001</v>
      </c>
      <c r="AB166" s="70">
        <v>1.1935</v>
      </c>
      <c r="AC166" s="70">
        <v>1.5245</v>
      </c>
      <c r="AD166" s="70">
        <v>1.5455</v>
      </c>
      <c r="AE166" s="70">
        <v>0.0</v>
      </c>
      <c r="AF166" s="70">
        <v>1.2645</v>
      </c>
      <c r="AG166" s="70">
        <v>1.5883</v>
      </c>
      <c r="AH166" s="70">
        <v>1.5850899999999999</v>
      </c>
      <c r="AI166" s="70">
        <v>0.893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 s="21"/>
      <c r="AX166" s="73">
        <v>17520.0</v>
      </c>
      <c r="AY166" s="73">
        <v>544.0</v>
      </c>
      <c r="AZ166" s="73">
        <v>4583.969498</v>
      </c>
      <c r="BA166" s="73">
        <v>29320.0</v>
      </c>
      <c r="BB166" s="73">
        <v>4702.91001</v>
      </c>
      <c r="BC166" s="73">
        <v>6715.911571</v>
      </c>
      <c r="BD166" s="73"/>
      <c r="BE166" s="21"/>
      <c r="BF166" s="21"/>
      <c r="BG166" s="21">
        <v>1811038.73</v>
      </c>
      <c r="BH166" s="21"/>
      <c r="BI166" s="72"/>
      <c r="BJ166" s="21"/>
      <c r="BK166" s="72"/>
      <c r="BL166" s="21"/>
      <c r="BM166" s="72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</row>
    <row r="167" ht="15.75" customHeight="1">
      <c r="A167" s="56">
        <v>45923.0</v>
      </c>
      <c r="B167" s="70">
        <v>1460.0</v>
      </c>
      <c r="C167" s="70">
        <v>1430.0</v>
      </c>
      <c r="D167" s="70">
        <v>1385.0</v>
      </c>
      <c r="E167" s="70">
        <v>15.1</v>
      </c>
      <c r="F167" s="70"/>
      <c r="G167" s="70"/>
      <c r="H167" s="70">
        <v>2.1734999999999998</v>
      </c>
      <c r="I167" s="70">
        <v>1.6655000000000002</v>
      </c>
      <c r="J167" s="70"/>
      <c r="K167" s="70">
        <v>0.0</v>
      </c>
      <c r="L167" s="70"/>
      <c r="M167" s="70">
        <v>1.0395</v>
      </c>
      <c r="N167" s="70">
        <v>1.1995</v>
      </c>
      <c r="O167" s="70">
        <v>1.063</v>
      </c>
      <c r="P167" s="70">
        <v>1.18</v>
      </c>
      <c r="Q167" s="70">
        <v>1.123</v>
      </c>
      <c r="R167" s="70">
        <v>1.075</v>
      </c>
      <c r="S167" s="70">
        <v>1.0385</v>
      </c>
      <c r="T167" s="70">
        <v>1.595</v>
      </c>
      <c r="U167" s="70">
        <v>1.0274</v>
      </c>
      <c r="V167" s="70">
        <v>0.0</v>
      </c>
      <c r="W167" s="70">
        <v>0.927</v>
      </c>
      <c r="X167" s="70">
        <v>0.0</v>
      </c>
      <c r="Y167" s="70">
        <v>780.0</v>
      </c>
      <c r="Z167" s="70">
        <v>1.85</v>
      </c>
      <c r="AA167" s="70">
        <v>1.1375</v>
      </c>
      <c r="AB167" s="70">
        <v>1.1985</v>
      </c>
      <c r="AC167" s="70">
        <v>1.54</v>
      </c>
      <c r="AD167" s="70">
        <v>1.5496</v>
      </c>
      <c r="AE167" s="70">
        <v>0.0</v>
      </c>
      <c r="AF167" s="70">
        <v>1.265</v>
      </c>
      <c r="AG167" s="70">
        <v>1.5883</v>
      </c>
      <c r="AH167" s="70">
        <v>1.5869</v>
      </c>
      <c r="AI167" s="70">
        <v>0.9175</v>
      </c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21"/>
      <c r="AX167" s="73">
        <v>17640.0</v>
      </c>
      <c r="AY167" s="73">
        <v>558.5</v>
      </c>
      <c r="AZ167" s="73">
        <v>4452.146175</v>
      </c>
      <c r="BA167" s="73">
        <v>29500.0</v>
      </c>
      <c r="BB167" s="73">
        <v>4750.113016</v>
      </c>
      <c r="BC167" s="73">
        <v>6710.977029</v>
      </c>
      <c r="BD167" s="73"/>
      <c r="BE167" s="21"/>
      <c r="BF167" s="21"/>
      <c r="BG167" s="21">
        <v>1815381.74</v>
      </c>
      <c r="BH167" s="21"/>
      <c r="BI167" s="72"/>
      <c r="BJ167" s="21"/>
      <c r="BK167" s="72"/>
      <c r="BL167" s="21"/>
      <c r="BM167" s="72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</row>
    <row r="168" ht="15.75" customHeight="1">
      <c r="A168" s="56">
        <v>45924.0</v>
      </c>
      <c r="B168" s="70">
        <v>1408.0</v>
      </c>
      <c r="C168" s="70">
        <v>1393.1</v>
      </c>
      <c r="D168" s="70">
        <v>1360.5</v>
      </c>
      <c r="E168" s="70">
        <v>15.45</v>
      </c>
      <c r="F168" s="70"/>
      <c r="G168" s="70"/>
      <c r="H168" s="70">
        <v>2.22</v>
      </c>
      <c r="I168" s="70">
        <v>1.705</v>
      </c>
      <c r="J168" s="70"/>
      <c r="K168" s="70">
        <v>0.0</v>
      </c>
      <c r="L168" s="70"/>
      <c r="M168" s="70">
        <v>1.067</v>
      </c>
      <c r="N168" s="70">
        <v>1.2275</v>
      </c>
      <c r="O168" s="70">
        <v>1.063</v>
      </c>
      <c r="P168" s="70">
        <v>1.198</v>
      </c>
      <c r="Q168" s="70">
        <v>1.137</v>
      </c>
      <c r="R168" s="70">
        <v>1.0935</v>
      </c>
      <c r="S168" s="70">
        <v>1.0635</v>
      </c>
      <c r="T168" s="70">
        <v>1.662</v>
      </c>
      <c r="U168" s="70">
        <v>1.0274</v>
      </c>
      <c r="V168" s="70">
        <v>0.0</v>
      </c>
      <c r="W168" s="70">
        <v>0.94</v>
      </c>
      <c r="X168" s="70">
        <v>0.0</v>
      </c>
      <c r="Y168" s="70">
        <v>805.8</v>
      </c>
      <c r="Z168" s="70">
        <v>1.9025</v>
      </c>
      <c r="AA168" s="70">
        <v>1.1565</v>
      </c>
      <c r="AB168" s="70">
        <v>1.2309999999999999</v>
      </c>
      <c r="AC168" s="70">
        <v>1.5629</v>
      </c>
      <c r="AD168" s="70">
        <v>1.5605000000000002</v>
      </c>
      <c r="AE168" s="70">
        <v>0.0</v>
      </c>
      <c r="AF168" s="70">
        <v>1.2784900000000001</v>
      </c>
      <c r="AG168" s="70">
        <v>1.5883</v>
      </c>
      <c r="AH168" s="70">
        <v>1.58981</v>
      </c>
      <c r="AI168" s="70">
        <v>0.9499</v>
      </c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21"/>
      <c r="AX168" s="73">
        <v>17650.0</v>
      </c>
      <c r="AY168" s="73">
        <v>578.0</v>
      </c>
      <c r="AZ168" s="73">
        <v>4549.148243</v>
      </c>
      <c r="BA168" s="73">
        <v>29040.0</v>
      </c>
      <c r="BB168" s="73">
        <v>4697.941273</v>
      </c>
      <c r="BC168" s="73">
        <v>6745.518823</v>
      </c>
      <c r="BD168" s="73"/>
      <c r="BE168" s="21"/>
      <c r="BF168" s="21"/>
      <c r="BG168" s="21">
        <v>1843318.56</v>
      </c>
      <c r="BH168" s="21"/>
      <c r="BI168" s="72"/>
      <c r="BJ168" s="21"/>
      <c r="BK168" s="72"/>
      <c r="BL168" s="21"/>
      <c r="BM168" s="72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</row>
    <row r="169" ht="15.75" customHeight="1">
      <c r="A169" s="56">
        <v>45925.0</v>
      </c>
      <c r="B169" s="70">
        <v>1431.0</v>
      </c>
      <c r="C169" s="70">
        <v>1432.0</v>
      </c>
      <c r="D169" s="70">
        <v>1402.0</v>
      </c>
      <c r="E169" s="70">
        <v>15.14</v>
      </c>
      <c r="F169" s="70"/>
      <c r="G169" s="70"/>
      <c r="H169" s="70">
        <v>2.1925</v>
      </c>
      <c r="I169" s="70">
        <v>1.666</v>
      </c>
      <c r="J169" s="70"/>
      <c r="K169" s="70">
        <v>0.0</v>
      </c>
      <c r="L169" s="70"/>
      <c r="M169" s="70">
        <v>1.0475</v>
      </c>
      <c r="N169" s="70">
        <v>1.2095</v>
      </c>
      <c r="O169" s="70">
        <v>1.063</v>
      </c>
      <c r="P169" s="70">
        <v>1.17</v>
      </c>
      <c r="Q169" s="70">
        <v>1.11</v>
      </c>
      <c r="R169" s="70">
        <v>1.0675</v>
      </c>
      <c r="S169" s="70">
        <v>1.0390000000000001</v>
      </c>
      <c r="T169" s="70">
        <v>1.6125</v>
      </c>
      <c r="U169" s="70">
        <v>1.0274</v>
      </c>
      <c r="V169" s="70">
        <v>0.0</v>
      </c>
      <c r="W169" s="70">
        <v>0.9120999999999999</v>
      </c>
      <c r="X169" s="70">
        <v>0.0</v>
      </c>
      <c r="Y169" s="70">
        <v>780.6</v>
      </c>
      <c r="Z169" s="70">
        <v>1.8695</v>
      </c>
      <c r="AA169" s="70">
        <v>1.151</v>
      </c>
      <c r="AB169" s="70">
        <v>1.206</v>
      </c>
      <c r="AC169" s="70">
        <v>1.5578</v>
      </c>
      <c r="AD169" s="70">
        <v>1.5578999999999998</v>
      </c>
      <c r="AE169" s="70">
        <v>0.0</v>
      </c>
      <c r="AF169" s="70">
        <v>1.2788</v>
      </c>
      <c r="AG169" s="70">
        <v>1.5883</v>
      </c>
      <c r="AH169" s="70">
        <v>1.5917</v>
      </c>
      <c r="AI169" s="70">
        <v>0.91</v>
      </c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21"/>
      <c r="AX169" s="73">
        <v>17230.0</v>
      </c>
      <c r="AY169" s="73">
        <v>554.5</v>
      </c>
      <c r="AZ169" s="73">
        <v>4260.629273</v>
      </c>
      <c r="BA169" s="73">
        <v>29080.0</v>
      </c>
      <c r="BB169" s="73">
        <v>4336.309535</v>
      </c>
      <c r="BC169" s="73">
        <v>6513.595352</v>
      </c>
      <c r="BD169" s="73"/>
      <c r="BE169" s="21"/>
      <c r="BF169" s="21"/>
      <c r="BG169" s="21">
        <v>1767848.42</v>
      </c>
      <c r="BH169" s="21"/>
      <c r="BI169" s="72"/>
      <c r="BJ169" s="21"/>
      <c r="BK169" s="72"/>
      <c r="BL169" s="21"/>
      <c r="BM169" s="72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</row>
    <row r="170" ht="15.75" customHeight="1">
      <c r="A170" s="56">
        <v>45926.0</v>
      </c>
      <c r="B170" s="70">
        <v>1474.0</v>
      </c>
      <c r="C170" s="70">
        <v>1500.0</v>
      </c>
      <c r="D170" s="70">
        <v>1469.0</v>
      </c>
      <c r="E170" s="70">
        <v>14.9</v>
      </c>
      <c r="F170" s="70"/>
      <c r="G170" s="70"/>
      <c r="H170" s="70">
        <v>2.199</v>
      </c>
      <c r="I170" s="70">
        <v>1.65</v>
      </c>
      <c r="J170" s="70"/>
      <c r="K170" s="70">
        <v>0.0</v>
      </c>
      <c r="L170" s="70"/>
      <c r="M170" s="70">
        <v>1.045</v>
      </c>
      <c r="N170" s="70">
        <v>1.2025</v>
      </c>
      <c r="O170" s="70">
        <v>1.063</v>
      </c>
      <c r="P170" s="70">
        <v>1.162</v>
      </c>
      <c r="Q170" s="70">
        <v>1.094</v>
      </c>
      <c r="R170" s="70">
        <v>1.048</v>
      </c>
      <c r="S170" s="70">
        <v>1.0185</v>
      </c>
      <c r="T170" s="70">
        <v>1.5855000000000001</v>
      </c>
      <c r="U170" s="70">
        <v>1.0274</v>
      </c>
      <c r="V170" s="70">
        <v>0.0</v>
      </c>
      <c r="W170" s="70">
        <v>0.917</v>
      </c>
      <c r="X170" s="70">
        <v>0.0</v>
      </c>
      <c r="Y170" s="70">
        <v>788.5</v>
      </c>
      <c r="Z170" s="70">
        <v>1.835</v>
      </c>
      <c r="AA170" s="70">
        <v>1.165</v>
      </c>
      <c r="AB170" s="70">
        <v>1.204</v>
      </c>
      <c r="AC170" s="70">
        <v>1.5605000000000002</v>
      </c>
      <c r="AD170" s="70">
        <v>1.5665</v>
      </c>
      <c r="AE170" s="70">
        <v>0.0</v>
      </c>
      <c r="AF170" s="70">
        <v>1.2885</v>
      </c>
      <c r="AG170" s="70">
        <v>0.0</v>
      </c>
      <c r="AH170" s="70">
        <v>1.59596</v>
      </c>
      <c r="AI170" s="70">
        <v>0.8919</v>
      </c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21"/>
      <c r="AX170" s="73">
        <v>17740.0</v>
      </c>
      <c r="AY170" s="73">
        <v>567.0</v>
      </c>
      <c r="AZ170" s="73">
        <v>4317.83562</v>
      </c>
      <c r="BA170" s="73">
        <v>30180.0</v>
      </c>
      <c r="BB170" s="73">
        <v>4311.373885</v>
      </c>
      <c r="BC170" s="73">
        <v>6539.53491</v>
      </c>
      <c r="BD170" s="73"/>
      <c r="BE170" s="21"/>
      <c r="BF170" s="21"/>
      <c r="BG170" s="21">
        <v>1791045.47</v>
      </c>
      <c r="BH170" s="21"/>
      <c r="BI170" s="72"/>
      <c r="BJ170" s="21"/>
      <c r="BK170" s="72"/>
      <c r="BL170" s="21"/>
      <c r="BM170" s="72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</row>
    <row r="171" ht="15.75" customHeight="1">
      <c r="A171" s="56">
        <v>45929.0</v>
      </c>
      <c r="B171" s="70">
        <v>1498.0</v>
      </c>
      <c r="C171" s="70">
        <v>1515.0</v>
      </c>
      <c r="D171" s="70">
        <v>1468.1</v>
      </c>
      <c r="E171" s="70">
        <v>14.73</v>
      </c>
      <c r="F171" s="70"/>
      <c r="G171" s="70"/>
      <c r="H171" s="70">
        <v>2.2005</v>
      </c>
      <c r="I171" s="70">
        <v>1.639</v>
      </c>
      <c r="J171" s="70"/>
      <c r="K171" s="70">
        <v>0.0</v>
      </c>
      <c r="L171" s="70"/>
      <c r="M171" s="70">
        <v>1.023</v>
      </c>
      <c r="N171" s="70">
        <v>1.192</v>
      </c>
      <c r="O171" s="70">
        <v>1.063</v>
      </c>
      <c r="P171" s="70">
        <v>1.148</v>
      </c>
      <c r="Q171" s="70">
        <v>1.0725</v>
      </c>
      <c r="R171" s="70">
        <v>1.0270000000000001</v>
      </c>
      <c r="S171" s="70">
        <v>0.99</v>
      </c>
      <c r="T171" s="70">
        <v>1.5275</v>
      </c>
      <c r="U171" s="70">
        <v>1.0274</v>
      </c>
      <c r="V171" s="70">
        <v>0.0</v>
      </c>
      <c r="W171" s="70">
        <v>0.905</v>
      </c>
      <c r="X171" s="70">
        <v>0.0</v>
      </c>
      <c r="Y171" s="70">
        <v>768.0</v>
      </c>
      <c r="Z171" s="70">
        <v>1.76</v>
      </c>
      <c r="AA171" s="70">
        <v>1.16</v>
      </c>
      <c r="AB171" s="70">
        <v>1.206</v>
      </c>
      <c r="AC171" s="70">
        <v>1.5575</v>
      </c>
      <c r="AD171" s="70">
        <v>1.5719999999999998</v>
      </c>
      <c r="AE171" s="70">
        <v>0.0</v>
      </c>
      <c r="AF171" s="70">
        <v>1.28962</v>
      </c>
      <c r="AG171" s="70">
        <v>0.0</v>
      </c>
      <c r="AH171" s="70">
        <v>1.59596</v>
      </c>
      <c r="AI171" s="70">
        <v>0.884</v>
      </c>
      <c r="AJ171" s="70">
        <v>1360.0</v>
      </c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21"/>
      <c r="AX171" s="73">
        <v>17600.0</v>
      </c>
      <c r="AY171" s="73">
        <v>583.0</v>
      </c>
      <c r="AZ171" s="73">
        <v>4375.041968</v>
      </c>
      <c r="BA171" s="73">
        <v>31100.0</v>
      </c>
      <c r="BB171" s="73">
        <v>4401.142225</v>
      </c>
      <c r="BC171" s="73">
        <v>6554.465355</v>
      </c>
      <c r="BD171" s="73"/>
      <c r="BE171" s="21"/>
      <c r="BF171" s="21"/>
      <c r="BG171" s="21">
        <v>1793184.57</v>
      </c>
      <c r="BH171" s="21"/>
      <c r="BI171" s="72"/>
      <c r="BJ171" s="21"/>
      <c r="BK171" s="72"/>
      <c r="BL171" s="21"/>
      <c r="BM171" s="72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</row>
    <row r="172" ht="15.75" customHeight="1">
      <c r="A172" s="56">
        <v>45930.0</v>
      </c>
      <c r="B172" s="70">
        <v>1515.0</v>
      </c>
      <c r="C172" s="70">
        <v>1520.0</v>
      </c>
      <c r="D172" s="70">
        <v>1524.9</v>
      </c>
      <c r="E172" s="70">
        <v>14.45</v>
      </c>
      <c r="F172" s="70"/>
      <c r="G172" s="70"/>
      <c r="H172" s="70">
        <v>2.1959999999999997</v>
      </c>
      <c r="I172" s="70">
        <v>1.605</v>
      </c>
      <c r="J172" s="70"/>
      <c r="K172" s="70">
        <v>0.0</v>
      </c>
      <c r="L172" s="70"/>
      <c r="M172" s="70">
        <v>0.9829000000000001</v>
      </c>
      <c r="N172" s="70">
        <v>1.1784999999999999</v>
      </c>
      <c r="O172" s="70">
        <v>1.063</v>
      </c>
      <c r="P172" s="70">
        <v>1.115</v>
      </c>
      <c r="Q172" s="70">
        <v>1.0595</v>
      </c>
      <c r="R172" s="70">
        <v>1.0095</v>
      </c>
      <c r="S172" s="70">
        <v>0.95</v>
      </c>
      <c r="T172" s="70">
        <v>1.4445</v>
      </c>
      <c r="U172" s="70">
        <v>1.0274</v>
      </c>
      <c r="V172" s="70">
        <v>0.0</v>
      </c>
      <c r="W172" s="70">
        <v>0.8652</v>
      </c>
      <c r="X172" s="70">
        <v>0.0</v>
      </c>
      <c r="Y172" s="70">
        <v>749.8</v>
      </c>
      <c r="Z172" s="70">
        <v>1.6925</v>
      </c>
      <c r="AA172" s="70">
        <v>1.1615</v>
      </c>
      <c r="AB172" s="70">
        <v>1.2009999999999998</v>
      </c>
      <c r="AC172" s="70">
        <v>1.56</v>
      </c>
      <c r="AD172" s="70">
        <v>1.5725</v>
      </c>
      <c r="AE172" s="70">
        <v>0.0</v>
      </c>
      <c r="AF172" s="70">
        <v>1.2888</v>
      </c>
      <c r="AG172" s="70">
        <v>0.0</v>
      </c>
      <c r="AH172" s="70">
        <v>1.59596</v>
      </c>
      <c r="AI172" s="70">
        <v>0.878</v>
      </c>
      <c r="AJ172" s="70">
        <v>1385.5</v>
      </c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21"/>
      <c r="AX172" s="73">
        <v>17640.0</v>
      </c>
      <c r="AY172" s="73">
        <v>576.5</v>
      </c>
      <c r="AZ172" s="73">
        <v>4228.29525</v>
      </c>
      <c r="BA172" s="73">
        <v>29940.0</v>
      </c>
      <c r="BB172" s="73">
        <v>4236.566935</v>
      </c>
      <c r="BC172" s="73">
        <v>6415.114535</v>
      </c>
      <c r="BD172" s="73"/>
      <c r="BE172" s="21"/>
      <c r="BF172" s="21"/>
      <c r="BG172" s="21">
        <v>1773439.62</v>
      </c>
      <c r="BH172" s="21"/>
      <c r="BI172" s="72"/>
      <c r="BJ172" s="21"/>
      <c r="BK172" s="72"/>
      <c r="BL172" s="21"/>
      <c r="BM172" s="72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</row>
    <row r="173" ht="15.75" customHeight="1">
      <c r="A173" s="56">
        <v>45931.0</v>
      </c>
      <c r="B173" s="70">
        <v>1564.9</v>
      </c>
      <c r="C173" s="70">
        <v>1590.0</v>
      </c>
      <c r="D173" s="70">
        <v>1600.0</v>
      </c>
      <c r="E173" s="70">
        <v>14.36</v>
      </c>
      <c r="F173" s="70"/>
      <c r="G173" s="70"/>
      <c r="H173" s="70">
        <v>2.1734999999999998</v>
      </c>
      <c r="I173" s="70">
        <v>1.605</v>
      </c>
      <c r="J173" s="70"/>
      <c r="K173" s="70">
        <v>0.0</v>
      </c>
      <c r="L173" s="70"/>
      <c r="M173" s="70">
        <v>0.985</v>
      </c>
      <c r="N173" s="70">
        <v>1.181</v>
      </c>
      <c r="O173" s="70">
        <v>1.063</v>
      </c>
      <c r="P173" s="70">
        <v>1.1265</v>
      </c>
      <c r="Q173" s="70">
        <v>1.0765</v>
      </c>
      <c r="R173" s="70">
        <v>1.0125</v>
      </c>
      <c r="S173" s="70">
        <v>0.9490000000000001</v>
      </c>
      <c r="T173" s="70">
        <v>1.4355000000000002</v>
      </c>
      <c r="U173" s="70">
        <v>1.0274</v>
      </c>
      <c r="V173" s="70">
        <v>0.0</v>
      </c>
      <c r="W173" s="70">
        <v>0.8687999999999999</v>
      </c>
      <c r="X173" s="70">
        <v>0.0</v>
      </c>
      <c r="Y173" s="70">
        <v>767.8</v>
      </c>
      <c r="Z173" s="70">
        <v>1.675</v>
      </c>
      <c r="AA173" s="70">
        <v>1.148</v>
      </c>
      <c r="AB173" s="70">
        <v>1.2015</v>
      </c>
      <c r="AC173" s="70">
        <v>1.541</v>
      </c>
      <c r="AD173" s="70">
        <v>1.567</v>
      </c>
      <c r="AE173" s="70">
        <v>0.0</v>
      </c>
      <c r="AF173" s="70">
        <v>1.2813999999999999</v>
      </c>
      <c r="AG173" s="70">
        <v>0.0</v>
      </c>
      <c r="AH173" s="70">
        <v>1.59596</v>
      </c>
      <c r="AI173" s="70">
        <v>0.8740000000000001</v>
      </c>
      <c r="AJ173" s="70">
        <v>1410.0</v>
      </c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21"/>
      <c r="AX173" s="73">
        <v>17690.0</v>
      </c>
      <c r="AY173" s="73">
        <v>618.0</v>
      </c>
      <c r="AZ173" s="73">
        <v>4168.60167</v>
      </c>
      <c r="BA173" s="73">
        <v>28540.0</v>
      </c>
      <c r="BB173" s="73">
        <v>4166.747115</v>
      </c>
      <c r="BC173" s="73">
        <v>6270.7869</v>
      </c>
      <c r="BD173" s="73"/>
      <c r="BE173" s="21"/>
      <c r="BF173" s="21"/>
      <c r="BG173" s="21">
        <v>1764589.85</v>
      </c>
      <c r="BH173" s="21"/>
      <c r="BI173" s="72"/>
      <c r="BJ173" s="21"/>
      <c r="BK173" s="72"/>
      <c r="BL173" s="21"/>
      <c r="BM173" s="72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</row>
    <row r="174" ht="15.75" customHeight="1">
      <c r="A174" s="56">
        <v>45932.0</v>
      </c>
      <c r="B174" s="70">
        <v>1516.0</v>
      </c>
      <c r="C174" s="70">
        <v>1550.0</v>
      </c>
      <c r="D174" s="70">
        <v>1522.0</v>
      </c>
      <c r="E174" s="70">
        <v>14.45</v>
      </c>
      <c r="F174" s="70"/>
      <c r="G174" s="70"/>
      <c r="H174" s="70">
        <v>2.2</v>
      </c>
      <c r="I174" s="70">
        <v>1.6195</v>
      </c>
      <c r="J174" s="70"/>
      <c r="K174" s="70">
        <v>0.0</v>
      </c>
      <c r="L174" s="70"/>
      <c r="M174" s="70">
        <v>0.9961</v>
      </c>
      <c r="N174" s="70">
        <v>1.205</v>
      </c>
      <c r="O174" s="70">
        <v>1.063</v>
      </c>
      <c r="P174" s="70">
        <v>1.137</v>
      </c>
      <c r="Q174" s="70">
        <v>1.075</v>
      </c>
      <c r="R174" s="70">
        <v>1.028</v>
      </c>
      <c r="S174" s="70">
        <v>0.9701000000000001</v>
      </c>
      <c r="T174" s="70">
        <v>1.51</v>
      </c>
      <c r="U174" s="70">
        <v>1.0274</v>
      </c>
      <c r="V174" s="70">
        <v>0.0</v>
      </c>
      <c r="W174" s="70">
        <v>0.8820999999999999</v>
      </c>
      <c r="X174" s="70">
        <v>0.0</v>
      </c>
      <c r="Y174" s="70">
        <v>795.9</v>
      </c>
      <c r="Z174" s="70">
        <v>1.725</v>
      </c>
      <c r="AA174" s="70">
        <v>1.1579000000000002</v>
      </c>
      <c r="AB174" s="70">
        <v>1.2125</v>
      </c>
      <c r="AC174" s="70">
        <v>1.558</v>
      </c>
      <c r="AD174" s="70">
        <v>1.568</v>
      </c>
      <c r="AE174" s="70">
        <v>0.0</v>
      </c>
      <c r="AF174" s="70">
        <v>1.2861500000000001</v>
      </c>
      <c r="AG174" s="70">
        <v>0.0</v>
      </c>
      <c r="AH174" s="70">
        <v>1.59596</v>
      </c>
      <c r="AI174" s="70">
        <v>0.885</v>
      </c>
      <c r="AJ174" s="70">
        <v>1382.8</v>
      </c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21"/>
      <c r="AX174" s="73">
        <v>17810.0</v>
      </c>
      <c r="AY174" s="73">
        <v>634.5</v>
      </c>
      <c r="AZ174" s="73">
        <v>4315.348388</v>
      </c>
      <c r="BA174" s="73">
        <v>29080.0</v>
      </c>
      <c r="BB174" s="73">
        <v>4244.04763</v>
      </c>
      <c r="BC174" s="73">
        <v>6439.99861</v>
      </c>
      <c r="BD174" s="73"/>
      <c r="BE174" s="21"/>
      <c r="BF174" s="21"/>
      <c r="BG174" s="21">
        <v>1808661.23</v>
      </c>
      <c r="BH174" s="21"/>
      <c r="BI174" s="72"/>
      <c r="BJ174" s="21"/>
      <c r="BK174" s="72"/>
      <c r="BL174" s="21"/>
      <c r="BM174" s="72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</row>
    <row r="175" ht="15.75" customHeight="1">
      <c r="A175" s="56">
        <v>45933.0</v>
      </c>
      <c r="B175" s="70">
        <v>1555.1</v>
      </c>
      <c r="C175" s="70">
        <v>1593.0</v>
      </c>
      <c r="D175" s="70">
        <v>1525.0</v>
      </c>
      <c r="E175" s="70">
        <v>15.0</v>
      </c>
      <c r="F175" s="70"/>
      <c r="G175" s="70"/>
      <c r="H175" s="70">
        <v>2.2235</v>
      </c>
      <c r="I175" s="70">
        <v>1.665</v>
      </c>
      <c r="J175" s="70"/>
      <c r="K175" s="70">
        <v>0.0</v>
      </c>
      <c r="L175" s="70"/>
      <c r="M175" s="70">
        <v>1.0334999999999999</v>
      </c>
      <c r="N175" s="70">
        <v>1.2345</v>
      </c>
      <c r="O175" s="70">
        <v>1.063</v>
      </c>
      <c r="P175" s="70">
        <v>1.173</v>
      </c>
      <c r="Q175" s="70">
        <v>1.1125</v>
      </c>
      <c r="R175" s="70">
        <v>1.055</v>
      </c>
      <c r="S175" s="70">
        <v>1.0195</v>
      </c>
      <c r="T175" s="70">
        <v>1.58</v>
      </c>
      <c r="U175" s="70">
        <v>1.0274</v>
      </c>
      <c r="V175" s="70">
        <v>0.0</v>
      </c>
      <c r="W175" s="70">
        <v>0.9025</v>
      </c>
      <c r="X175" s="70">
        <v>0.0</v>
      </c>
      <c r="Y175" s="70">
        <v>820.0</v>
      </c>
      <c r="Z175" s="70">
        <v>1.795</v>
      </c>
      <c r="AA175" s="70">
        <v>1.1639</v>
      </c>
      <c r="AB175" s="70">
        <v>1.245</v>
      </c>
      <c r="AC175" s="70">
        <v>1.5763</v>
      </c>
      <c r="AD175" s="70">
        <v>1.5738999999999999</v>
      </c>
      <c r="AE175" s="70">
        <v>0.0</v>
      </c>
      <c r="AF175" s="70">
        <v>1.2905000000000002</v>
      </c>
      <c r="AG175" s="70">
        <v>0.0</v>
      </c>
      <c r="AH175" s="70">
        <v>1.59596</v>
      </c>
      <c r="AI175" s="70">
        <v>0.8874</v>
      </c>
      <c r="AJ175" s="70">
        <v>1385.5</v>
      </c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21"/>
      <c r="AX175" s="73">
        <v>17570.0</v>
      </c>
      <c r="AY175" s="73">
        <v>657.5</v>
      </c>
      <c r="AZ175" s="73">
        <v>4352.656875</v>
      </c>
      <c r="BA175" s="73">
        <v>27660.0</v>
      </c>
      <c r="BB175" s="73">
        <v>4201.657025</v>
      </c>
      <c r="BC175" s="73">
        <v>6494.743575</v>
      </c>
      <c r="BD175" s="73"/>
      <c r="BE175" s="21"/>
      <c r="BF175" s="21"/>
      <c r="BG175" s="21">
        <v>1805024.22</v>
      </c>
      <c r="BH175" s="21"/>
      <c r="BI175" s="72"/>
      <c r="BJ175" s="21"/>
      <c r="BK175" s="72"/>
      <c r="BL175" s="21"/>
      <c r="BM175" s="72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</row>
    <row r="176" ht="15.75" customHeight="1">
      <c r="A176" s="56">
        <v>45936.0</v>
      </c>
      <c r="B176" s="70">
        <v>1537.9</v>
      </c>
      <c r="C176" s="70">
        <v>1568.0</v>
      </c>
      <c r="D176" s="70">
        <v>1529.9</v>
      </c>
      <c r="E176" s="70">
        <v>14.845</v>
      </c>
      <c r="F176" s="70"/>
      <c r="G176" s="70"/>
      <c r="H176" s="70">
        <v>2.2215000000000003</v>
      </c>
      <c r="I176" s="70">
        <v>1.662</v>
      </c>
      <c r="J176" s="70"/>
      <c r="K176" s="70">
        <v>0.0</v>
      </c>
      <c r="L176" s="70"/>
      <c r="M176" s="70">
        <v>1.038</v>
      </c>
      <c r="N176" s="70">
        <v>1.234</v>
      </c>
      <c r="O176" s="70">
        <v>1.063</v>
      </c>
      <c r="P176" s="70">
        <v>1.1825</v>
      </c>
      <c r="Q176" s="70">
        <v>1.1165</v>
      </c>
      <c r="R176" s="70">
        <v>1.07</v>
      </c>
      <c r="S176" s="70">
        <v>1.0285</v>
      </c>
      <c r="T176" s="70">
        <v>1.585</v>
      </c>
      <c r="U176" s="70">
        <v>1.0274</v>
      </c>
      <c r="V176" s="70">
        <v>0.0</v>
      </c>
      <c r="W176" s="70">
        <v>0.925</v>
      </c>
      <c r="X176" s="70">
        <v>0.0</v>
      </c>
      <c r="Y176" s="70">
        <v>838.8</v>
      </c>
      <c r="Z176" s="70">
        <v>1.8</v>
      </c>
      <c r="AA176" s="70">
        <v>1.1615</v>
      </c>
      <c r="AB176" s="70">
        <v>1.238</v>
      </c>
      <c r="AC176" s="70">
        <v>1.5730000000000002</v>
      </c>
      <c r="AD176" s="70">
        <v>1.5715000000000001</v>
      </c>
      <c r="AE176" s="70">
        <v>0.0</v>
      </c>
      <c r="AF176" s="70">
        <v>1.29</v>
      </c>
      <c r="AG176" s="70">
        <v>0.0</v>
      </c>
      <c r="AH176" s="70">
        <v>1.59596</v>
      </c>
      <c r="AI176" s="70">
        <v>0.889</v>
      </c>
      <c r="AJ176" s="70">
        <v>1396.5</v>
      </c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21"/>
      <c r="AX176" s="73">
        <v>18010.0</v>
      </c>
      <c r="AY176" s="73">
        <v>638.0</v>
      </c>
      <c r="AZ176" s="73">
        <v>4347.68241</v>
      </c>
      <c r="BA176" s="73">
        <v>27240.0</v>
      </c>
      <c r="BB176" s="73">
        <v>4214.12485</v>
      </c>
      <c r="BC176" s="73">
        <v>6584.326245</v>
      </c>
      <c r="BD176" s="73"/>
      <c r="BE176" s="21"/>
      <c r="BF176" s="21"/>
      <c r="BG176" s="21">
        <v>1802569.74</v>
      </c>
      <c r="BH176" s="21"/>
      <c r="BI176" s="72"/>
      <c r="BJ176" s="21"/>
      <c r="BK176" s="72"/>
      <c r="BL176" s="21"/>
      <c r="BM176" s="72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</row>
    <row r="177" ht="15.75" customHeight="1">
      <c r="A177" s="56">
        <v>45937.0</v>
      </c>
      <c r="B177" s="70">
        <v>1554.5</v>
      </c>
      <c r="C177" s="70">
        <v>1570.5</v>
      </c>
      <c r="D177" s="70">
        <v>1560.0</v>
      </c>
      <c r="E177" s="70">
        <v>14.6</v>
      </c>
      <c r="F177" s="70"/>
      <c r="G177" s="70"/>
      <c r="H177" s="70">
        <v>2.1959999999999997</v>
      </c>
      <c r="I177" s="70">
        <v>1.6369999999999998</v>
      </c>
      <c r="J177" s="70"/>
      <c r="K177" s="70">
        <v>0.0</v>
      </c>
      <c r="L177" s="70"/>
      <c r="M177" s="70">
        <v>1.0170000000000001</v>
      </c>
      <c r="N177" s="70">
        <v>1.1945000000000001</v>
      </c>
      <c r="O177" s="70">
        <v>1.063</v>
      </c>
      <c r="P177" s="70">
        <v>1.163</v>
      </c>
      <c r="Q177" s="70">
        <v>1.1015000000000001</v>
      </c>
      <c r="R177" s="70">
        <v>1.04</v>
      </c>
      <c r="S177" s="70">
        <v>1.016</v>
      </c>
      <c r="T177" s="70">
        <v>1.55</v>
      </c>
      <c r="U177" s="70">
        <v>1.0274</v>
      </c>
      <c r="V177" s="70">
        <v>0.0</v>
      </c>
      <c r="W177" s="70">
        <v>0.8895000000000001</v>
      </c>
      <c r="X177" s="70">
        <v>0.0</v>
      </c>
      <c r="Y177" s="70">
        <v>838.0</v>
      </c>
      <c r="Z177" s="70">
        <v>1.76</v>
      </c>
      <c r="AA177" s="70">
        <v>1.1440000000000001</v>
      </c>
      <c r="AB177" s="70">
        <v>1.2035</v>
      </c>
      <c r="AC177" s="70">
        <v>1.544</v>
      </c>
      <c r="AD177" s="70">
        <v>1.569</v>
      </c>
      <c r="AE177" s="70">
        <v>0.0</v>
      </c>
      <c r="AF177" s="70">
        <v>1.2819999999999998</v>
      </c>
      <c r="AG177" s="70">
        <v>0.0</v>
      </c>
      <c r="AH177" s="70">
        <v>1.59596</v>
      </c>
      <c r="AI177" s="70">
        <v>0.8694</v>
      </c>
      <c r="AJ177" s="70">
        <v>1391.8</v>
      </c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21"/>
      <c r="AX177" s="73">
        <v>17940.0</v>
      </c>
      <c r="AY177" s="73">
        <v>606.5</v>
      </c>
      <c r="AZ177" s="73">
        <v>4340.0</v>
      </c>
      <c r="BA177" s="73">
        <v>28280.0</v>
      </c>
      <c r="BB177" s="73">
        <v>4129.34364</v>
      </c>
      <c r="BC177" s="73">
        <v>6589.30306</v>
      </c>
      <c r="BD177" s="73"/>
      <c r="BE177" s="21"/>
      <c r="BF177" s="21"/>
      <c r="BG177" s="21">
        <v>1793951.77</v>
      </c>
      <c r="BH177" s="21"/>
      <c r="BI177" s="72"/>
      <c r="BJ177" s="21"/>
      <c r="BK177" s="72"/>
      <c r="BL177" s="21"/>
      <c r="BM177" s="72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</row>
    <row r="178" ht="15.75" customHeight="1">
      <c r="A178" s="56">
        <v>45938.0</v>
      </c>
      <c r="B178" s="70">
        <v>1566.0</v>
      </c>
      <c r="C178" s="70">
        <v>1590.0</v>
      </c>
      <c r="D178" s="70">
        <v>1566.0</v>
      </c>
      <c r="E178" s="70">
        <v>14.4</v>
      </c>
      <c r="F178" s="70"/>
      <c r="G178" s="70"/>
      <c r="H178" s="70">
        <v>2.167</v>
      </c>
      <c r="I178" s="70">
        <v>1.621</v>
      </c>
      <c r="J178" s="70"/>
      <c r="K178" s="70">
        <v>0.0</v>
      </c>
      <c r="L178" s="70"/>
      <c r="M178" s="70">
        <v>1.016</v>
      </c>
      <c r="N178" s="70">
        <v>1.185</v>
      </c>
      <c r="O178" s="70">
        <v>1.063</v>
      </c>
      <c r="P178" s="70">
        <v>1.17</v>
      </c>
      <c r="Q178" s="70">
        <v>1.1</v>
      </c>
      <c r="R178" s="70">
        <v>1.0255</v>
      </c>
      <c r="S178" s="70">
        <v>1.0190000000000001</v>
      </c>
      <c r="T178" s="70">
        <v>1.5325</v>
      </c>
      <c r="U178" s="70">
        <v>1.0274</v>
      </c>
      <c r="V178" s="70">
        <v>0.0</v>
      </c>
      <c r="W178" s="70">
        <v>0.89</v>
      </c>
      <c r="X178" s="70">
        <v>0.0</v>
      </c>
      <c r="Y178" s="70">
        <v>839.0</v>
      </c>
      <c r="Z178" s="70">
        <v>1.7525</v>
      </c>
      <c r="AA178" s="70">
        <v>1.1325</v>
      </c>
      <c r="AB178" s="70">
        <v>1.189</v>
      </c>
      <c r="AC178" s="70">
        <v>1.53</v>
      </c>
      <c r="AD178" s="70">
        <v>1.5685</v>
      </c>
      <c r="AE178" s="70">
        <v>0.0</v>
      </c>
      <c r="AF178" s="70">
        <v>1.2755</v>
      </c>
      <c r="AG178" s="70">
        <v>0.0</v>
      </c>
      <c r="AH178" s="70">
        <v>1.59596</v>
      </c>
      <c r="AI178" s="70">
        <v>0.879</v>
      </c>
      <c r="AJ178" s="70">
        <v>1380.5</v>
      </c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21"/>
      <c r="AX178" s="73">
        <v>17980.0</v>
      </c>
      <c r="AY178" s="73">
        <v>622.0</v>
      </c>
      <c r="AZ178" s="73">
        <v>4395.0</v>
      </c>
      <c r="BA178" s="73">
        <v>28100.0</v>
      </c>
      <c r="BB178" s="73">
        <v>4249.03476</v>
      </c>
      <c r="BC178" s="73">
        <v>6743.584325</v>
      </c>
      <c r="BD178" s="73"/>
      <c r="BE178" s="21"/>
      <c r="BF178" s="21"/>
      <c r="BG178" s="21">
        <v>1819463.8</v>
      </c>
      <c r="BH178" s="21"/>
      <c r="BI178" s="72"/>
      <c r="BJ178" s="21"/>
      <c r="BK178" s="72"/>
      <c r="BL178" s="21"/>
      <c r="BM178" s="72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</row>
    <row r="179" ht="15.75" customHeight="1">
      <c r="A179" s="56">
        <v>45939.0</v>
      </c>
      <c r="B179" s="70">
        <v>1470.0</v>
      </c>
      <c r="C179" s="70">
        <v>1495.0</v>
      </c>
      <c r="D179" s="70">
        <v>1486.0</v>
      </c>
      <c r="E179" s="70">
        <v>15.3</v>
      </c>
      <c r="F179" s="70"/>
      <c r="G179" s="70"/>
      <c r="H179" s="70">
        <v>2.225</v>
      </c>
      <c r="I179" s="70">
        <v>1.71</v>
      </c>
      <c r="J179" s="70"/>
      <c r="K179" s="70">
        <v>0.0</v>
      </c>
      <c r="L179" s="70"/>
      <c r="M179" s="70">
        <v>1.0775</v>
      </c>
      <c r="N179" s="70">
        <v>1.246</v>
      </c>
      <c r="O179" s="70">
        <v>1.063</v>
      </c>
      <c r="P179" s="70">
        <v>1.2255</v>
      </c>
      <c r="Q179" s="70">
        <v>1.1604999999999999</v>
      </c>
      <c r="R179" s="70">
        <v>1.11</v>
      </c>
      <c r="S179" s="70">
        <v>1.08</v>
      </c>
      <c r="T179" s="70">
        <v>1.6595</v>
      </c>
      <c r="U179" s="70">
        <v>1.0274</v>
      </c>
      <c r="V179" s="70">
        <v>0.0</v>
      </c>
      <c r="W179" s="70">
        <v>0.96</v>
      </c>
      <c r="X179" s="70">
        <v>0.0</v>
      </c>
      <c r="Y179" s="70">
        <v>845.0</v>
      </c>
      <c r="Z179" s="70">
        <v>1.865</v>
      </c>
      <c r="AA179" s="70">
        <v>1.161</v>
      </c>
      <c r="AB179" s="70">
        <v>1.255</v>
      </c>
      <c r="AC179" s="70">
        <v>1.5865</v>
      </c>
      <c r="AD179" s="70">
        <v>1.5815000000000001</v>
      </c>
      <c r="AE179" s="70">
        <v>0.0</v>
      </c>
      <c r="AF179" s="70">
        <v>1.2952000000000001</v>
      </c>
      <c r="AG179" s="70">
        <v>0.0</v>
      </c>
      <c r="AH179" s="70">
        <v>1.59596</v>
      </c>
      <c r="AI179" s="70">
        <v>0.93</v>
      </c>
      <c r="AJ179" s="70">
        <v>1319.9</v>
      </c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21"/>
      <c r="AX179" s="73">
        <v>18090.0</v>
      </c>
      <c r="AY179" s="73">
        <v>626.0</v>
      </c>
      <c r="AZ179" s="73">
        <v>4872.5</v>
      </c>
      <c r="BA179" s="73">
        <v>27540.0</v>
      </c>
      <c r="BB179" s="73">
        <v>4710.344285</v>
      </c>
      <c r="BC179" s="73">
        <v>7450.292055</v>
      </c>
      <c r="BD179" s="73"/>
      <c r="BE179" s="21"/>
      <c r="BF179" s="21"/>
      <c r="BG179" s="21">
        <v>1924930.02</v>
      </c>
      <c r="BH179" s="21"/>
      <c r="BI179" s="72"/>
      <c r="BJ179" s="21"/>
      <c r="BK179" s="72"/>
      <c r="BL179" s="21"/>
      <c r="BM179" s="72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</row>
    <row r="180" ht="15.75" customHeight="1">
      <c r="A180" s="56">
        <v>45943.0</v>
      </c>
      <c r="B180" s="70">
        <v>1500.0</v>
      </c>
      <c r="C180" s="70">
        <v>1441.1</v>
      </c>
      <c r="D180" s="70">
        <v>1410.1</v>
      </c>
      <c r="E180" s="70">
        <v>15.2</v>
      </c>
      <c r="F180" s="70"/>
      <c r="G180" s="70"/>
      <c r="H180" s="70">
        <v>2.225</v>
      </c>
      <c r="I180" s="70">
        <v>1.7</v>
      </c>
      <c r="J180" s="70"/>
      <c r="K180" s="70">
        <v>0.0</v>
      </c>
      <c r="L180" s="70"/>
      <c r="M180" s="70">
        <v>1.083</v>
      </c>
      <c r="N180" s="70">
        <v>1.237</v>
      </c>
      <c r="O180" s="70">
        <v>1.063</v>
      </c>
      <c r="P180" s="70">
        <v>1.23</v>
      </c>
      <c r="Q180" s="70">
        <v>1.1745</v>
      </c>
      <c r="R180" s="70">
        <v>1.127</v>
      </c>
      <c r="S180" s="70">
        <v>1.087</v>
      </c>
      <c r="T180" s="70">
        <v>1.6575</v>
      </c>
      <c r="U180" s="70">
        <v>1.0274</v>
      </c>
      <c r="V180" s="70">
        <v>0.0</v>
      </c>
      <c r="W180" s="70">
        <v>0.96</v>
      </c>
      <c r="X180" s="70">
        <v>0.0</v>
      </c>
      <c r="Y180" s="70">
        <v>852.1</v>
      </c>
      <c r="Z180" s="70">
        <v>1.879</v>
      </c>
      <c r="AA180" s="70">
        <v>1.1534900000000001</v>
      </c>
      <c r="AB180" s="70">
        <v>1.2345</v>
      </c>
      <c r="AC180" s="70">
        <v>1.56</v>
      </c>
      <c r="AD180" s="70">
        <v>1.5819999999999999</v>
      </c>
      <c r="AE180" s="70">
        <v>0.0</v>
      </c>
      <c r="AF180" s="70">
        <v>1.294</v>
      </c>
      <c r="AG180" s="70">
        <v>0.0</v>
      </c>
      <c r="AH180" s="70">
        <v>1.59596</v>
      </c>
      <c r="AI180" s="70">
        <v>0.965</v>
      </c>
      <c r="AJ180" s="70">
        <v>1289.8</v>
      </c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21"/>
      <c r="AX180" s="73">
        <v>18250.0</v>
      </c>
      <c r="AY180" s="73">
        <v>608.0</v>
      </c>
      <c r="AZ180" s="73">
        <v>4932.5</v>
      </c>
      <c r="BA180" s="73">
        <v>26040.0</v>
      </c>
      <c r="BB180" s="73">
        <v>4787.6448</v>
      </c>
      <c r="BC180" s="73">
        <v>7624.48058</v>
      </c>
      <c r="BD180" s="73"/>
      <c r="BE180" s="21"/>
      <c r="BF180" s="21"/>
      <c r="BG180" s="21">
        <v>1958154.71</v>
      </c>
      <c r="BH180" s="21"/>
      <c r="BI180" s="72"/>
      <c r="BJ180" s="21"/>
      <c r="BK180" s="72"/>
      <c r="BL180" s="21"/>
      <c r="BM180" s="72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</row>
    <row r="181" ht="15.75" customHeight="1">
      <c r="A181" s="56">
        <v>45944.0</v>
      </c>
      <c r="B181" s="70">
        <v>1465.0</v>
      </c>
      <c r="C181" s="70">
        <v>1500.0</v>
      </c>
      <c r="D181" s="70">
        <v>1425.0</v>
      </c>
      <c r="E181" s="70">
        <v>14.78</v>
      </c>
      <c r="F181" s="70"/>
      <c r="G181" s="70"/>
      <c r="H181" s="70">
        <v>2.2</v>
      </c>
      <c r="I181" s="70">
        <v>1.68</v>
      </c>
      <c r="J181" s="70"/>
      <c r="K181" s="70">
        <v>0.0</v>
      </c>
      <c r="L181" s="70"/>
      <c r="M181" s="70">
        <v>1.058</v>
      </c>
      <c r="N181" s="70">
        <v>1.2325</v>
      </c>
      <c r="O181" s="70">
        <v>1.063</v>
      </c>
      <c r="P181" s="70">
        <v>1.22</v>
      </c>
      <c r="Q181" s="70">
        <v>1.165</v>
      </c>
      <c r="R181" s="70">
        <v>1.1165</v>
      </c>
      <c r="S181" s="70">
        <v>1.0825</v>
      </c>
      <c r="T181" s="70">
        <v>1.63</v>
      </c>
      <c r="U181" s="70">
        <v>1.0274</v>
      </c>
      <c r="V181" s="70">
        <v>0.0</v>
      </c>
      <c r="W181" s="70">
        <v>0.9465</v>
      </c>
      <c r="X181" s="70">
        <v>0.0</v>
      </c>
      <c r="Y181" s="70">
        <v>820.6</v>
      </c>
      <c r="Z181" s="70">
        <v>1.8495</v>
      </c>
      <c r="AA181" s="70">
        <v>1.15</v>
      </c>
      <c r="AB181" s="70">
        <v>1.226</v>
      </c>
      <c r="AC181" s="70">
        <v>1.55</v>
      </c>
      <c r="AD181" s="70">
        <v>1.5825</v>
      </c>
      <c r="AE181" s="70">
        <v>0.0</v>
      </c>
      <c r="AF181" s="70">
        <v>1.284</v>
      </c>
      <c r="AG181" s="70">
        <v>0.0</v>
      </c>
      <c r="AH181" s="70">
        <v>1.59596</v>
      </c>
      <c r="AI181" s="70">
        <v>0.95</v>
      </c>
      <c r="AJ181" s="70">
        <v>1315.5</v>
      </c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21"/>
      <c r="AX181" s="73">
        <v>17330.0</v>
      </c>
      <c r="AY181" s="73">
        <v>593.5</v>
      </c>
      <c r="AZ181" s="73">
        <v>4692.5</v>
      </c>
      <c r="BA181" s="73">
        <v>26520.0</v>
      </c>
      <c r="BB181" s="73">
        <v>4618.08238</v>
      </c>
      <c r="BC181" s="73">
        <v>7395.54709</v>
      </c>
      <c r="BD181" s="73"/>
      <c r="BE181" s="21"/>
      <c r="BF181" s="21"/>
      <c r="BG181" s="21">
        <v>1884773.87</v>
      </c>
      <c r="BH181" s="21"/>
      <c r="BI181" s="72"/>
      <c r="BJ181" s="21"/>
      <c r="BK181" s="72"/>
      <c r="BL181" s="21"/>
      <c r="BM181" s="72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</row>
    <row r="182" ht="15.75" customHeight="1">
      <c r="A182" s="56">
        <v>45945.0</v>
      </c>
      <c r="B182" s="70">
        <v>1475.5</v>
      </c>
      <c r="C182" s="70">
        <v>1470.0</v>
      </c>
      <c r="D182" s="70">
        <v>1419.0</v>
      </c>
      <c r="E182" s="70">
        <v>14.99</v>
      </c>
      <c r="F182" s="70"/>
      <c r="G182" s="70"/>
      <c r="H182" s="70">
        <v>2.2</v>
      </c>
      <c r="I182" s="70">
        <v>1.6855000000000002</v>
      </c>
      <c r="J182" s="70"/>
      <c r="K182" s="70">
        <v>0.0</v>
      </c>
      <c r="L182" s="70"/>
      <c r="M182" s="70">
        <v>1.055</v>
      </c>
      <c r="N182" s="70">
        <v>1.2415</v>
      </c>
      <c r="O182" s="70">
        <v>1.063</v>
      </c>
      <c r="P182" s="70">
        <v>1.2195</v>
      </c>
      <c r="Q182" s="70">
        <v>1.1525</v>
      </c>
      <c r="R182" s="70">
        <v>1.11</v>
      </c>
      <c r="S182" s="70">
        <v>1.102</v>
      </c>
      <c r="T182" s="70">
        <v>1.65</v>
      </c>
      <c r="U182" s="70">
        <v>1.0274</v>
      </c>
      <c r="V182" s="70">
        <v>0.0</v>
      </c>
      <c r="W182" s="70">
        <v>0.9590000000000001</v>
      </c>
      <c r="X182" s="70">
        <v>0.0</v>
      </c>
      <c r="Y182" s="70">
        <v>832.0</v>
      </c>
      <c r="Z182" s="70">
        <v>1.86</v>
      </c>
      <c r="AA182" s="70">
        <v>1.16</v>
      </c>
      <c r="AB182" s="70">
        <v>1.229</v>
      </c>
      <c r="AC182" s="70">
        <v>1.5589</v>
      </c>
      <c r="AD182" s="70">
        <v>1.5846</v>
      </c>
      <c r="AE182" s="70">
        <v>0.0</v>
      </c>
      <c r="AF182" s="70">
        <v>1.2911000000000001</v>
      </c>
      <c r="AG182" s="70">
        <v>0.0</v>
      </c>
      <c r="AH182" s="70">
        <v>1.59596</v>
      </c>
      <c r="AI182" s="70">
        <v>0.96</v>
      </c>
      <c r="AJ182" s="70">
        <v>1316.0</v>
      </c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21"/>
      <c r="AX182" s="73">
        <v>17460.0</v>
      </c>
      <c r="AY182" s="73">
        <v>583.5</v>
      </c>
      <c r="AZ182" s="73">
        <v>4797.5</v>
      </c>
      <c r="BA182" s="73">
        <v>25000.0</v>
      </c>
      <c r="BB182" s="73">
        <v>4620.575945</v>
      </c>
      <c r="BC182" s="73">
        <v>7599.596505</v>
      </c>
      <c r="BD182" s="73"/>
      <c r="BE182" s="21"/>
      <c r="BF182" s="21"/>
      <c r="BG182" s="21">
        <v>1912738.66</v>
      </c>
      <c r="BH182" s="21"/>
      <c r="BI182" s="72"/>
      <c r="BJ182" s="21"/>
      <c r="BK182" s="72"/>
      <c r="BL182" s="21"/>
      <c r="BM182" s="72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</row>
    <row r="183" ht="15.75" customHeight="1">
      <c r="A183" s="56">
        <v>45946.0</v>
      </c>
      <c r="B183" s="70">
        <v>1508.5</v>
      </c>
      <c r="C183" s="70">
        <v>1525.1</v>
      </c>
      <c r="D183" s="70">
        <v>1474.5</v>
      </c>
      <c r="E183" s="70">
        <v>15.15</v>
      </c>
      <c r="F183" s="70"/>
      <c r="G183" s="70"/>
      <c r="H183" s="70">
        <v>2.2230000000000003</v>
      </c>
      <c r="I183" s="70">
        <v>1.7</v>
      </c>
      <c r="J183" s="70"/>
      <c r="K183" s="70">
        <v>0.0</v>
      </c>
      <c r="L183" s="70"/>
      <c r="M183" s="70">
        <v>1.068</v>
      </c>
      <c r="N183" s="70">
        <v>1.247</v>
      </c>
      <c r="O183" s="70">
        <v>1.063</v>
      </c>
      <c r="P183" s="70">
        <v>1.2309999999999999</v>
      </c>
      <c r="Q183" s="70">
        <v>1.17</v>
      </c>
      <c r="R183" s="70">
        <v>1.13</v>
      </c>
      <c r="S183" s="70">
        <v>1.097</v>
      </c>
      <c r="T183" s="70">
        <v>1.6584999999999999</v>
      </c>
      <c r="U183" s="70">
        <v>1.0274</v>
      </c>
      <c r="V183" s="70">
        <v>0.0</v>
      </c>
      <c r="W183" s="70">
        <v>0.9625</v>
      </c>
      <c r="X183" s="70">
        <v>0.0</v>
      </c>
      <c r="Y183" s="70">
        <v>842.5</v>
      </c>
      <c r="Z183" s="70">
        <v>1.8719999999999999</v>
      </c>
      <c r="AA183" s="70">
        <v>1.165</v>
      </c>
      <c r="AB183" s="70">
        <v>1.248</v>
      </c>
      <c r="AC183" s="70">
        <v>1.5695</v>
      </c>
      <c r="AD183" s="70">
        <v>1.5846</v>
      </c>
      <c r="AE183" s="70">
        <v>0.0</v>
      </c>
      <c r="AF183" s="70">
        <v>1.3015</v>
      </c>
      <c r="AG183" s="70">
        <v>0.0</v>
      </c>
      <c r="AH183" s="70">
        <v>1.59596</v>
      </c>
      <c r="AI183" s="70">
        <v>0.965</v>
      </c>
      <c r="AJ183" s="70">
        <v>1360.0</v>
      </c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21"/>
      <c r="AX183" s="73">
        <v>17600.0</v>
      </c>
      <c r="AY183" s="73">
        <v>610.5</v>
      </c>
      <c r="AZ183" s="73">
        <v>4852.5</v>
      </c>
      <c r="BA183" s="73">
        <v>25460.0</v>
      </c>
      <c r="BB183" s="73">
        <v>4700.370025</v>
      </c>
      <c r="BC183" s="73">
        <v>7738.947325</v>
      </c>
      <c r="BD183" s="73"/>
      <c r="BE183" s="21"/>
      <c r="BF183" s="21"/>
      <c r="BG183" s="21">
        <v>1929504.82</v>
      </c>
      <c r="BH183" s="21"/>
      <c r="BI183" s="72"/>
      <c r="BJ183" s="21"/>
      <c r="BK183" s="72"/>
      <c r="BL183" s="21"/>
      <c r="BM183" s="72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</row>
    <row r="184" ht="15.75" customHeight="1">
      <c r="A184" s="56">
        <v>45947.0</v>
      </c>
      <c r="B184" s="70">
        <v>1590.0</v>
      </c>
      <c r="C184" s="70">
        <v>1572.0</v>
      </c>
      <c r="D184" s="70">
        <v>1520.0</v>
      </c>
      <c r="E184" s="70">
        <v>15.4</v>
      </c>
      <c r="F184" s="70"/>
      <c r="G184" s="70"/>
      <c r="H184" s="70">
        <v>2.248</v>
      </c>
      <c r="I184" s="70">
        <v>1.719</v>
      </c>
      <c r="J184" s="70"/>
      <c r="K184" s="70">
        <v>0.0</v>
      </c>
      <c r="L184" s="70"/>
      <c r="M184" s="70">
        <v>1.0715000000000001</v>
      </c>
      <c r="N184" s="70">
        <v>1.2465000000000002</v>
      </c>
      <c r="O184" s="70">
        <v>1.063</v>
      </c>
      <c r="P184" s="70">
        <v>1.239</v>
      </c>
      <c r="Q184" s="70">
        <v>1.169</v>
      </c>
      <c r="R184" s="70">
        <v>1.1315</v>
      </c>
      <c r="S184" s="70">
        <v>1.0995</v>
      </c>
      <c r="T184" s="70">
        <v>1.67</v>
      </c>
      <c r="U184" s="70">
        <v>1.0274</v>
      </c>
      <c r="V184" s="70">
        <v>0.0</v>
      </c>
      <c r="W184" s="70">
        <v>0.975</v>
      </c>
      <c r="X184" s="70">
        <v>0.0</v>
      </c>
      <c r="Y184" s="70">
        <v>851.5</v>
      </c>
      <c r="Z184" s="70">
        <v>1.9</v>
      </c>
      <c r="AA184" s="70">
        <v>1.1762000000000001</v>
      </c>
      <c r="AB184" s="70">
        <v>1.2465000000000002</v>
      </c>
      <c r="AC184" s="70">
        <v>1.585</v>
      </c>
      <c r="AD184" s="70">
        <v>1.5846</v>
      </c>
      <c r="AE184" s="70">
        <v>0.0</v>
      </c>
      <c r="AF184" s="70">
        <v>1.31195</v>
      </c>
      <c r="AG184" s="70">
        <v>0.0</v>
      </c>
      <c r="AH184" s="70">
        <v>1.59596</v>
      </c>
      <c r="AI184" s="70">
        <v>0.97</v>
      </c>
      <c r="AJ184" s="70">
        <v>1402.5</v>
      </c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21"/>
      <c r="AX184" s="73">
        <v>18330.0</v>
      </c>
      <c r="AY184" s="73">
        <v>640.0</v>
      </c>
      <c r="AZ184" s="73">
        <v>4960.0</v>
      </c>
      <c r="BA184" s="73">
        <v>26140.0</v>
      </c>
      <c r="BB184" s="73">
        <v>4835.022535</v>
      </c>
      <c r="BC184" s="73">
        <v>8156.999785</v>
      </c>
      <c r="BD184" s="73"/>
      <c r="BE184" s="21"/>
      <c r="BF184" s="21"/>
      <c r="BG184" s="21">
        <v>1989555.4</v>
      </c>
      <c r="BH184" s="21"/>
      <c r="BI184" s="72"/>
      <c r="BJ184" s="21"/>
      <c r="BK184" s="72"/>
      <c r="BL184" s="21"/>
      <c r="BM184" s="72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</row>
    <row r="185" ht="15.75" customHeight="1">
      <c r="A185" s="56">
        <v>45950.0</v>
      </c>
      <c r="B185" s="70">
        <v>1584.5</v>
      </c>
      <c r="C185" s="70">
        <v>1600.0</v>
      </c>
      <c r="D185" s="70">
        <v>1520.0</v>
      </c>
      <c r="E185" s="70">
        <v>15.44</v>
      </c>
      <c r="F185" s="70"/>
      <c r="G185" s="70"/>
      <c r="H185" s="70">
        <v>2.25</v>
      </c>
      <c r="I185" s="70">
        <v>1.7225</v>
      </c>
      <c r="J185" s="70"/>
      <c r="K185" s="70">
        <v>0.0</v>
      </c>
      <c r="L185" s="70"/>
      <c r="M185" s="70">
        <v>1.0685</v>
      </c>
      <c r="N185" s="70">
        <v>1.242</v>
      </c>
      <c r="O185" s="70">
        <v>1.063</v>
      </c>
      <c r="P185" s="70">
        <v>1.2425</v>
      </c>
      <c r="Q185" s="70">
        <v>1.177</v>
      </c>
      <c r="R185" s="70">
        <v>1.1345</v>
      </c>
      <c r="S185" s="70">
        <v>1.099</v>
      </c>
      <c r="T185" s="70">
        <v>1.6635</v>
      </c>
      <c r="U185" s="70">
        <v>1.0274</v>
      </c>
      <c r="V185" s="70">
        <v>0.0</v>
      </c>
      <c r="W185" s="70">
        <v>0.9865</v>
      </c>
      <c r="X185" s="70">
        <v>0.0</v>
      </c>
      <c r="Y185" s="70">
        <v>877.0</v>
      </c>
      <c r="Z185" s="70">
        <v>1.9075</v>
      </c>
      <c r="AA185" s="70">
        <v>1.176</v>
      </c>
      <c r="AB185" s="70">
        <v>1.2409999999999999</v>
      </c>
      <c r="AC185" s="70">
        <v>1.5858</v>
      </c>
      <c r="AD185" s="70">
        <v>1.5846</v>
      </c>
      <c r="AE185" s="70">
        <v>0.0</v>
      </c>
      <c r="AF185" s="70">
        <v>1.31125</v>
      </c>
      <c r="AG185" s="70">
        <v>0.0</v>
      </c>
      <c r="AH185" s="70">
        <v>1.59596</v>
      </c>
      <c r="AI185" s="70">
        <v>0.98</v>
      </c>
      <c r="AJ185" s="70">
        <v>1400.0</v>
      </c>
      <c r="AK185" s="70">
        <v>1.1925</v>
      </c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21"/>
      <c r="AX185" s="73">
        <v>18460.0</v>
      </c>
      <c r="AY185" s="73">
        <v>652.5</v>
      </c>
      <c r="AZ185" s="73">
        <v>5010.0</v>
      </c>
      <c r="BA185" s="73">
        <v>27440.0</v>
      </c>
      <c r="BB185" s="73">
        <v>4882.40027</v>
      </c>
      <c r="BC185" s="73">
        <v>8201.79112</v>
      </c>
      <c r="BD185" s="73"/>
      <c r="BE185" s="21"/>
      <c r="BF185" s="21"/>
      <c r="BG185" s="21">
        <v>1978419.05</v>
      </c>
      <c r="BH185" s="21"/>
      <c r="BI185" s="72"/>
      <c r="BJ185" s="21"/>
      <c r="BK185" s="72"/>
      <c r="BL185" s="21"/>
      <c r="BM185" s="72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</row>
    <row r="186" ht="15.75" customHeight="1">
      <c r="A186" s="56">
        <v>45951.0</v>
      </c>
      <c r="B186" s="70">
        <v>1583.5</v>
      </c>
      <c r="C186" s="70">
        <v>1660.0</v>
      </c>
      <c r="D186" s="70">
        <v>1580.0</v>
      </c>
      <c r="E186" s="70">
        <v>15.595</v>
      </c>
      <c r="F186" s="70"/>
      <c r="G186" s="70"/>
      <c r="H186" s="70">
        <v>2.2525</v>
      </c>
      <c r="I186" s="70">
        <v>1.7369999999999999</v>
      </c>
      <c r="J186" s="70"/>
      <c r="K186" s="70">
        <v>0.0</v>
      </c>
      <c r="L186" s="70"/>
      <c r="M186" s="70">
        <v>1.09</v>
      </c>
      <c r="N186" s="70">
        <v>1.249</v>
      </c>
      <c r="O186" s="70">
        <v>1.063</v>
      </c>
      <c r="P186" s="70">
        <v>1.25</v>
      </c>
      <c r="Q186" s="70">
        <v>1.1995</v>
      </c>
      <c r="R186" s="70">
        <v>1.157</v>
      </c>
      <c r="S186" s="70">
        <v>1.104</v>
      </c>
      <c r="T186" s="70">
        <v>1.705</v>
      </c>
      <c r="U186" s="70">
        <v>1.0274</v>
      </c>
      <c r="V186" s="70">
        <v>0.0</v>
      </c>
      <c r="W186" s="70">
        <v>0.995</v>
      </c>
      <c r="X186" s="70">
        <v>0.0</v>
      </c>
      <c r="Y186" s="70">
        <v>885.6</v>
      </c>
      <c r="Z186" s="70">
        <v>1.94</v>
      </c>
      <c r="AA186" s="70">
        <v>1.17489</v>
      </c>
      <c r="AB186" s="70">
        <v>1.249</v>
      </c>
      <c r="AC186" s="70">
        <v>1.5873</v>
      </c>
      <c r="AD186" s="70">
        <v>1.5846</v>
      </c>
      <c r="AE186" s="70">
        <v>0.0</v>
      </c>
      <c r="AF186" s="70">
        <v>1.31029</v>
      </c>
      <c r="AG186" s="70">
        <v>0.0</v>
      </c>
      <c r="AH186" s="70">
        <v>1.59596</v>
      </c>
      <c r="AI186" s="70">
        <v>0.985</v>
      </c>
      <c r="AJ186" s="70">
        <v>1431.0</v>
      </c>
      <c r="AK186" s="70">
        <v>1.1905</v>
      </c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21"/>
      <c r="AX186" s="73">
        <v>18870.0</v>
      </c>
      <c r="AY186" s="73">
        <v>645.5</v>
      </c>
      <c r="AZ186" s="73">
        <v>5115.0</v>
      </c>
      <c r="BA186" s="73">
        <v>28820.0</v>
      </c>
      <c r="BB186" s="73">
        <v>5056.94982</v>
      </c>
      <c r="BC186" s="73">
        <v>8495.423205</v>
      </c>
      <c r="BD186" s="73"/>
      <c r="BE186" s="21"/>
      <c r="BF186" s="21"/>
      <c r="BG186" s="21">
        <v>2002848.51</v>
      </c>
      <c r="BH186" s="21"/>
      <c r="BI186" s="72"/>
      <c r="BJ186" s="21"/>
      <c r="BK186" s="72"/>
      <c r="BL186" s="21"/>
      <c r="BM186" s="72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</row>
    <row r="187" ht="15.75" customHeight="1">
      <c r="A187" s="56">
        <v>45952.0</v>
      </c>
      <c r="B187" s="70">
        <v>1656.1</v>
      </c>
      <c r="C187" s="70">
        <v>1620.0</v>
      </c>
      <c r="D187" s="70">
        <v>1555.0</v>
      </c>
      <c r="E187" s="70">
        <v>15.615</v>
      </c>
      <c r="F187" s="70"/>
      <c r="G187" s="70"/>
      <c r="H187" s="70">
        <v>2.2555</v>
      </c>
      <c r="I187" s="70">
        <v>1.7480000000000002</v>
      </c>
      <c r="J187" s="70"/>
      <c r="K187" s="70">
        <v>0.0</v>
      </c>
      <c r="L187" s="70"/>
      <c r="M187" s="70">
        <v>1.101</v>
      </c>
      <c r="N187" s="70">
        <v>1.2505</v>
      </c>
      <c r="O187" s="70">
        <v>1.063</v>
      </c>
      <c r="P187" s="70">
        <v>1.2545</v>
      </c>
      <c r="Q187" s="70">
        <v>1.208</v>
      </c>
      <c r="R187" s="70">
        <v>1.162</v>
      </c>
      <c r="S187" s="70">
        <v>1.112</v>
      </c>
      <c r="T187" s="70">
        <v>1.705</v>
      </c>
      <c r="U187" s="70">
        <v>1.0274</v>
      </c>
      <c r="V187" s="70">
        <v>0.0</v>
      </c>
      <c r="W187" s="70">
        <v>0.995</v>
      </c>
      <c r="X187" s="70">
        <v>0.0</v>
      </c>
      <c r="Y187" s="70">
        <v>859.0</v>
      </c>
      <c r="Z187" s="70">
        <v>1.94</v>
      </c>
      <c r="AA187" s="70">
        <v>1.1748</v>
      </c>
      <c r="AB187" s="70">
        <v>1.25</v>
      </c>
      <c r="AC187" s="70">
        <v>1.588</v>
      </c>
      <c r="AD187" s="70">
        <v>1.5846</v>
      </c>
      <c r="AE187" s="70">
        <v>0.0</v>
      </c>
      <c r="AF187" s="70">
        <v>1.3126900000000001</v>
      </c>
      <c r="AG187" s="70">
        <v>0.0</v>
      </c>
      <c r="AH187" s="70">
        <v>1.59596</v>
      </c>
      <c r="AI187" s="70">
        <v>0.9975</v>
      </c>
      <c r="AJ187" s="70">
        <v>1432.5</v>
      </c>
      <c r="AK187" s="70">
        <v>1.19161</v>
      </c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21"/>
      <c r="AX187" s="73">
        <v>19110.0</v>
      </c>
      <c r="AY187" s="73">
        <v>622.5</v>
      </c>
      <c r="AZ187" s="73">
        <v>5305.0</v>
      </c>
      <c r="BA187" s="73">
        <v>28200.0</v>
      </c>
      <c r="BB187" s="73">
        <v>5076.89834</v>
      </c>
      <c r="BC187" s="73">
        <v>8853.753885</v>
      </c>
      <c r="BD187" s="73"/>
      <c r="BE187" s="21"/>
      <c r="BF187" s="21"/>
      <c r="BG187" s="21">
        <v>2018810.75</v>
      </c>
      <c r="BH187" s="21"/>
      <c r="BI187" s="72"/>
      <c r="BJ187" s="21"/>
      <c r="BK187" s="72"/>
      <c r="BL187" s="21"/>
      <c r="BM187" s="72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</row>
    <row r="188" ht="15.75" customHeight="1">
      <c r="A188" s="56">
        <v>45953.0</v>
      </c>
      <c r="B188" s="70">
        <v>1600.0</v>
      </c>
      <c r="C188" s="70">
        <v>1550.0</v>
      </c>
      <c r="D188" s="70">
        <v>1495.0</v>
      </c>
      <c r="E188" s="70">
        <v>15.765</v>
      </c>
      <c r="F188" s="70"/>
      <c r="G188" s="70"/>
      <c r="H188" s="70">
        <v>2.2615</v>
      </c>
      <c r="I188" s="70">
        <v>1.75</v>
      </c>
      <c r="J188" s="70"/>
      <c r="K188" s="70">
        <v>0.0</v>
      </c>
      <c r="L188" s="70"/>
      <c r="M188" s="70">
        <v>1.1035</v>
      </c>
      <c r="N188" s="70">
        <v>1.253</v>
      </c>
      <c r="O188" s="70">
        <v>1.063</v>
      </c>
      <c r="P188" s="70">
        <v>1.28</v>
      </c>
      <c r="Q188" s="70">
        <v>1.2365000000000002</v>
      </c>
      <c r="R188" s="70">
        <v>1.189</v>
      </c>
      <c r="S188" s="70">
        <v>1.1420000000000001</v>
      </c>
      <c r="T188" s="70">
        <v>1.714</v>
      </c>
      <c r="U188" s="70">
        <v>1.0274</v>
      </c>
      <c r="V188" s="70">
        <v>0.0</v>
      </c>
      <c r="W188" s="70">
        <v>1.0175</v>
      </c>
      <c r="X188" s="70">
        <v>0.0</v>
      </c>
      <c r="Y188" s="70">
        <v>830.0</v>
      </c>
      <c r="Z188" s="70">
        <v>1.94</v>
      </c>
      <c r="AA188" s="70">
        <v>1.1775</v>
      </c>
      <c r="AB188" s="70">
        <v>1.255</v>
      </c>
      <c r="AC188" s="70">
        <v>1.5912</v>
      </c>
      <c r="AD188" s="70">
        <v>1.5846</v>
      </c>
      <c r="AE188" s="70">
        <v>0.0</v>
      </c>
      <c r="AF188" s="70">
        <v>1.31398</v>
      </c>
      <c r="AG188" s="70">
        <v>0.0</v>
      </c>
      <c r="AH188" s="70">
        <v>1.59596</v>
      </c>
      <c r="AI188" s="70">
        <v>0.9959</v>
      </c>
      <c r="AJ188" s="70">
        <v>1407.8</v>
      </c>
      <c r="AK188" s="70">
        <v>1.195</v>
      </c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21"/>
      <c r="AX188" s="73">
        <v>20490.0</v>
      </c>
      <c r="AY188" s="73">
        <v>601.0</v>
      </c>
      <c r="AZ188" s="73">
        <v>5420.0</v>
      </c>
      <c r="BA188" s="73">
        <v>27700.0</v>
      </c>
      <c r="BB188" s="73">
        <v>5231.49937</v>
      </c>
      <c r="BC188" s="73">
        <v>8998.08152</v>
      </c>
      <c r="BD188" s="73"/>
      <c r="BE188" s="21"/>
      <c r="BF188" s="21"/>
      <c r="BG188" s="21">
        <v>2055520.27</v>
      </c>
      <c r="BH188" s="21"/>
      <c r="BI188" s="72"/>
      <c r="BJ188" s="21"/>
      <c r="BK188" s="72"/>
      <c r="BL188" s="21"/>
      <c r="BM188" s="72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</row>
    <row r="189" ht="15.75" customHeight="1">
      <c r="A189" s="56">
        <v>45954.0</v>
      </c>
      <c r="B189" s="70">
        <v>1569.9</v>
      </c>
      <c r="C189" s="70">
        <v>1605.0</v>
      </c>
      <c r="D189" s="70">
        <v>1548.7</v>
      </c>
      <c r="E189" s="70">
        <v>15.7</v>
      </c>
      <c r="F189" s="70"/>
      <c r="G189" s="70"/>
      <c r="H189" s="70">
        <v>2.2669</v>
      </c>
      <c r="I189" s="70">
        <v>1.735</v>
      </c>
      <c r="J189" s="70"/>
      <c r="K189" s="70">
        <v>0.0</v>
      </c>
      <c r="L189" s="70"/>
      <c r="M189" s="70">
        <v>1.105</v>
      </c>
      <c r="N189" s="70">
        <v>1.2565</v>
      </c>
      <c r="O189" s="70">
        <v>1.063</v>
      </c>
      <c r="P189" s="70">
        <v>1.2675</v>
      </c>
      <c r="Q189" s="70">
        <v>1.22</v>
      </c>
      <c r="R189" s="70">
        <v>1.19</v>
      </c>
      <c r="S189" s="70">
        <v>1.1535</v>
      </c>
      <c r="T189" s="70">
        <v>1.725</v>
      </c>
      <c r="U189" s="70">
        <v>1.0274</v>
      </c>
      <c r="V189" s="70">
        <v>0.0</v>
      </c>
      <c r="W189" s="70">
        <v>1.026</v>
      </c>
      <c r="X189" s="70">
        <v>0.0</v>
      </c>
      <c r="Y189" s="70">
        <v>834.8</v>
      </c>
      <c r="Z189" s="70">
        <v>1.949</v>
      </c>
      <c r="AA189" s="70">
        <v>1.1865</v>
      </c>
      <c r="AB189" s="70">
        <v>1.262</v>
      </c>
      <c r="AC189" s="70">
        <v>1.6</v>
      </c>
      <c r="AD189" s="70">
        <v>1.5846</v>
      </c>
      <c r="AE189" s="70">
        <v>0.0</v>
      </c>
      <c r="AF189" s="70">
        <v>1.318</v>
      </c>
      <c r="AG189" s="70">
        <v>0.0</v>
      </c>
      <c r="AH189" s="70">
        <v>1.59596</v>
      </c>
      <c r="AI189" s="70">
        <v>0.9990000000000001</v>
      </c>
      <c r="AJ189" s="70">
        <v>1420.7</v>
      </c>
      <c r="AK189" s="70">
        <v>1.2001</v>
      </c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21"/>
      <c r="AX189" s="73">
        <v>20880.0</v>
      </c>
      <c r="AY189" s="73">
        <v>589.5</v>
      </c>
      <c r="AZ189" s="73">
        <v>5550.0</v>
      </c>
      <c r="BA189" s="73">
        <v>28220.0</v>
      </c>
      <c r="BB189" s="73">
        <v>5266.40928</v>
      </c>
      <c r="BC189" s="73">
        <v>8968.22063</v>
      </c>
      <c r="BD189" s="73"/>
      <c r="BE189" s="21"/>
      <c r="BF189" s="21"/>
      <c r="BG189" s="21">
        <v>2076858.58</v>
      </c>
      <c r="BH189" s="21"/>
      <c r="BI189" s="72"/>
      <c r="BJ189" s="21"/>
      <c r="BK189" s="72"/>
      <c r="BL189" s="21"/>
      <c r="BM189" s="72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</row>
    <row r="190" ht="15.75" customHeight="1">
      <c r="A190" s="56">
        <v>45957.0</v>
      </c>
      <c r="B190" s="70">
        <v>1462.1</v>
      </c>
      <c r="C190" s="70">
        <v>1450.0</v>
      </c>
      <c r="D190" s="70">
        <v>1435.0</v>
      </c>
      <c r="E190" s="70">
        <v>16.29</v>
      </c>
      <c r="F190" s="70"/>
      <c r="G190" s="70"/>
      <c r="H190" s="70">
        <v>2.31</v>
      </c>
      <c r="I190" s="70">
        <v>1.796</v>
      </c>
      <c r="J190" s="70"/>
      <c r="K190" s="70">
        <v>0.0</v>
      </c>
      <c r="L190" s="70"/>
      <c r="M190" s="70">
        <v>1.18</v>
      </c>
      <c r="N190" s="70">
        <v>1.31</v>
      </c>
      <c r="O190" s="70">
        <v>1.063</v>
      </c>
      <c r="P190" s="70">
        <v>1.3025</v>
      </c>
      <c r="Q190" s="70">
        <v>1.272</v>
      </c>
      <c r="R190" s="70">
        <v>1.255</v>
      </c>
      <c r="S190" s="70">
        <v>1.258</v>
      </c>
      <c r="T190" s="70">
        <v>1.88</v>
      </c>
      <c r="U190" s="70">
        <v>1.0274</v>
      </c>
      <c r="V190" s="70">
        <v>0.0</v>
      </c>
      <c r="W190" s="70">
        <v>1.127</v>
      </c>
      <c r="X190" s="70">
        <v>0.0</v>
      </c>
      <c r="Y190" s="70">
        <v>893.0</v>
      </c>
      <c r="Z190" s="70">
        <v>2.11</v>
      </c>
      <c r="AA190" s="70">
        <v>1.2</v>
      </c>
      <c r="AB190" s="70">
        <v>1.307</v>
      </c>
      <c r="AC190" s="70">
        <v>1.6305</v>
      </c>
      <c r="AD190" s="70">
        <v>1.5846</v>
      </c>
      <c r="AE190" s="70">
        <v>0.0</v>
      </c>
      <c r="AF190" s="70">
        <v>1.3197999999999999</v>
      </c>
      <c r="AG190" s="70">
        <v>0.0</v>
      </c>
      <c r="AH190" s="70">
        <v>1.59596</v>
      </c>
      <c r="AI190" s="70">
        <v>1.103</v>
      </c>
      <c r="AJ190" s="70">
        <v>1387.0</v>
      </c>
      <c r="AK190" s="70">
        <v>1.205</v>
      </c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21"/>
      <c r="AX190" s="73">
        <v>23050.0</v>
      </c>
      <c r="AY190" s="73">
        <v>589.5</v>
      </c>
      <c r="AZ190" s="73">
        <v>7090.0</v>
      </c>
      <c r="BA190" s="73">
        <v>27700.0</v>
      </c>
      <c r="BB190" s="73">
        <v>6897.20079</v>
      </c>
      <c r="BC190" s="73">
        <v>11536.25717</v>
      </c>
      <c r="BD190" s="73"/>
      <c r="BE190" s="21"/>
      <c r="BF190" s="21"/>
      <c r="BG190" s="21">
        <v>2529084.12</v>
      </c>
      <c r="BH190" s="21"/>
      <c r="BI190" s="72"/>
      <c r="BJ190" s="21"/>
      <c r="BK190" s="72"/>
      <c r="BL190" s="21"/>
      <c r="BM190" s="72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</row>
    <row r="191" ht="15.75" customHeight="1">
      <c r="A191" s="56">
        <v>45958.0</v>
      </c>
      <c r="B191" s="70">
        <v>1501.6</v>
      </c>
      <c r="C191" s="70">
        <v>1499.0</v>
      </c>
      <c r="D191" s="70">
        <v>1461.0</v>
      </c>
      <c r="E191" s="70">
        <v>16.35</v>
      </c>
      <c r="F191" s="70"/>
      <c r="G191" s="70"/>
      <c r="H191" s="70">
        <v>2.31</v>
      </c>
      <c r="I191" s="70">
        <v>1.8025</v>
      </c>
      <c r="J191" s="70"/>
      <c r="K191" s="70">
        <v>0.0</v>
      </c>
      <c r="L191" s="70"/>
      <c r="M191" s="70">
        <v>1.1840000000000002</v>
      </c>
      <c r="N191" s="70">
        <v>1.3125</v>
      </c>
      <c r="O191" s="70">
        <v>1.063</v>
      </c>
      <c r="P191" s="70">
        <v>1.305</v>
      </c>
      <c r="Q191" s="70">
        <v>1.2725</v>
      </c>
      <c r="R191" s="70">
        <v>1.2525</v>
      </c>
      <c r="S191" s="70">
        <v>1.266</v>
      </c>
      <c r="T191" s="70">
        <v>1.89</v>
      </c>
      <c r="U191" s="70">
        <v>1.0274</v>
      </c>
      <c r="V191" s="70">
        <v>0.0</v>
      </c>
      <c r="W191" s="70">
        <v>1.08</v>
      </c>
      <c r="X191" s="70">
        <v>0.0</v>
      </c>
      <c r="Y191" s="70">
        <v>929.0</v>
      </c>
      <c r="Z191" s="70">
        <v>2.094</v>
      </c>
      <c r="AA191" s="70">
        <v>1.1987999999999999</v>
      </c>
      <c r="AB191" s="70">
        <v>1.3065</v>
      </c>
      <c r="AC191" s="70">
        <v>1.629</v>
      </c>
      <c r="AD191" s="70">
        <v>1.5846</v>
      </c>
      <c r="AE191" s="70">
        <v>0.0</v>
      </c>
      <c r="AF191" s="70">
        <v>1.3222300000000002</v>
      </c>
      <c r="AG191" s="70">
        <v>0.0</v>
      </c>
      <c r="AH191" s="70">
        <v>1.59596</v>
      </c>
      <c r="AI191" s="70">
        <v>1.11</v>
      </c>
      <c r="AJ191" s="70">
        <v>1463.0</v>
      </c>
      <c r="AK191" s="70">
        <v>1.2065000000000001</v>
      </c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21"/>
      <c r="AX191" s="73">
        <v>23560.0</v>
      </c>
      <c r="AY191" s="73">
        <v>618.5</v>
      </c>
      <c r="AZ191" s="73">
        <v>7660.0</v>
      </c>
      <c r="BA191" s="73">
        <v>28420.0</v>
      </c>
      <c r="BB191" s="73">
        <v>7410.0</v>
      </c>
      <c r="BC191" s="73">
        <v>12282.77942</v>
      </c>
      <c r="BD191" s="73"/>
      <c r="BE191" s="21"/>
      <c r="BF191" s="21"/>
      <c r="BG191" s="21">
        <v>2670387.93</v>
      </c>
      <c r="BH191" s="21"/>
      <c r="BI191" s="72"/>
      <c r="BJ191" s="21"/>
      <c r="BK191" s="72"/>
      <c r="BL191" s="21"/>
      <c r="BM191" s="72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</row>
    <row r="192" ht="15.75" customHeight="1">
      <c r="A192" s="56">
        <v>45959.0</v>
      </c>
      <c r="B192" s="70">
        <v>1530.0</v>
      </c>
      <c r="C192" s="70">
        <v>1480.0</v>
      </c>
      <c r="D192" s="70">
        <v>1440.0</v>
      </c>
      <c r="E192" s="70">
        <v>16.385</v>
      </c>
      <c r="F192" s="70"/>
      <c r="G192" s="70"/>
      <c r="H192" s="70">
        <v>2.319</v>
      </c>
      <c r="I192" s="70">
        <v>1.807</v>
      </c>
      <c r="J192" s="70"/>
      <c r="K192" s="70">
        <v>0.0</v>
      </c>
      <c r="L192" s="70"/>
      <c r="M192" s="70">
        <v>1.185</v>
      </c>
      <c r="N192" s="70">
        <v>1.3159999999999998</v>
      </c>
      <c r="O192" s="70">
        <v>1.063</v>
      </c>
      <c r="P192" s="70">
        <v>1.32</v>
      </c>
      <c r="Q192" s="70">
        <v>1.286</v>
      </c>
      <c r="R192" s="70">
        <v>1.2734999999999999</v>
      </c>
      <c r="S192" s="70">
        <v>1.276</v>
      </c>
      <c r="T192" s="70">
        <v>1.9305</v>
      </c>
      <c r="U192" s="70">
        <v>1.0274</v>
      </c>
      <c r="V192" s="70">
        <v>0.0</v>
      </c>
      <c r="W192" s="70">
        <v>1.1425</v>
      </c>
      <c r="X192" s="70">
        <v>0.0</v>
      </c>
      <c r="Y192" s="70">
        <v>930.9</v>
      </c>
      <c r="Z192" s="70">
        <v>2.11</v>
      </c>
      <c r="AA192" s="70">
        <v>1.204</v>
      </c>
      <c r="AB192" s="70">
        <v>1.308</v>
      </c>
      <c r="AC192" s="70">
        <v>1.64</v>
      </c>
      <c r="AD192" s="70">
        <v>1.5846</v>
      </c>
      <c r="AE192" s="70">
        <v>0.0</v>
      </c>
      <c r="AF192" s="70">
        <v>1.32604</v>
      </c>
      <c r="AG192" s="70">
        <v>0.0</v>
      </c>
      <c r="AH192" s="70">
        <v>1.59596</v>
      </c>
      <c r="AI192" s="70">
        <v>1.149</v>
      </c>
      <c r="AJ192" s="70">
        <v>1468.9</v>
      </c>
      <c r="AK192" s="70">
        <v>1.21091</v>
      </c>
      <c r="AL192" s="70">
        <v>2.965</v>
      </c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21"/>
      <c r="AX192" s="73">
        <v>24040.0</v>
      </c>
      <c r="AY192" s="73">
        <v>702.5</v>
      </c>
      <c r="AZ192" s="73">
        <v>7869.28086</v>
      </c>
      <c r="BA192" s="73">
        <v>28660.0</v>
      </c>
      <c r="BB192" s="73">
        <v>7695.0</v>
      </c>
      <c r="BC192" s="73">
        <v>12557.31646</v>
      </c>
      <c r="BD192" s="73"/>
      <c r="BE192" s="21"/>
      <c r="BF192" s="21"/>
      <c r="BG192" s="21">
        <v>2801880.41</v>
      </c>
      <c r="BH192" s="21"/>
      <c r="BI192" s="72"/>
      <c r="BJ192" s="21"/>
      <c r="BK192" s="72"/>
      <c r="BL192" s="21"/>
      <c r="BM192" s="72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</row>
    <row r="193" ht="15.75" customHeight="1">
      <c r="A193" s="56">
        <v>45960.0</v>
      </c>
      <c r="B193" s="70">
        <v>1509.4</v>
      </c>
      <c r="C193" s="70">
        <v>1494.0</v>
      </c>
      <c r="D193" s="70">
        <v>1449.0</v>
      </c>
      <c r="E193" s="70">
        <v>16.59</v>
      </c>
      <c r="F193" s="70"/>
      <c r="G193" s="70"/>
      <c r="H193" s="70">
        <v>2.332</v>
      </c>
      <c r="I193" s="70">
        <v>1.831</v>
      </c>
      <c r="J193" s="70"/>
      <c r="K193" s="70">
        <v>0.0</v>
      </c>
      <c r="L193" s="70"/>
      <c r="M193" s="70">
        <v>1.2045000000000001</v>
      </c>
      <c r="N193" s="70">
        <v>1.329</v>
      </c>
      <c r="O193" s="70">
        <v>1.063</v>
      </c>
      <c r="P193" s="70">
        <v>1.32</v>
      </c>
      <c r="Q193" s="70">
        <v>1.314</v>
      </c>
      <c r="R193" s="70">
        <v>1.2955</v>
      </c>
      <c r="S193" s="70">
        <v>1.284</v>
      </c>
      <c r="T193" s="70">
        <v>1.964</v>
      </c>
      <c r="U193" s="70">
        <v>1.0274</v>
      </c>
      <c r="V193" s="70">
        <v>0.0</v>
      </c>
      <c r="W193" s="70">
        <v>1.17</v>
      </c>
      <c r="X193" s="70">
        <v>0.0</v>
      </c>
      <c r="Y193" s="70">
        <v>935.0</v>
      </c>
      <c r="Z193" s="70">
        <v>2.133</v>
      </c>
      <c r="AA193" s="70">
        <v>1.20594</v>
      </c>
      <c r="AB193" s="70">
        <v>1.32</v>
      </c>
      <c r="AC193" s="70">
        <v>1.6465</v>
      </c>
      <c r="AD193" s="70">
        <v>1.5846</v>
      </c>
      <c r="AE193" s="70">
        <v>0.0</v>
      </c>
      <c r="AF193" s="70">
        <v>1.32604</v>
      </c>
      <c r="AG193" s="70">
        <v>0.0</v>
      </c>
      <c r="AH193" s="70">
        <v>1.59596</v>
      </c>
      <c r="AI193" s="70">
        <v>1.17</v>
      </c>
      <c r="AJ193" s="70">
        <v>1468.9</v>
      </c>
      <c r="AK193" s="70">
        <v>1.212</v>
      </c>
      <c r="AL193" s="70">
        <v>3.01</v>
      </c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21"/>
      <c r="AX193" s="73">
        <v>23500.0</v>
      </c>
      <c r="AY193" s="73">
        <v>722.5</v>
      </c>
      <c r="AZ193" s="73">
        <v>7983.97887</v>
      </c>
      <c r="BA193" s="73">
        <v>29560.0</v>
      </c>
      <c r="BB193" s="73">
        <v>7600.0</v>
      </c>
      <c r="BC193" s="73">
        <v>12547.36613</v>
      </c>
      <c r="BD193" s="73"/>
      <c r="BE193" s="21"/>
      <c r="BF193" s="21"/>
      <c r="BG193" s="21">
        <v>2793519.41</v>
      </c>
      <c r="BH193" s="21"/>
      <c r="BI193" s="72"/>
      <c r="BJ193" s="21"/>
      <c r="BK193" s="72"/>
      <c r="BL193" s="21"/>
      <c r="BM193" s="72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</row>
    <row r="194" ht="15.75" customHeight="1">
      <c r="A194" s="56">
        <v>45961.0</v>
      </c>
      <c r="B194" s="70">
        <v>1501.0</v>
      </c>
      <c r="C194" s="70">
        <v>1470.0</v>
      </c>
      <c r="D194" s="70">
        <v>1468.9</v>
      </c>
      <c r="E194" s="70">
        <v>16.68</v>
      </c>
      <c r="F194" s="70"/>
      <c r="G194" s="70"/>
      <c r="H194" s="70">
        <v>2.347</v>
      </c>
      <c r="I194" s="70">
        <v>1.8425</v>
      </c>
      <c r="J194" s="70"/>
      <c r="K194" s="70">
        <v>0.0</v>
      </c>
      <c r="L194" s="70"/>
      <c r="M194" s="70">
        <v>1.2009999999999998</v>
      </c>
      <c r="N194" s="70">
        <v>1.3355000000000001</v>
      </c>
      <c r="O194" s="70">
        <v>1.063</v>
      </c>
      <c r="P194" s="70">
        <v>1.3259999999999998</v>
      </c>
      <c r="Q194" s="70">
        <v>1.3019999999999998</v>
      </c>
      <c r="R194" s="70">
        <v>1.285</v>
      </c>
      <c r="S194" s="70">
        <v>1.28</v>
      </c>
      <c r="T194" s="70">
        <v>1.9780000000000002</v>
      </c>
      <c r="U194" s="70">
        <v>1.0274</v>
      </c>
      <c r="V194" s="70">
        <v>0.0</v>
      </c>
      <c r="W194" s="70">
        <v>1.169</v>
      </c>
      <c r="X194" s="70">
        <v>0.0</v>
      </c>
      <c r="Y194" s="70">
        <v>941.0</v>
      </c>
      <c r="Z194" s="70">
        <v>2.155</v>
      </c>
      <c r="AA194" s="70">
        <v>1.21086</v>
      </c>
      <c r="AB194" s="70">
        <v>1.3255000000000001</v>
      </c>
      <c r="AC194" s="70">
        <v>1.651</v>
      </c>
      <c r="AD194" s="70">
        <v>0.0</v>
      </c>
      <c r="AE194" s="70">
        <v>0.0</v>
      </c>
      <c r="AF194" s="70">
        <v>0.0</v>
      </c>
      <c r="AG194" s="70">
        <v>0.0</v>
      </c>
      <c r="AH194" s="70">
        <v>1.59596</v>
      </c>
      <c r="AI194" s="70">
        <v>1.1604999999999999</v>
      </c>
      <c r="AJ194" s="70">
        <v>1468.9</v>
      </c>
      <c r="AK194" s="70">
        <v>1.21598</v>
      </c>
      <c r="AL194" s="70">
        <v>3.0225</v>
      </c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21"/>
      <c r="AX194" s="73">
        <v>24400.0</v>
      </c>
      <c r="AY194" s="73">
        <v>729.0</v>
      </c>
      <c r="AZ194" s="73">
        <v>8821.77303</v>
      </c>
      <c r="BA194" s="73">
        <v>29140.0</v>
      </c>
      <c r="BB194" s="73">
        <v>8320.0</v>
      </c>
      <c r="BC194" s="73">
        <v>13442.89583</v>
      </c>
      <c r="BD194" s="73"/>
      <c r="BE194" s="21"/>
      <c r="BF194" s="21"/>
      <c r="BG194" s="21">
        <v>3002607.18</v>
      </c>
      <c r="BH194" s="21"/>
      <c r="BI194" s="72"/>
      <c r="BJ194" s="21"/>
      <c r="BK194" s="72"/>
      <c r="BL194" s="21"/>
      <c r="BM194" s="72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</row>
    <row r="195" ht="15.75" customHeight="1">
      <c r="A195" s="56">
        <v>45964.0</v>
      </c>
      <c r="B195" s="70">
        <v>1501.0</v>
      </c>
      <c r="C195" s="70">
        <v>1500.0</v>
      </c>
      <c r="D195" s="70">
        <v>1498.9</v>
      </c>
      <c r="E195" s="70">
        <v>16.685</v>
      </c>
      <c r="F195" s="70"/>
      <c r="G195" s="70"/>
      <c r="H195" s="70">
        <v>2.3435</v>
      </c>
      <c r="I195" s="70">
        <v>1.8435</v>
      </c>
      <c r="J195" s="70"/>
      <c r="K195" s="70">
        <v>0.0</v>
      </c>
      <c r="L195" s="70"/>
      <c r="M195" s="70">
        <v>1.1895</v>
      </c>
      <c r="N195" s="70">
        <v>1.3295</v>
      </c>
      <c r="O195" s="70">
        <v>1.063</v>
      </c>
      <c r="P195" s="70">
        <v>1.334</v>
      </c>
      <c r="Q195" s="70">
        <v>1.3125</v>
      </c>
      <c r="R195" s="70">
        <v>1.29</v>
      </c>
      <c r="S195" s="70">
        <v>1.281</v>
      </c>
      <c r="T195" s="70">
        <v>1.986</v>
      </c>
      <c r="U195" s="70">
        <v>1.0274</v>
      </c>
      <c r="V195" s="70">
        <v>0.0</v>
      </c>
      <c r="W195" s="70">
        <v>1.168</v>
      </c>
      <c r="X195" s="70">
        <v>0.0</v>
      </c>
      <c r="Y195" s="70">
        <v>945.5</v>
      </c>
      <c r="Z195" s="70">
        <v>2.158</v>
      </c>
      <c r="AA195" s="70">
        <v>1.2115900000000002</v>
      </c>
      <c r="AB195" s="70">
        <v>1.321</v>
      </c>
      <c r="AC195" s="70">
        <v>1.6535</v>
      </c>
      <c r="AD195" s="70">
        <v>0.0</v>
      </c>
      <c r="AE195" s="70">
        <v>0.0</v>
      </c>
      <c r="AF195" s="70">
        <v>0.0</v>
      </c>
      <c r="AG195" s="70">
        <v>0.0</v>
      </c>
      <c r="AH195" s="70">
        <v>1.59596</v>
      </c>
      <c r="AI195" s="70">
        <v>1.1675</v>
      </c>
      <c r="AJ195" s="70">
        <v>0.0</v>
      </c>
      <c r="AK195" s="70">
        <v>1.217</v>
      </c>
      <c r="AL195" s="70">
        <v>3.025</v>
      </c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21"/>
      <c r="AX195" s="73">
        <v>24730.0</v>
      </c>
      <c r="AY195" s="73">
        <v>790.0</v>
      </c>
      <c r="AZ195" s="73">
        <v>9160.88019</v>
      </c>
      <c r="BA195" s="73">
        <v>29300.0</v>
      </c>
      <c r="BB195" s="73">
        <v>8900.0</v>
      </c>
      <c r="BC195" s="73">
        <v>13592.15078</v>
      </c>
      <c r="BD195" s="73"/>
      <c r="BE195" s="21"/>
      <c r="BF195" s="21"/>
      <c r="BG195" s="21">
        <v>3104495.27</v>
      </c>
      <c r="BH195" s="21"/>
      <c r="BI195" s="72"/>
      <c r="BJ195" s="21"/>
      <c r="BK195" s="72"/>
      <c r="BL195" s="21"/>
      <c r="BM195" s="72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</row>
    <row r="196" ht="15.75" customHeight="1">
      <c r="A196" s="56">
        <v>45965.0</v>
      </c>
      <c r="B196" s="70">
        <v>1487.0</v>
      </c>
      <c r="C196" s="70">
        <v>1501.0</v>
      </c>
      <c r="D196" s="70">
        <v>1477.0</v>
      </c>
      <c r="E196" s="70">
        <v>16.69</v>
      </c>
      <c r="F196" s="70"/>
      <c r="G196" s="70"/>
      <c r="H196" s="70">
        <v>2.3480000000000003</v>
      </c>
      <c r="I196" s="70">
        <v>1.8415000000000001</v>
      </c>
      <c r="J196" s="70"/>
      <c r="K196" s="70">
        <v>0.0</v>
      </c>
      <c r="L196" s="70"/>
      <c r="M196" s="70">
        <v>1.1915</v>
      </c>
      <c r="N196" s="70">
        <v>1.335</v>
      </c>
      <c r="O196" s="70">
        <v>1.063</v>
      </c>
      <c r="P196" s="70">
        <v>1.3330000000000002</v>
      </c>
      <c r="Q196" s="70">
        <v>1.3130000000000002</v>
      </c>
      <c r="R196" s="70">
        <v>1.3</v>
      </c>
      <c r="S196" s="70">
        <v>1.2830000000000001</v>
      </c>
      <c r="T196" s="70">
        <v>1.9825</v>
      </c>
      <c r="U196" s="70">
        <v>1.0274</v>
      </c>
      <c r="V196" s="70">
        <v>0.0</v>
      </c>
      <c r="W196" s="70">
        <v>1.1665</v>
      </c>
      <c r="X196" s="70">
        <v>0.0</v>
      </c>
      <c r="Y196" s="70">
        <v>947.8</v>
      </c>
      <c r="Z196" s="70">
        <v>2.1585</v>
      </c>
      <c r="AA196" s="70">
        <v>1.21494</v>
      </c>
      <c r="AB196" s="70">
        <v>1.3235</v>
      </c>
      <c r="AC196" s="70">
        <v>1.6578</v>
      </c>
      <c r="AD196" s="70">
        <v>0.0</v>
      </c>
      <c r="AE196" s="70">
        <v>0.0</v>
      </c>
      <c r="AF196" s="70">
        <v>0.0</v>
      </c>
      <c r="AG196" s="70">
        <v>0.0</v>
      </c>
      <c r="AH196" s="70">
        <v>1.59596</v>
      </c>
      <c r="AI196" s="70">
        <v>1.1635</v>
      </c>
      <c r="AJ196" s="70">
        <v>0.0</v>
      </c>
      <c r="AK196" s="70">
        <v>1.21775</v>
      </c>
      <c r="AL196" s="70">
        <v>3.03</v>
      </c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21"/>
      <c r="AX196" s="73">
        <v>24610.0</v>
      </c>
      <c r="AY196" s="73">
        <v>811.5</v>
      </c>
      <c r="AZ196" s="73">
        <v>9041.19531</v>
      </c>
      <c r="BA196" s="73">
        <v>29460.0</v>
      </c>
      <c r="BB196" s="73">
        <v>8585.0</v>
      </c>
      <c r="BC196" s="73">
        <v>13442.89583</v>
      </c>
      <c r="BD196" s="73"/>
      <c r="BE196" s="21"/>
      <c r="BF196" s="21"/>
      <c r="BG196" s="21">
        <v>3080710.09</v>
      </c>
      <c r="BH196" s="21"/>
      <c r="BI196" s="72"/>
      <c r="BJ196" s="21"/>
      <c r="BK196" s="72"/>
      <c r="BL196" s="21"/>
      <c r="BM196" s="72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</row>
    <row r="197" ht="15.75" customHeight="1">
      <c r="A197" s="56">
        <v>45966.0</v>
      </c>
      <c r="B197" s="70">
        <v>1488.5</v>
      </c>
      <c r="C197" s="70">
        <v>1549.8</v>
      </c>
      <c r="D197" s="70">
        <v>1470.0</v>
      </c>
      <c r="E197" s="70">
        <v>16.72</v>
      </c>
      <c r="F197" s="70"/>
      <c r="G197" s="70"/>
      <c r="H197" s="70">
        <v>2.358</v>
      </c>
      <c r="I197" s="70">
        <v>1.847</v>
      </c>
      <c r="J197" s="70"/>
      <c r="K197" s="70">
        <v>0.0</v>
      </c>
      <c r="L197" s="70"/>
      <c r="M197" s="70">
        <v>1.2025</v>
      </c>
      <c r="N197" s="70">
        <v>1.3415000000000001</v>
      </c>
      <c r="O197" s="70">
        <v>1.063</v>
      </c>
      <c r="P197" s="70">
        <v>1.339</v>
      </c>
      <c r="Q197" s="70">
        <v>1.32</v>
      </c>
      <c r="R197" s="70">
        <v>1.3</v>
      </c>
      <c r="S197" s="70">
        <v>1.2885</v>
      </c>
      <c r="T197" s="70">
        <v>1.993</v>
      </c>
      <c r="U197" s="70">
        <v>1.0274</v>
      </c>
      <c r="V197" s="70">
        <v>0.0</v>
      </c>
      <c r="W197" s="70">
        <v>1.171</v>
      </c>
      <c r="X197" s="70">
        <v>0.0</v>
      </c>
      <c r="Y197" s="70">
        <v>944.6</v>
      </c>
      <c r="Z197" s="70">
        <v>2.16</v>
      </c>
      <c r="AA197" s="70">
        <v>1.2179900000000001</v>
      </c>
      <c r="AB197" s="70">
        <v>1.331</v>
      </c>
      <c r="AC197" s="70">
        <v>1.6640000000000001</v>
      </c>
      <c r="AD197" s="70">
        <v>0.0</v>
      </c>
      <c r="AE197" s="70">
        <v>0.0</v>
      </c>
      <c r="AF197" s="70">
        <v>0.0</v>
      </c>
      <c r="AG197" s="70">
        <v>0.0</v>
      </c>
      <c r="AH197" s="70">
        <v>1.59596</v>
      </c>
      <c r="AI197" s="70">
        <v>1.167</v>
      </c>
      <c r="AJ197" s="70">
        <v>0.0</v>
      </c>
      <c r="AK197" s="70">
        <v>1.2203</v>
      </c>
      <c r="AL197" s="70">
        <v>3.0375</v>
      </c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21"/>
      <c r="AX197" s="73">
        <v>24530.0</v>
      </c>
      <c r="AY197" s="73">
        <v>799.5</v>
      </c>
      <c r="AZ197" s="73">
        <v>8781.87807</v>
      </c>
      <c r="BA197" s="73">
        <v>28820.0</v>
      </c>
      <c r="BB197" s="73">
        <v>8610.0</v>
      </c>
      <c r="BC197" s="73">
        <v>13223.98857</v>
      </c>
      <c r="BD197" s="73"/>
      <c r="BE197" s="21"/>
      <c r="BF197" s="21"/>
      <c r="BG197" s="21">
        <v>3048196.47</v>
      </c>
      <c r="BH197" s="21"/>
      <c r="BI197" s="72"/>
      <c r="BJ197" s="21"/>
      <c r="BK197" s="72"/>
      <c r="BL197" s="21"/>
      <c r="BM197" s="72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</row>
    <row r="198" ht="15.75" customHeight="1">
      <c r="A198" s="56">
        <v>45968.0</v>
      </c>
      <c r="B198" s="70">
        <v>1454.5</v>
      </c>
      <c r="C198" s="70">
        <v>1490.0</v>
      </c>
      <c r="D198" s="70">
        <v>1473.9</v>
      </c>
      <c r="E198" s="70">
        <v>10.84</v>
      </c>
      <c r="F198" s="70"/>
      <c r="G198" s="70"/>
      <c r="H198" s="70">
        <v>2.3645</v>
      </c>
      <c r="I198" s="70">
        <v>1.8444999999999998</v>
      </c>
      <c r="J198" s="70"/>
      <c r="K198" s="70">
        <v>0.0</v>
      </c>
      <c r="L198" s="70"/>
      <c r="M198" s="70">
        <v>1.2095</v>
      </c>
      <c r="N198" s="70">
        <v>1.341</v>
      </c>
      <c r="O198" s="70">
        <v>1.063</v>
      </c>
      <c r="P198" s="70">
        <v>1.345</v>
      </c>
      <c r="Q198" s="70">
        <v>1.33</v>
      </c>
      <c r="R198" s="70">
        <v>1.307</v>
      </c>
      <c r="S198" s="70">
        <v>1.2919999999999998</v>
      </c>
      <c r="T198" s="70">
        <v>2.0</v>
      </c>
      <c r="U198" s="70">
        <v>1.0274</v>
      </c>
      <c r="V198" s="70">
        <v>0.0</v>
      </c>
      <c r="W198" s="70">
        <v>1.173</v>
      </c>
      <c r="X198" s="70">
        <v>0.0</v>
      </c>
      <c r="Y198" s="70">
        <v>929.5</v>
      </c>
      <c r="Z198" s="70">
        <v>2.165</v>
      </c>
      <c r="AA198" s="70">
        <v>1.22</v>
      </c>
      <c r="AB198" s="70">
        <v>1.33</v>
      </c>
      <c r="AC198" s="70">
        <v>1.6709</v>
      </c>
      <c r="AD198" s="70">
        <v>0.0</v>
      </c>
      <c r="AE198" s="70">
        <v>0.0</v>
      </c>
      <c r="AF198" s="70">
        <v>0.0</v>
      </c>
      <c r="AG198" s="70">
        <v>0.0</v>
      </c>
      <c r="AH198" s="70">
        <v>1.59596</v>
      </c>
      <c r="AI198" s="70">
        <v>1.1540000000000001</v>
      </c>
      <c r="AJ198" s="70">
        <v>0.0</v>
      </c>
      <c r="AK198" s="70">
        <v>1.2209</v>
      </c>
      <c r="AL198" s="70">
        <v>3.0395</v>
      </c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21"/>
      <c r="AX198" s="73">
        <v>23720.0</v>
      </c>
      <c r="AY198" s="73">
        <v>744.5</v>
      </c>
      <c r="AZ198" s="73">
        <v>8075.0</v>
      </c>
      <c r="BA198" s="73">
        <v>26020.0</v>
      </c>
      <c r="BB198" s="73">
        <v>7820.0</v>
      </c>
      <c r="BC198" s="73">
        <v>12368.26019</v>
      </c>
      <c r="BD198" s="73"/>
      <c r="BE198" s="21"/>
      <c r="BF198" s="21"/>
      <c r="BG198" s="21">
        <v>2864646.71</v>
      </c>
      <c r="BH198" s="21"/>
      <c r="BI198" s="72"/>
      <c r="BJ198" s="21"/>
      <c r="BK198" s="72"/>
      <c r="BL198" s="21"/>
      <c r="BM198" s="72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</row>
    <row r="199" ht="15.75" customHeight="1">
      <c r="A199" s="56">
        <v>45971.0</v>
      </c>
      <c r="B199" s="70">
        <v>1458.5</v>
      </c>
      <c r="C199" s="70">
        <v>1489.0</v>
      </c>
      <c r="D199" s="70">
        <v>1450.2</v>
      </c>
      <c r="E199" s="70">
        <v>10.955</v>
      </c>
      <c r="F199" s="70"/>
      <c r="G199" s="70"/>
      <c r="H199" s="70">
        <v>2.372</v>
      </c>
      <c r="I199" s="70">
        <v>1.8565</v>
      </c>
      <c r="J199" s="70"/>
      <c r="K199" s="70">
        <v>0.0</v>
      </c>
      <c r="L199" s="70"/>
      <c r="M199" s="70">
        <v>1.2109999999999999</v>
      </c>
      <c r="N199" s="70">
        <v>1.3435</v>
      </c>
      <c r="O199" s="70">
        <v>1.063</v>
      </c>
      <c r="P199" s="70">
        <v>1.347</v>
      </c>
      <c r="Q199" s="70">
        <v>1.3355000000000001</v>
      </c>
      <c r="R199" s="70">
        <v>1.3144999999999998</v>
      </c>
      <c r="S199" s="70">
        <v>1.31</v>
      </c>
      <c r="T199" s="70">
        <v>2.0275</v>
      </c>
      <c r="U199" s="70">
        <v>1.0274</v>
      </c>
      <c r="V199" s="70">
        <v>0.0</v>
      </c>
      <c r="W199" s="70">
        <v>1.1665</v>
      </c>
      <c r="X199" s="70">
        <v>0.0</v>
      </c>
      <c r="Y199" s="70">
        <v>945.9</v>
      </c>
      <c r="Z199" s="70">
        <v>2.19</v>
      </c>
      <c r="AA199" s="70">
        <v>1.2218</v>
      </c>
      <c r="AB199" s="70">
        <v>1.3335</v>
      </c>
      <c r="AC199" s="70">
        <v>1.6713</v>
      </c>
      <c r="AD199" s="70">
        <v>0.0</v>
      </c>
      <c r="AE199" s="70">
        <v>0.0</v>
      </c>
      <c r="AF199" s="70">
        <v>0.0</v>
      </c>
      <c r="AG199" s="70">
        <v>0.0</v>
      </c>
      <c r="AH199" s="70">
        <v>1.59596</v>
      </c>
      <c r="AI199" s="70">
        <v>1.163</v>
      </c>
      <c r="AJ199" s="70">
        <v>0.0</v>
      </c>
      <c r="AK199" s="70">
        <v>1.2209</v>
      </c>
      <c r="AL199" s="70">
        <v>3.0635000000000003</v>
      </c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21"/>
      <c r="AX199" s="73">
        <v>24400.0</v>
      </c>
      <c r="AY199" s="73">
        <v>868.0</v>
      </c>
      <c r="AZ199" s="73">
        <v>8220.0</v>
      </c>
      <c r="BA199" s="73">
        <v>25560.0</v>
      </c>
      <c r="BB199" s="73">
        <v>7660.0</v>
      </c>
      <c r="BC199" s="73">
        <v>12427.96217</v>
      </c>
      <c r="BD199" s="73"/>
      <c r="BE199" s="21"/>
      <c r="BF199" s="21"/>
      <c r="BG199" s="21">
        <v>2951889.0</v>
      </c>
      <c r="BH199" s="21"/>
      <c r="BI199" s="72"/>
      <c r="BJ199" s="21"/>
      <c r="BK199" s="72"/>
      <c r="BL199" s="21"/>
      <c r="BM199" s="72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</row>
    <row r="200" ht="15.75" customHeight="1">
      <c r="A200" s="56">
        <v>45972.0</v>
      </c>
      <c r="B200" s="70">
        <v>1436.0</v>
      </c>
      <c r="C200" s="70">
        <v>1490.0</v>
      </c>
      <c r="D200" s="70">
        <v>1465.0</v>
      </c>
      <c r="E200" s="70">
        <v>11.035</v>
      </c>
      <c r="F200" s="70"/>
      <c r="G200" s="70"/>
      <c r="H200" s="70">
        <v>2.3746</v>
      </c>
      <c r="I200" s="70">
        <v>1.865</v>
      </c>
      <c r="J200" s="70"/>
      <c r="K200" s="70">
        <v>0.0</v>
      </c>
      <c r="L200" s="70"/>
      <c r="M200" s="70">
        <v>1.2109999999999999</v>
      </c>
      <c r="N200" s="70">
        <v>1.3495</v>
      </c>
      <c r="O200" s="70">
        <v>1.063</v>
      </c>
      <c r="P200" s="70">
        <v>1.3535</v>
      </c>
      <c r="Q200" s="70">
        <v>1.3415000000000001</v>
      </c>
      <c r="R200" s="70">
        <v>1.3235</v>
      </c>
      <c r="S200" s="70">
        <v>1.32</v>
      </c>
      <c r="T200" s="70">
        <v>2.0265</v>
      </c>
      <c r="U200" s="70">
        <v>1.0274</v>
      </c>
      <c r="V200" s="70">
        <v>0.0</v>
      </c>
      <c r="W200" s="70">
        <v>1.18</v>
      </c>
      <c r="X200" s="70">
        <v>0.0</v>
      </c>
      <c r="Y200" s="70">
        <v>946.1</v>
      </c>
      <c r="Z200" s="70">
        <v>2.1995</v>
      </c>
      <c r="AA200" s="70">
        <v>1.2228</v>
      </c>
      <c r="AB200" s="70">
        <v>1.34</v>
      </c>
      <c r="AC200" s="70">
        <v>1.672</v>
      </c>
      <c r="AD200" s="70">
        <v>0.0</v>
      </c>
      <c r="AE200" s="70">
        <v>0.0</v>
      </c>
      <c r="AF200" s="70">
        <v>0.0</v>
      </c>
      <c r="AG200" s="70">
        <v>0.0</v>
      </c>
      <c r="AH200" s="70">
        <v>1.59596</v>
      </c>
      <c r="AI200" s="70">
        <v>1.1715</v>
      </c>
      <c r="AJ200" s="70">
        <v>0.0</v>
      </c>
      <c r="AK200" s="70">
        <v>1.2209</v>
      </c>
      <c r="AL200" s="70">
        <v>3.0814999999999997</v>
      </c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21"/>
      <c r="AX200" s="73">
        <v>25100.0</v>
      </c>
      <c r="AY200" s="73">
        <v>858.5</v>
      </c>
      <c r="AZ200" s="73">
        <v>8145.0</v>
      </c>
      <c r="BA200" s="73">
        <v>26040.0</v>
      </c>
      <c r="BB200" s="73">
        <v>7635.0</v>
      </c>
      <c r="BC200" s="73">
        <v>12388.16085</v>
      </c>
      <c r="BD200" s="73"/>
      <c r="BE200" s="21"/>
      <c r="BF200" s="21"/>
      <c r="BG200" s="21">
        <v>2958257.64</v>
      </c>
      <c r="BH200" s="21"/>
      <c r="BI200" s="72"/>
      <c r="BJ200" s="21"/>
      <c r="BK200" s="72"/>
      <c r="BL200" s="21"/>
      <c r="BM200" s="72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</row>
    <row r="201" ht="15.75" customHeight="1">
      <c r="A201" s="56">
        <v>45973.0</v>
      </c>
      <c r="B201" s="70">
        <v>1456.9</v>
      </c>
      <c r="C201" s="70">
        <v>1476.8</v>
      </c>
      <c r="D201" s="70">
        <v>1443.0</v>
      </c>
      <c r="E201" s="70">
        <v>11.075</v>
      </c>
      <c r="F201" s="70"/>
      <c r="G201" s="70"/>
      <c r="H201" s="70">
        <v>2.3805</v>
      </c>
      <c r="I201" s="70">
        <v>1.8715000000000002</v>
      </c>
      <c r="J201" s="70"/>
      <c r="K201" s="70">
        <v>0.0</v>
      </c>
      <c r="L201" s="70"/>
      <c r="M201" s="70">
        <v>1.212</v>
      </c>
      <c r="N201" s="70">
        <v>1.35</v>
      </c>
      <c r="O201" s="70">
        <v>1.063</v>
      </c>
      <c r="P201" s="70">
        <v>1.349</v>
      </c>
      <c r="Q201" s="70">
        <v>1.3359999999999999</v>
      </c>
      <c r="R201" s="70">
        <v>1.3215000000000001</v>
      </c>
      <c r="S201" s="70">
        <v>1.317</v>
      </c>
      <c r="T201" s="70">
        <v>2.0355000000000003</v>
      </c>
      <c r="U201" s="70">
        <v>1.0274</v>
      </c>
      <c r="V201" s="70">
        <v>0.0</v>
      </c>
      <c r="W201" s="70">
        <v>1.175</v>
      </c>
      <c r="X201" s="70">
        <v>0.0</v>
      </c>
      <c r="Y201" s="70">
        <v>941.6</v>
      </c>
      <c r="Z201" s="70">
        <v>2.207</v>
      </c>
      <c r="AA201" s="70">
        <v>1.22316</v>
      </c>
      <c r="AB201" s="70">
        <v>1.3385</v>
      </c>
      <c r="AC201" s="70">
        <v>1.673</v>
      </c>
      <c r="AD201" s="70">
        <v>0.0</v>
      </c>
      <c r="AE201" s="70">
        <v>0.0</v>
      </c>
      <c r="AF201" s="70">
        <v>0.0</v>
      </c>
      <c r="AG201" s="70">
        <v>0.0</v>
      </c>
      <c r="AH201" s="70">
        <v>1.59596</v>
      </c>
      <c r="AI201" s="70">
        <v>1.1765</v>
      </c>
      <c r="AJ201" s="70">
        <v>0.0</v>
      </c>
      <c r="AK201" s="70">
        <v>1.2209</v>
      </c>
      <c r="AL201" s="70">
        <v>3.094</v>
      </c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21"/>
      <c r="AX201" s="73">
        <v>24470.0</v>
      </c>
      <c r="AY201" s="73">
        <v>851.0</v>
      </c>
      <c r="AZ201" s="73">
        <v>8205.0</v>
      </c>
      <c r="BA201" s="73">
        <v>25860.0</v>
      </c>
      <c r="BB201" s="73">
        <v>7805.0</v>
      </c>
      <c r="BC201" s="73">
        <v>12736.4224</v>
      </c>
      <c r="BD201" s="73"/>
      <c r="BE201" s="21"/>
      <c r="BF201" s="21"/>
      <c r="BG201" s="21">
        <v>2984607.77</v>
      </c>
      <c r="BH201" s="21"/>
      <c r="BI201" s="72"/>
      <c r="BJ201" s="21"/>
      <c r="BK201" s="72"/>
      <c r="BL201" s="21"/>
      <c r="BM201" s="72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</row>
    <row r="202" ht="15.75" customHeight="1">
      <c r="A202" s="56">
        <v>45974.0</v>
      </c>
      <c r="B202" s="70">
        <v>1452.3</v>
      </c>
      <c r="C202" s="70">
        <v>1480.0</v>
      </c>
      <c r="D202" s="70">
        <v>1459.5</v>
      </c>
      <c r="E202" s="70">
        <v>11.085</v>
      </c>
      <c r="F202" s="70"/>
      <c r="G202" s="70"/>
      <c r="H202" s="70">
        <v>2.3805</v>
      </c>
      <c r="I202" s="70">
        <v>1.876</v>
      </c>
      <c r="J202" s="70"/>
      <c r="K202" s="70">
        <v>0.0</v>
      </c>
      <c r="L202" s="70"/>
      <c r="M202" s="70">
        <v>1.2115</v>
      </c>
      <c r="N202" s="70">
        <v>1.35</v>
      </c>
      <c r="O202" s="70">
        <v>1.063</v>
      </c>
      <c r="P202" s="70">
        <v>1.354</v>
      </c>
      <c r="Q202" s="70">
        <v>1.335</v>
      </c>
      <c r="R202" s="70">
        <v>1.325</v>
      </c>
      <c r="S202" s="70">
        <v>1.315</v>
      </c>
      <c r="T202" s="70">
        <v>2.0295</v>
      </c>
      <c r="U202" s="70">
        <v>1.0274</v>
      </c>
      <c r="V202" s="70">
        <v>0.0</v>
      </c>
      <c r="W202" s="70">
        <v>1.177</v>
      </c>
      <c r="X202" s="70">
        <v>0.0</v>
      </c>
      <c r="Y202" s="70">
        <v>938.2</v>
      </c>
      <c r="Z202" s="70">
        <v>2.209</v>
      </c>
      <c r="AA202" s="70">
        <v>1.2242199999999999</v>
      </c>
      <c r="AB202" s="70">
        <v>1.3406</v>
      </c>
      <c r="AC202" s="70">
        <v>1.673</v>
      </c>
      <c r="AD202" s="70">
        <v>0.0</v>
      </c>
      <c r="AE202" s="70">
        <v>0.0</v>
      </c>
      <c r="AF202" s="70">
        <v>0.0</v>
      </c>
      <c r="AG202" s="70">
        <v>0.0</v>
      </c>
      <c r="AH202" s="70">
        <v>1.59596</v>
      </c>
      <c r="AI202" s="70">
        <v>1.1740000000000002</v>
      </c>
      <c r="AJ202" s="70">
        <v>0.0</v>
      </c>
      <c r="AK202" s="70">
        <v>1.2209</v>
      </c>
      <c r="AL202" s="70">
        <v>3.097</v>
      </c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  <c r="AW202" s="21"/>
      <c r="AX202" s="73">
        <v>23620.0</v>
      </c>
      <c r="AY202" s="73">
        <v>798.0</v>
      </c>
      <c r="AZ202" s="73">
        <v>7815.0</v>
      </c>
      <c r="BA202" s="73">
        <v>25100.0</v>
      </c>
      <c r="BB202" s="73">
        <v>7440.0</v>
      </c>
      <c r="BC202" s="73">
        <v>12149.35293</v>
      </c>
      <c r="BD202" s="73"/>
      <c r="BE202" s="21"/>
      <c r="BF202" s="21"/>
      <c r="BG202" s="21">
        <v>2883332.85</v>
      </c>
      <c r="BH202" s="21"/>
      <c r="BI202" s="72"/>
      <c r="BJ202" s="21"/>
      <c r="BK202" s="72"/>
      <c r="BL202" s="21"/>
      <c r="BM202" s="72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</row>
    <row r="203" ht="15.75" customHeight="1">
      <c r="A203" s="56">
        <v>45975.0</v>
      </c>
      <c r="B203" s="70">
        <v>1456.9</v>
      </c>
      <c r="C203" s="70">
        <v>1499.0</v>
      </c>
      <c r="D203" s="70">
        <v>1456.0</v>
      </c>
      <c r="E203" s="70">
        <v>11.08</v>
      </c>
      <c r="F203" s="70"/>
      <c r="G203" s="70"/>
      <c r="H203" s="70">
        <v>2.3846000000000003</v>
      </c>
      <c r="I203" s="70">
        <v>1.876</v>
      </c>
      <c r="J203" s="70"/>
      <c r="K203" s="70">
        <v>0.0</v>
      </c>
      <c r="L203" s="70"/>
      <c r="M203" s="70">
        <v>1.2165000000000001</v>
      </c>
      <c r="N203" s="70">
        <v>1.3516</v>
      </c>
      <c r="O203" s="70">
        <v>1.063</v>
      </c>
      <c r="P203" s="70">
        <v>1.3595</v>
      </c>
      <c r="Q203" s="70">
        <v>1.3415000000000001</v>
      </c>
      <c r="R203" s="70">
        <v>1.3275</v>
      </c>
      <c r="S203" s="70">
        <v>1.3175</v>
      </c>
      <c r="T203" s="70">
        <v>2.045</v>
      </c>
      <c r="U203" s="70">
        <v>1.0274</v>
      </c>
      <c r="V203" s="70">
        <v>0.0</v>
      </c>
      <c r="W203" s="70">
        <v>1.1765</v>
      </c>
      <c r="X203" s="70">
        <v>0.0</v>
      </c>
      <c r="Y203" s="70">
        <v>942.0</v>
      </c>
      <c r="Z203" s="70">
        <v>2.214</v>
      </c>
      <c r="AA203" s="70">
        <v>1.2268000000000001</v>
      </c>
      <c r="AB203" s="70">
        <v>1.3453</v>
      </c>
      <c r="AC203" s="70">
        <v>1.6775</v>
      </c>
      <c r="AD203" s="70">
        <v>0.0</v>
      </c>
      <c r="AE203" s="70">
        <v>0.0</v>
      </c>
      <c r="AF203" s="70">
        <v>0.0</v>
      </c>
      <c r="AG203" s="70">
        <v>0.0</v>
      </c>
      <c r="AH203" s="70">
        <v>1.59596</v>
      </c>
      <c r="AI203" s="70">
        <v>1.175</v>
      </c>
      <c r="AJ203" s="70">
        <v>0.0</v>
      </c>
      <c r="AK203" s="70">
        <v>1.2209</v>
      </c>
      <c r="AL203" s="70">
        <v>3.094</v>
      </c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21"/>
      <c r="AX203" s="73">
        <v>24380.0</v>
      </c>
      <c r="AY203" s="73">
        <v>825.5</v>
      </c>
      <c r="AZ203" s="73">
        <v>7905.0</v>
      </c>
      <c r="BA203" s="73">
        <v>25400.0</v>
      </c>
      <c r="BB203" s="73">
        <v>7845.0</v>
      </c>
      <c r="BC203" s="73">
        <v>12328.45887</v>
      </c>
      <c r="BD203" s="73"/>
      <c r="BE203" s="21"/>
      <c r="BF203" s="21"/>
      <c r="BG203" s="21">
        <v>2992808.43</v>
      </c>
      <c r="BH203" s="21"/>
      <c r="BI203" s="72"/>
      <c r="BJ203" s="21"/>
      <c r="BK203" s="72"/>
      <c r="BL203" s="21"/>
      <c r="BM203" s="72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</row>
    <row r="204" ht="15.75" customHeight="1">
      <c r="A204" s="56">
        <v>45978.0</v>
      </c>
      <c r="B204" s="70">
        <v>1449.9</v>
      </c>
      <c r="C204" s="70">
        <v>1466.0</v>
      </c>
      <c r="D204" s="70">
        <v>1458.0</v>
      </c>
      <c r="E204" s="70">
        <v>11.09</v>
      </c>
      <c r="F204" s="70"/>
      <c r="G204" s="70"/>
      <c r="H204" s="70">
        <v>2.3846000000000003</v>
      </c>
      <c r="I204" s="70">
        <v>1.8825</v>
      </c>
      <c r="J204" s="70"/>
      <c r="K204" s="70">
        <v>0.0</v>
      </c>
      <c r="L204" s="70"/>
      <c r="M204" s="70">
        <v>1.218</v>
      </c>
      <c r="N204" s="70">
        <v>1.3516</v>
      </c>
      <c r="O204" s="70">
        <v>1.063</v>
      </c>
      <c r="P204" s="70">
        <v>1.3655000000000002</v>
      </c>
      <c r="Q204" s="70">
        <v>1.35</v>
      </c>
      <c r="R204" s="70">
        <v>1.331</v>
      </c>
      <c r="S204" s="70">
        <v>1.3175</v>
      </c>
      <c r="T204" s="70">
        <v>2.045</v>
      </c>
      <c r="U204" s="70">
        <v>1.0274</v>
      </c>
      <c r="V204" s="70">
        <v>0.0</v>
      </c>
      <c r="W204" s="70">
        <v>1.1715</v>
      </c>
      <c r="X204" s="70">
        <v>0.0</v>
      </c>
      <c r="Y204" s="70">
        <v>941.6</v>
      </c>
      <c r="Z204" s="70">
        <v>2.2119999999999997</v>
      </c>
      <c r="AA204" s="70">
        <v>1.2277</v>
      </c>
      <c r="AB204" s="70">
        <v>1.3446</v>
      </c>
      <c r="AC204" s="70">
        <v>1.6775</v>
      </c>
      <c r="AD204" s="70">
        <v>0.0</v>
      </c>
      <c r="AE204" s="70">
        <v>0.0</v>
      </c>
      <c r="AF204" s="70">
        <v>0.0</v>
      </c>
      <c r="AG204" s="70">
        <v>0.0</v>
      </c>
      <c r="AH204" s="70">
        <v>1.59596</v>
      </c>
      <c r="AI204" s="70">
        <v>1.177</v>
      </c>
      <c r="AJ204" s="70">
        <v>0.0</v>
      </c>
      <c r="AK204" s="70">
        <v>1.2209</v>
      </c>
      <c r="AL204" s="70">
        <v>3.1035000000000004</v>
      </c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21">
        <v>100.0</v>
      </c>
      <c r="AX204" s="73">
        <v>24210.0</v>
      </c>
      <c r="AY204" s="73">
        <v>812.5</v>
      </c>
      <c r="AZ204" s="73">
        <v>7571.195025</v>
      </c>
      <c r="BA204" s="73">
        <v>25400.0</v>
      </c>
      <c r="BB204" s="73">
        <v>7700.0</v>
      </c>
      <c r="BC204" s="73">
        <v>11637.581909</v>
      </c>
      <c r="BD204" s="73"/>
      <c r="BE204" s="21"/>
      <c r="BF204" s="21"/>
      <c r="BG204" s="21">
        <v>2926870.5</v>
      </c>
      <c r="BH204" s="21"/>
      <c r="BI204" s="72"/>
      <c r="BJ204" s="21"/>
      <c r="BK204" s="72"/>
      <c r="BL204" s="21"/>
      <c r="BM204" s="72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</row>
    <row r="205" ht="15.75" customHeight="1">
      <c r="A205" s="56">
        <v>45979.0</v>
      </c>
      <c r="B205" s="70">
        <v>1449.9</v>
      </c>
      <c r="C205" s="70">
        <v>1452.0</v>
      </c>
      <c r="D205" s="70">
        <v>1448.0</v>
      </c>
      <c r="E205" s="70">
        <v>11.11</v>
      </c>
      <c r="F205" s="70"/>
      <c r="G205" s="70"/>
      <c r="H205" s="70">
        <v>2.3846000000000003</v>
      </c>
      <c r="I205" s="70">
        <v>1.8875</v>
      </c>
      <c r="J205" s="70"/>
      <c r="K205" s="70">
        <v>0.0</v>
      </c>
      <c r="L205" s="70"/>
      <c r="M205" s="70">
        <v>1.2175</v>
      </c>
      <c r="N205" s="70">
        <v>1.35153</v>
      </c>
      <c r="O205" s="70">
        <v>1.063</v>
      </c>
      <c r="P205" s="70">
        <v>1.367</v>
      </c>
      <c r="Q205" s="70">
        <v>1.3575</v>
      </c>
      <c r="R205" s="70">
        <v>1.3330000000000002</v>
      </c>
      <c r="S205" s="70">
        <v>1.32</v>
      </c>
      <c r="T205" s="70">
        <v>2.0380000000000003</v>
      </c>
      <c r="U205" s="70">
        <v>1.0274</v>
      </c>
      <c r="V205" s="70">
        <v>0.0</v>
      </c>
      <c r="W205" s="70">
        <v>1.165</v>
      </c>
      <c r="X205" s="70">
        <v>0.0</v>
      </c>
      <c r="Y205" s="70">
        <v>933.5</v>
      </c>
      <c r="Z205" s="70">
        <v>2.2175</v>
      </c>
      <c r="AA205" s="70">
        <v>1.2284</v>
      </c>
      <c r="AB205" s="70">
        <v>1.3430000000000002</v>
      </c>
      <c r="AC205" s="70">
        <v>1.6775</v>
      </c>
      <c r="AD205" s="70">
        <v>0.0</v>
      </c>
      <c r="AE205" s="70">
        <v>0.0</v>
      </c>
      <c r="AF205" s="70">
        <v>0.0</v>
      </c>
      <c r="AG205" s="70">
        <v>0.0</v>
      </c>
      <c r="AH205" s="70">
        <v>1.59596</v>
      </c>
      <c r="AI205" s="70">
        <v>1.176</v>
      </c>
      <c r="AJ205" s="70">
        <v>0.0</v>
      </c>
      <c r="AK205" s="70">
        <v>1.2209</v>
      </c>
      <c r="AL205" s="70">
        <v>3.111</v>
      </c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21"/>
      <c r="AX205" s="73">
        <v>24660.0</v>
      </c>
      <c r="AY205" s="73">
        <v>831.0</v>
      </c>
      <c r="AZ205" s="73">
        <v>7491.915496</v>
      </c>
      <c r="BA205" s="73">
        <v>25500.0</v>
      </c>
      <c r="BB205" s="73">
        <v>7645.0</v>
      </c>
      <c r="BC205" s="73">
        <v>11470.629257</v>
      </c>
      <c r="BD205" s="73"/>
      <c r="BE205" s="21"/>
      <c r="BF205" s="21"/>
      <c r="BG205" s="21">
        <v>2932664.03</v>
      </c>
      <c r="BH205" s="21"/>
      <c r="BI205" s="72"/>
      <c r="BJ205" s="21"/>
      <c r="BK205" s="72"/>
      <c r="BL205" s="21"/>
      <c r="BM205" s="72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</row>
    <row r="206" ht="15.75" customHeight="1">
      <c r="A206" s="56">
        <v>45980.0</v>
      </c>
      <c r="B206" s="70">
        <v>1434.0</v>
      </c>
      <c r="C206" s="70">
        <v>1486.9</v>
      </c>
      <c r="D206" s="70">
        <v>1458.0</v>
      </c>
      <c r="E206" s="70">
        <v>11.16</v>
      </c>
      <c r="F206" s="70"/>
      <c r="G206" s="70"/>
      <c r="H206" s="70">
        <v>2.3846000000000003</v>
      </c>
      <c r="I206" s="70">
        <v>1.8855000000000002</v>
      </c>
      <c r="J206" s="70"/>
      <c r="K206" s="70">
        <v>0.0</v>
      </c>
      <c r="L206" s="70"/>
      <c r="M206" s="70">
        <v>1.2195</v>
      </c>
      <c r="N206" s="70">
        <v>1.3519999999999999</v>
      </c>
      <c r="O206" s="70">
        <v>1.063</v>
      </c>
      <c r="P206" s="70">
        <v>1.3655000000000002</v>
      </c>
      <c r="Q206" s="70">
        <v>1.359</v>
      </c>
      <c r="R206" s="70">
        <v>1.335</v>
      </c>
      <c r="S206" s="70">
        <v>1.3219999999999998</v>
      </c>
      <c r="T206" s="70">
        <v>2.035</v>
      </c>
      <c r="U206" s="70">
        <v>1.0274</v>
      </c>
      <c r="V206" s="70">
        <v>0.0</v>
      </c>
      <c r="W206" s="70">
        <v>1.161</v>
      </c>
      <c r="X206" s="70">
        <v>0.0</v>
      </c>
      <c r="Y206" s="70">
        <v>942.0</v>
      </c>
      <c r="Z206" s="70">
        <v>2.219</v>
      </c>
      <c r="AA206" s="70">
        <v>1.2292</v>
      </c>
      <c r="AB206" s="70">
        <v>1.3431</v>
      </c>
      <c r="AC206" s="70">
        <v>1.6775</v>
      </c>
      <c r="AD206" s="70">
        <v>0.0</v>
      </c>
      <c r="AE206" s="70">
        <v>0.0</v>
      </c>
      <c r="AF206" s="70">
        <v>0.0</v>
      </c>
      <c r="AG206" s="70">
        <v>0.0</v>
      </c>
      <c r="AH206" s="70">
        <v>1.59596</v>
      </c>
      <c r="AI206" s="70">
        <v>1.1795</v>
      </c>
      <c r="AJ206" s="70">
        <v>0.0</v>
      </c>
      <c r="AK206" s="70">
        <v>1.2209</v>
      </c>
      <c r="AL206" s="70">
        <v>3.1180000000000003</v>
      </c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21"/>
      <c r="AX206" s="73">
        <v>24920.0</v>
      </c>
      <c r="AY206" s="73">
        <v>810.0</v>
      </c>
      <c r="AZ206" s="73">
        <v>7239.211997</v>
      </c>
      <c r="BA206" s="73">
        <v>25520.0</v>
      </c>
      <c r="BB206" s="73">
        <v>7495.0</v>
      </c>
      <c r="BC206" s="73">
        <v>11244.75214</v>
      </c>
      <c r="BD206" s="73"/>
      <c r="BE206" s="21"/>
      <c r="BF206" s="21"/>
      <c r="BG206" s="21">
        <v>2869723.54</v>
      </c>
      <c r="BH206" s="21"/>
      <c r="BI206" s="72"/>
      <c r="BJ206" s="21"/>
      <c r="BK206" s="72"/>
      <c r="BL206" s="21"/>
      <c r="BM206" s="72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</row>
    <row r="207" ht="15.75" customHeight="1">
      <c r="A207" s="56">
        <v>45981.0</v>
      </c>
      <c r="B207" s="70">
        <v>1450.5</v>
      </c>
      <c r="C207" s="70">
        <v>1486.0</v>
      </c>
      <c r="D207" s="70">
        <v>1480.0</v>
      </c>
      <c r="E207" s="70">
        <v>11.19</v>
      </c>
      <c r="F207" s="70"/>
      <c r="G207" s="70"/>
      <c r="H207" s="70">
        <v>2.3846000000000003</v>
      </c>
      <c r="I207" s="70">
        <v>1.8880000000000001</v>
      </c>
      <c r="J207" s="70"/>
      <c r="K207" s="70">
        <v>0.0</v>
      </c>
      <c r="L207" s="70"/>
      <c r="M207" s="70">
        <v>1.22</v>
      </c>
      <c r="N207" s="70">
        <v>1.3578000000000001</v>
      </c>
      <c r="O207" s="70">
        <v>1.063</v>
      </c>
      <c r="P207" s="70">
        <v>1.367</v>
      </c>
      <c r="Q207" s="70">
        <v>1.3619999999999999</v>
      </c>
      <c r="R207" s="70">
        <v>1.335</v>
      </c>
      <c r="S207" s="70">
        <v>1.3244999999999998</v>
      </c>
      <c r="T207" s="70">
        <v>2.045</v>
      </c>
      <c r="U207" s="70">
        <v>1.0274</v>
      </c>
      <c r="V207" s="70">
        <v>0.0</v>
      </c>
      <c r="W207" s="70">
        <v>1.1640000000000001</v>
      </c>
      <c r="X207" s="70">
        <v>0.0</v>
      </c>
      <c r="Y207" s="70">
        <v>947.3</v>
      </c>
      <c r="Z207" s="70">
        <v>2.2275</v>
      </c>
      <c r="AA207" s="70">
        <v>1.2333</v>
      </c>
      <c r="AB207" s="70">
        <v>1.348</v>
      </c>
      <c r="AC207" s="70">
        <v>1.6775</v>
      </c>
      <c r="AD207" s="70">
        <v>0.0</v>
      </c>
      <c r="AE207" s="70">
        <v>0.0</v>
      </c>
      <c r="AF207" s="70">
        <v>0.0</v>
      </c>
      <c r="AG207" s="70">
        <v>0.0</v>
      </c>
      <c r="AH207" s="70">
        <v>1.59596</v>
      </c>
      <c r="AI207" s="70">
        <v>1.1740000000000002</v>
      </c>
      <c r="AJ207" s="70">
        <v>0.0</v>
      </c>
      <c r="AK207" s="70">
        <v>1.2209</v>
      </c>
      <c r="AL207" s="70">
        <v>3.1325</v>
      </c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21"/>
      <c r="AX207" s="73">
        <v>24900.0</v>
      </c>
      <c r="AY207" s="73">
        <v>798.5</v>
      </c>
      <c r="AZ207" s="73">
        <v>7229.302056</v>
      </c>
      <c r="BA207" s="73">
        <v>23960.0</v>
      </c>
      <c r="BB207" s="73">
        <v>7365.0</v>
      </c>
      <c r="BC207" s="73">
        <v>11441.167025</v>
      </c>
      <c r="BD207" s="73"/>
      <c r="BE207" s="21"/>
      <c r="BF207" s="21"/>
      <c r="BG207" s="21">
        <v>2850532.83</v>
      </c>
      <c r="BH207" s="21"/>
      <c r="BI207" s="72"/>
      <c r="BJ207" s="21"/>
      <c r="BK207" s="72"/>
      <c r="BL207" s="21"/>
      <c r="BM207" s="72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</row>
    <row r="208" ht="15.75" customHeight="1">
      <c r="A208" s="56">
        <v>45986.0</v>
      </c>
      <c r="B208" s="70">
        <v>1480.0</v>
      </c>
      <c r="C208" s="70">
        <v>1481.0</v>
      </c>
      <c r="D208" s="70">
        <v>1470.0</v>
      </c>
      <c r="E208" s="70">
        <v>11.18</v>
      </c>
      <c r="F208" s="70"/>
      <c r="G208" s="70"/>
      <c r="H208" s="70">
        <v>2.3846000000000003</v>
      </c>
      <c r="I208" s="70">
        <v>1.891</v>
      </c>
      <c r="J208" s="70"/>
      <c r="K208" s="70">
        <v>0.0</v>
      </c>
      <c r="L208" s="70"/>
      <c r="M208" s="70">
        <v>1.2165000000000001</v>
      </c>
      <c r="N208" s="70">
        <v>1.3585</v>
      </c>
      <c r="O208" s="70">
        <v>1.063</v>
      </c>
      <c r="P208" s="70">
        <v>1.3705</v>
      </c>
      <c r="Q208" s="70">
        <v>1.3455000000000001</v>
      </c>
      <c r="R208" s="70">
        <v>1.33</v>
      </c>
      <c r="S208" s="70">
        <v>1.3159999999999998</v>
      </c>
      <c r="T208" s="70">
        <v>2.048</v>
      </c>
      <c r="U208" s="70">
        <v>1.0274</v>
      </c>
      <c r="V208" s="70">
        <v>0.0</v>
      </c>
      <c r="W208" s="70">
        <v>1.1584999999999999</v>
      </c>
      <c r="X208" s="70">
        <v>0.0</v>
      </c>
      <c r="Y208" s="70">
        <v>959.8</v>
      </c>
      <c r="Z208" s="70">
        <v>2.2265</v>
      </c>
      <c r="AA208" s="70">
        <v>1.23415</v>
      </c>
      <c r="AB208" s="70">
        <v>1.3544999999999998</v>
      </c>
      <c r="AC208" s="70">
        <v>1.6775</v>
      </c>
      <c r="AD208" s="70">
        <v>0.0</v>
      </c>
      <c r="AE208" s="70">
        <v>0.0</v>
      </c>
      <c r="AF208" s="70">
        <v>0.0</v>
      </c>
      <c r="AG208" s="70">
        <v>0.0</v>
      </c>
      <c r="AH208" s="70">
        <v>1.59596</v>
      </c>
      <c r="AI208" s="70">
        <v>1.17</v>
      </c>
      <c r="AJ208" s="70">
        <v>0.0</v>
      </c>
      <c r="AK208" s="70">
        <v>0.0</v>
      </c>
      <c r="AL208" s="70">
        <v>3.127</v>
      </c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21"/>
      <c r="AX208" s="73">
        <v>24380.0</v>
      </c>
      <c r="AY208" s="73">
        <v>794.5</v>
      </c>
      <c r="AZ208" s="73">
        <v>7392.816084</v>
      </c>
      <c r="BA208" s="73">
        <v>25940.0</v>
      </c>
      <c r="BB208" s="73">
        <v>7430.0</v>
      </c>
      <c r="BC208" s="73">
        <v>11578.657444</v>
      </c>
      <c r="BD208" s="73"/>
      <c r="BE208" s="21"/>
      <c r="BF208" s="21"/>
      <c r="BG208" s="21">
        <v>2865760.19</v>
      </c>
      <c r="BH208" s="21"/>
      <c r="BI208" s="72"/>
      <c r="BJ208" s="21"/>
      <c r="BK208" s="72"/>
      <c r="BL208" s="21"/>
      <c r="BM208" s="72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</row>
    <row r="209" ht="15.75" customHeight="1">
      <c r="A209" s="56">
        <v>45987.0</v>
      </c>
      <c r="B209" s="70">
        <v>1526.2</v>
      </c>
      <c r="C209" s="70">
        <v>1478.3</v>
      </c>
      <c r="D209" s="70">
        <v>1495.0</v>
      </c>
      <c r="E209" s="70">
        <v>11.14</v>
      </c>
      <c r="F209" s="70"/>
      <c r="G209" s="70"/>
      <c r="H209" s="70">
        <v>2.3846000000000003</v>
      </c>
      <c r="I209" s="70">
        <v>1.892</v>
      </c>
      <c r="J209" s="70"/>
      <c r="K209" s="70">
        <v>0.0</v>
      </c>
      <c r="L209" s="70"/>
      <c r="M209" s="70">
        <v>1.2135</v>
      </c>
      <c r="N209" s="70">
        <v>1.3585</v>
      </c>
      <c r="O209" s="70">
        <v>1.063</v>
      </c>
      <c r="P209" s="70">
        <v>1.368</v>
      </c>
      <c r="Q209" s="70">
        <v>1.345</v>
      </c>
      <c r="R209" s="70">
        <v>1.3244999999999998</v>
      </c>
      <c r="S209" s="70">
        <v>1.3119999999999998</v>
      </c>
      <c r="T209" s="70">
        <v>2.035</v>
      </c>
      <c r="U209" s="70">
        <v>1.0274</v>
      </c>
      <c r="V209" s="70">
        <v>0.0</v>
      </c>
      <c r="W209" s="70">
        <v>1.16</v>
      </c>
      <c r="X209" s="70">
        <v>0.0</v>
      </c>
      <c r="Y209" s="70">
        <v>959.5</v>
      </c>
      <c r="Z209" s="70">
        <v>2.225</v>
      </c>
      <c r="AA209" s="70">
        <v>1.23497</v>
      </c>
      <c r="AB209" s="70">
        <v>1.3540999999999999</v>
      </c>
      <c r="AC209" s="70">
        <v>1.6775</v>
      </c>
      <c r="AD209" s="70">
        <v>0.0</v>
      </c>
      <c r="AE209" s="70">
        <v>0.0</v>
      </c>
      <c r="AF209" s="70">
        <v>0.0</v>
      </c>
      <c r="AG209" s="70">
        <v>0.0</v>
      </c>
      <c r="AH209" s="70">
        <v>1.59596</v>
      </c>
      <c r="AI209" s="70">
        <v>1.1795</v>
      </c>
      <c r="AJ209" s="70">
        <v>0.0</v>
      </c>
      <c r="AK209" s="70">
        <v>0.0</v>
      </c>
      <c r="AL209" s="70">
        <v>3.125</v>
      </c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21"/>
      <c r="AX209" s="73">
        <v>24810.0</v>
      </c>
      <c r="AY209" s="73">
        <v>801.0</v>
      </c>
      <c r="AZ209" s="73">
        <v>7759.483906</v>
      </c>
      <c r="BA209" s="73">
        <v>25960.0</v>
      </c>
      <c r="BB209" s="73">
        <v>8085.0</v>
      </c>
      <c r="BC209" s="73">
        <v>12514.865015</v>
      </c>
      <c r="BD209" s="73"/>
      <c r="BE209" s="21"/>
      <c r="BF209" s="21"/>
      <c r="BG209" s="21">
        <v>2985631.75</v>
      </c>
      <c r="BH209" s="21"/>
      <c r="BI209" s="72"/>
      <c r="BJ209" s="21"/>
      <c r="BK209" s="72"/>
      <c r="BL209" s="21"/>
      <c r="BM209" s="72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</row>
    <row r="210" ht="15.75" customHeight="1">
      <c r="A210" s="56">
        <v>45988.0</v>
      </c>
      <c r="B210" s="70">
        <v>1485.0</v>
      </c>
      <c r="C210" s="70">
        <v>1485.0</v>
      </c>
      <c r="D210" s="70">
        <v>1499.1</v>
      </c>
      <c r="E210" s="70">
        <v>11.14</v>
      </c>
      <c r="F210" s="70"/>
      <c r="G210" s="70"/>
      <c r="H210" s="70">
        <v>2.3846000000000003</v>
      </c>
      <c r="I210" s="70">
        <v>1.8925</v>
      </c>
      <c r="J210" s="70"/>
      <c r="K210" s="70">
        <v>0.0</v>
      </c>
      <c r="L210" s="70"/>
      <c r="M210" s="70">
        <v>1.212</v>
      </c>
      <c r="N210" s="70">
        <v>1.3568</v>
      </c>
      <c r="O210" s="70">
        <v>1.063</v>
      </c>
      <c r="P210" s="70">
        <v>1.369</v>
      </c>
      <c r="Q210" s="70">
        <v>1.3459999999999999</v>
      </c>
      <c r="R210" s="70">
        <v>1.328</v>
      </c>
      <c r="S210" s="70">
        <v>1.307</v>
      </c>
      <c r="T210" s="70">
        <v>2.0345</v>
      </c>
      <c r="U210" s="70">
        <v>1.0274</v>
      </c>
      <c r="V210" s="70">
        <v>0.0</v>
      </c>
      <c r="W210" s="70">
        <v>1.156</v>
      </c>
      <c r="X210" s="70">
        <v>0.0</v>
      </c>
      <c r="Y210" s="70">
        <v>961.5</v>
      </c>
      <c r="Z210" s="70">
        <v>2.2144999999999997</v>
      </c>
      <c r="AA210" s="70">
        <v>1.23497</v>
      </c>
      <c r="AB210" s="70">
        <v>1.3521</v>
      </c>
      <c r="AC210" s="70">
        <v>1.6775</v>
      </c>
      <c r="AD210" s="70">
        <v>0.0</v>
      </c>
      <c r="AE210" s="70">
        <v>0.0</v>
      </c>
      <c r="AF210" s="70">
        <v>0.0</v>
      </c>
      <c r="AG210" s="70">
        <v>0.0</v>
      </c>
      <c r="AH210" s="70">
        <v>1.59596</v>
      </c>
      <c r="AI210" s="70">
        <v>1.1775</v>
      </c>
      <c r="AJ210" s="70">
        <v>0.0</v>
      </c>
      <c r="AK210" s="70">
        <v>0.0</v>
      </c>
      <c r="AL210" s="70">
        <v>3.122</v>
      </c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21"/>
      <c r="AX210" s="73">
        <v>25060.0</v>
      </c>
      <c r="AY210" s="73">
        <v>816.5</v>
      </c>
      <c r="AZ210" s="73">
        <v>7784.258759</v>
      </c>
      <c r="BA210" s="73">
        <v>26420.0</v>
      </c>
      <c r="BB210" s="73">
        <v>8170.0</v>
      </c>
      <c r="BC210" s="73">
        <v>12899.785942</v>
      </c>
      <c r="BD210" s="73"/>
      <c r="BE210" s="21"/>
      <c r="BF210" s="21"/>
      <c r="BG210" s="21">
        <v>3020019.34</v>
      </c>
      <c r="BH210" s="21"/>
      <c r="BI210" s="72"/>
      <c r="BJ210" s="21"/>
      <c r="BK210" s="72"/>
      <c r="BL210" s="21"/>
      <c r="BM210" s="72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</row>
    <row r="211" ht="15.75" customHeight="1">
      <c r="A211" s="56">
        <v>45989.0</v>
      </c>
      <c r="B211" s="70">
        <v>1480.0</v>
      </c>
      <c r="C211" s="70">
        <v>1477.7</v>
      </c>
      <c r="D211" s="70">
        <v>1487.4</v>
      </c>
      <c r="E211" s="70">
        <v>11.175</v>
      </c>
      <c r="F211" s="70"/>
      <c r="G211" s="70"/>
      <c r="H211" s="70">
        <v>2.3846000000000003</v>
      </c>
      <c r="I211" s="70">
        <v>1.902</v>
      </c>
      <c r="J211" s="70"/>
      <c r="K211" s="70">
        <v>0.0</v>
      </c>
      <c r="L211" s="70"/>
      <c r="M211" s="70">
        <v>1.2215</v>
      </c>
      <c r="N211" s="70">
        <v>1.364</v>
      </c>
      <c r="O211" s="70">
        <v>1.063</v>
      </c>
      <c r="P211" s="70">
        <v>1.3784999999999998</v>
      </c>
      <c r="Q211" s="70">
        <v>1.357</v>
      </c>
      <c r="R211" s="70">
        <v>1.339</v>
      </c>
      <c r="S211" s="70">
        <v>1.3230000000000002</v>
      </c>
      <c r="T211" s="70">
        <v>2.0305</v>
      </c>
      <c r="U211" s="70">
        <v>1.0274</v>
      </c>
      <c r="V211" s="70">
        <v>0.0</v>
      </c>
      <c r="W211" s="70">
        <v>1.172</v>
      </c>
      <c r="X211" s="70">
        <v>0.0</v>
      </c>
      <c r="Y211" s="70">
        <v>957.0</v>
      </c>
      <c r="Z211" s="70">
        <v>2.2325</v>
      </c>
      <c r="AA211" s="70">
        <v>1.23497</v>
      </c>
      <c r="AB211" s="70">
        <v>1.361</v>
      </c>
      <c r="AC211" s="70">
        <v>1.6775</v>
      </c>
      <c r="AD211" s="70">
        <v>0.0</v>
      </c>
      <c r="AE211" s="70">
        <v>0.0</v>
      </c>
      <c r="AF211" s="70">
        <v>0.0</v>
      </c>
      <c r="AG211" s="70">
        <v>0.0</v>
      </c>
      <c r="AH211" s="70">
        <v>1.59596</v>
      </c>
      <c r="AI211" s="70">
        <v>1.045</v>
      </c>
      <c r="AJ211" s="70">
        <v>0.0</v>
      </c>
      <c r="AK211" s="70">
        <v>0.0</v>
      </c>
      <c r="AL211" s="70">
        <v>3.14</v>
      </c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21"/>
      <c r="AX211" s="73">
        <v>24990.0</v>
      </c>
      <c r="AY211" s="73">
        <v>805.0</v>
      </c>
      <c r="AZ211" s="73">
        <v>7848.673377</v>
      </c>
      <c r="BA211" s="73">
        <v>26440.0</v>
      </c>
      <c r="BB211" s="73">
        <v>8195.0</v>
      </c>
      <c r="BC211" s="73">
        <v>12810.958035</v>
      </c>
      <c r="BD211" s="73"/>
      <c r="BE211" s="21"/>
      <c r="BF211" s="21"/>
      <c r="BG211" s="21">
        <v>3026469.38</v>
      </c>
      <c r="BH211" s="21"/>
      <c r="BI211" s="72"/>
      <c r="BJ211" s="21"/>
      <c r="BK211" s="72"/>
      <c r="BL211" s="21"/>
      <c r="BM211" s="72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</row>
    <row r="212" ht="15.75" customHeight="1">
      <c r="A212" s="56">
        <v>45992.0</v>
      </c>
      <c r="B212" s="70">
        <v>1469.0</v>
      </c>
      <c r="C212" s="70">
        <v>1517.5</v>
      </c>
      <c r="D212" s="70">
        <v>1484.8</v>
      </c>
      <c r="E212" s="70">
        <v>11.205</v>
      </c>
      <c r="F212" s="70"/>
      <c r="G212" s="70"/>
      <c r="H212" s="70">
        <v>2.3846000000000003</v>
      </c>
      <c r="I212" s="70">
        <v>1.9125</v>
      </c>
      <c r="J212" s="70"/>
      <c r="K212" s="70">
        <v>0.0</v>
      </c>
      <c r="L212" s="70"/>
      <c r="M212" s="70">
        <v>1.227</v>
      </c>
      <c r="N212" s="70">
        <v>1.3703999999999998</v>
      </c>
      <c r="O212" s="70">
        <v>1.063</v>
      </c>
      <c r="P212" s="70">
        <v>1.3835</v>
      </c>
      <c r="Q212" s="70">
        <v>1.3665</v>
      </c>
      <c r="R212" s="70">
        <v>1.344</v>
      </c>
      <c r="S212" s="70">
        <v>1.3230000000000002</v>
      </c>
      <c r="T212" s="70">
        <v>2.03</v>
      </c>
      <c r="U212" s="70">
        <v>1.0274</v>
      </c>
      <c r="V212" s="70">
        <v>0.0</v>
      </c>
      <c r="W212" s="70">
        <v>1.178</v>
      </c>
      <c r="X212" s="70">
        <v>0.0</v>
      </c>
      <c r="Y212" s="70">
        <v>957.0</v>
      </c>
      <c r="Z212" s="70">
        <v>2.226</v>
      </c>
      <c r="AA212" s="70">
        <v>1.23497</v>
      </c>
      <c r="AB212" s="70">
        <v>1.3655000000000002</v>
      </c>
      <c r="AC212" s="70">
        <v>1.6775</v>
      </c>
      <c r="AD212" s="70">
        <v>0.0</v>
      </c>
      <c r="AE212" s="70">
        <v>0.0</v>
      </c>
      <c r="AF212" s="70">
        <v>0.0</v>
      </c>
      <c r="AG212" s="70">
        <v>0.0</v>
      </c>
      <c r="AH212" s="70">
        <v>1.59596</v>
      </c>
      <c r="AI212" s="70">
        <v>1.051</v>
      </c>
      <c r="AJ212" s="70">
        <v>0.0</v>
      </c>
      <c r="AK212" s="70">
        <v>0.0</v>
      </c>
      <c r="AL212" s="70">
        <v>3.1435000000000004</v>
      </c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21"/>
      <c r="AX212" s="73">
        <v>25080.0</v>
      </c>
      <c r="AY212" s="73">
        <v>815.5</v>
      </c>
      <c r="AZ212" s="73">
        <v>7932.907876</v>
      </c>
      <c r="BA212" s="73">
        <v>26300.0</v>
      </c>
      <c r="BB212" s="73">
        <v>8260.0</v>
      </c>
      <c r="BC212" s="73">
        <v>12731.999897</v>
      </c>
      <c r="BD212" s="73"/>
      <c r="BE212" s="21"/>
      <c r="BF212" s="21"/>
      <c r="BG212" s="21">
        <v>3060289.11</v>
      </c>
      <c r="BH212" s="21"/>
      <c r="BI212" s="72"/>
      <c r="BJ212" s="21"/>
      <c r="BK212" s="72"/>
      <c r="BL212" s="21"/>
      <c r="BM212" s="72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</row>
    <row r="213" ht="15.75" customHeight="1">
      <c r="A213" s="56">
        <v>45993.0</v>
      </c>
      <c r="B213" s="70">
        <v>1475.0</v>
      </c>
      <c r="C213" s="70">
        <v>1519.4</v>
      </c>
      <c r="D213" s="70">
        <v>1499.0</v>
      </c>
      <c r="E213" s="70">
        <v>11.25</v>
      </c>
      <c r="F213" s="70"/>
      <c r="G213" s="70"/>
      <c r="H213" s="70">
        <v>2.3846000000000003</v>
      </c>
      <c r="I213" s="70">
        <v>1.921</v>
      </c>
      <c r="J213" s="70"/>
      <c r="K213" s="70">
        <v>0.0</v>
      </c>
      <c r="L213" s="70"/>
      <c r="M213" s="70">
        <v>1.2365000000000002</v>
      </c>
      <c r="N213" s="70">
        <v>1.3744999999999998</v>
      </c>
      <c r="O213" s="70">
        <v>1.063</v>
      </c>
      <c r="P213" s="70">
        <v>1.3865</v>
      </c>
      <c r="Q213" s="70">
        <v>1.367</v>
      </c>
      <c r="R213" s="70">
        <v>1.348</v>
      </c>
      <c r="S213" s="70">
        <v>1.325</v>
      </c>
      <c r="T213" s="70">
        <v>2.031</v>
      </c>
      <c r="U213" s="70">
        <v>1.0274</v>
      </c>
      <c r="V213" s="70">
        <v>0.0</v>
      </c>
      <c r="W213" s="70">
        <v>1.1825</v>
      </c>
      <c r="X213" s="70">
        <v>0.0</v>
      </c>
      <c r="Y213" s="70">
        <v>955.9</v>
      </c>
      <c r="Z213" s="70">
        <v>2.23</v>
      </c>
      <c r="AA213" s="70">
        <v>1.23497</v>
      </c>
      <c r="AB213" s="70">
        <v>1.3667500000000001</v>
      </c>
      <c r="AC213" s="70">
        <v>1.6775</v>
      </c>
      <c r="AD213" s="70">
        <v>0.0</v>
      </c>
      <c r="AE213" s="70">
        <v>0.0</v>
      </c>
      <c r="AF213" s="70">
        <v>0.0</v>
      </c>
      <c r="AG213" s="70">
        <v>0.0</v>
      </c>
      <c r="AH213" s="70">
        <v>1.59596</v>
      </c>
      <c r="AI213" s="70">
        <v>1.0675</v>
      </c>
      <c r="AJ213" s="70">
        <v>0.0</v>
      </c>
      <c r="AK213" s="70">
        <v>0.0</v>
      </c>
      <c r="AL213" s="70">
        <v>3.1625</v>
      </c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21"/>
      <c r="AX213" s="73">
        <v>25420.0</v>
      </c>
      <c r="AY213" s="73">
        <v>816.0</v>
      </c>
      <c r="AZ213" s="73">
        <v>7853.628347</v>
      </c>
      <c r="BA213" s="73">
        <v>27080.0</v>
      </c>
      <c r="BB213" s="73">
        <v>8260.0</v>
      </c>
      <c r="BC213" s="73">
        <v>12514.865015</v>
      </c>
      <c r="BD213" s="73"/>
      <c r="BE213" s="21"/>
      <c r="BF213" s="21"/>
      <c r="BG213" s="21">
        <v>3042000.53</v>
      </c>
      <c r="BH213" s="21"/>
      <c r="BI213" s="72"/>
      <c r="BJ213" s="21"/>
      <c r="BK213" s="72"/>
      <c r="BL213" s="21"/>
      <c r="BM213" s="72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</row>
    <row r="214" ht="15.75" customHeight="1">
      <c r="A214" s="56">
        <v>45994.0</v>
      </c>
      <c r="B214" s="70">
        <v>1470.8</v>
      </c>
      <c r="C214" s="70">
        <v>1500.0</v>
      </c>
      <c r="D214" s="70">
        <v>1481.0</v>
      </c>
      <c r="E214" s="70">
        <v>11.295</v>
      </c>
      <c r="F214" s="70"/>
      <c r="G214" s="70"/>
      <c r="H214" s="70">
        <v>2.3846000000000003</v>
      </c>
      <c r="I214" s="70">
        <v>1.9244999999999999</v>
      </c>
      <c r="J214" s="70"/>
      <c r="K214" s="70">
        <v>0.0</v>
      </c>
      <c r="L214" s="70"/>
      <c r="M214" s="70">
        <v>1.2405</v>
      </c>
      <c r="N214" s="70">
        <v>1.3757</v>
      </c>
      <c r="O214" s="70">
        <v>1.063</v>
      </c>
      <c r="P214" s="70">
        <v>1.3840000000000001</v>
      </c>
      <c r="Q214" s="70">
        <v>1.3675</v>
      </c>
      <c r="R214" s="70">
        <v>1.3475</v>
      </c>
      <c r="S214" s="70">
        <v>1.328</v>
      </c>
      <c r="T214" s="70">
        <v>2.055</v>
      </c>
      <c r="U214" s="70">
        <v>1.0274</v>
      </c>
      <c r="V214" s="70">
        <v>0.0</v>
      </c>
      <c r="W214" s="70">
        <v>1.1825</v>
      </c>
      <c r="X214" s="70">
        <v>0.0</v>
      </c>
      <c r="Y214" s="70">
        <v>958.2</v>
      </c>
      <c r="Z214" s="70">
        <v>2.24</v>
      </c>
      <c r="AA214" s="70">
        <v>1.23497</v>
      </c>
      <c r="AB214" s="70">
        <v>1.3681</v>
      </c>
      <c r="AC214" s="70">
        <v>1.6775</v>
      </c>
      <c r="AD214" s="70">
        <v>0.0</v>
      </c>
      <c r="AE214" s="70">
        <v>0.0</v>
      </c>
      <c r="AF214" s="70">
        <v>0.0</v>
      </c>
      <c r="AG214" s="70">
        <v>0.0</v>
      </c>
      <c r="AH214" s="70">
        <v>1.59596</v>
      </c>
      <c r="AI214" s="70">
        <v>1.0745</v>
      </c>
      <c r="AJ214" s="70">
        <v>0.0</v>
      </c>
      <c r="AK214" s="70">
        <v>0.0</v>
      </c>
      <c r="AL214" s="70">
        <v>3.173</v>
      </c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21"/>
      <c r="AX214" s="73">
        <v>26440.0</v>
      </c>
      <c r="AY214" s="73">
        <v>811.5</v>
      </c>
      <c r="AZ214" s="73">
        <v>8032.007287</v>
      </c>
      <c r="BA214" s="73">
        <v>26620.0</v>
      </c>
      <c r="BB214" s="73">
        <v>8645.0</v>
      </c>
      <c r="BC214" s="73">
        <v>13028.092917</v>
      </c>
      <c r="BD214" s="73"/>
      <c r="BE214" s="21"/>
      <c r="BF214" s="21"/>
      <c r="BG214" s="21">
        <v>3129449.22</v>
      </c>
      <c r="BH214" s="21"/>
      <c r="BI214" s="72"/>
      <c r="BJ214" s="21"/>
      <c r="BK214" s="72"/>
      <c r="BL214" s="21"/>
      <c r="BM214" s="72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</row>
    <row r="215" ht="15.75" customHeight="1">
      <c r="A215" s="56">
        <v>45995.0</v>
      </c>
      <c r="B215" s="70">
        <v>1468.2</v>
      </c>
      <c r="C215" s="70">
        <v>1505.0</v>
      </c>
      <c r="D215" s="70">
        <v>1470.0</v>
      </c>
      <c r="E215" s="70">
        <v>11.315</v>
      </c>
      <c r="F215" s="70"/>
      <c r="G215" s="70"/>
      <c r="H215" s="70">
        <v>2.3846000000000003</v>
      </c>
      <c r="I215" s="70">
        <v>1.925</v>
      </c>
      <c r="J215" s="70"/>
      <c r="K215" s="70">
        <v>0.0</v>
      </c>
      <c r="L215" s="70"/>
      <c r="M215" s="70">
        <v>1.2405</v>
      </c>
      <c r="N215" s="70">
        <v>1.3766</v>
      </c>
      <c r="O215" s="70">
        <v>1.063</v>
      </c>
      <c r="P215" s="70">
        <v>1.3825</v>
      </c>
      <c r="Q215" s="70">
        <v>1.3615000000000002</v>
      </c>
      <c r="R215" s="70">
        <v>1.341</v>
      </c>
      <c r="S215" s="70">
        <v>1.324</v>
      </c>
      <c r="T215" s="70">
        <v>2.0335</v>
      </c>
      <c r="U215" s="70">
        <v>1.0274</v>
      </c>
      <c r="V215" s="70">
        <v>0.0</v>
      </c>
      <c r="W215" s="70">
        <v>1.1825</v>
      </c>
      <c r="X215" s="70">
        <v>0.0</v>
      </c>
      <c r="Y215" s="70">
        <v>960.6</v>
      </c>
      <c r="Z215" s="70">
        <v>2.2425</v>
      </c>
      <c r="AA215" s="70">
        <v>1.23497</v>
      </c>
      <c r="AB215" s="70">
        <v>1.36785</v>
      </c>
      <c r="AC215" s="70">
        <v>1.6775</v>
      </c>
      <c r="AD215" s="70">
        <v>0.0</v>
      </c>
      <c r="AE215" s="70">
        <v>0.0</v>
      </c>
      <c r="AF215" s="70">
        <v>0.0</v>
      </c>
      <c r="AG215" s="70">
        <v>0.0</v>
      </c>
      <c r="AH215" s="70">
        <v>1.59596</v>
      </c>
      <c r="AI215" s="70">
        <v>1.078</v>
      </c>
      <c r="AJ215" s="70">
        <v>0.0</v>
      </c>
      <c r="AK215" s="70">
        <v>0.0</v>
      </c>
      <c r="AL215" s="70">
        <v>3.175</v>
      </c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21"/>
      <c r="AX215" s="73">
        <v>26200.0</v>
      </c>
      <c r="AY215" s="73">
        <v>811.0</v>
      </c>
      <c r="AZ215" s="73">
        <v>7809.033612</v>
      </c>
      <c r="BA215" s="73">
        <v>27000.0</v>
      </c>
      <c r="BB215" s="73">
        <v>8500.0</v>
      </c>
      <c r="BC215" s="73">
        <v>13324.185938</v>
      </c>
      <c r="BD215" s="73"/>
      <c r="BE215" s="21"/>
      <c r="BF215" s="21"/>
      <c r="BG215" s="21">
        <v>3096396.08</v>
      </c>
      <c r="BH215" s="21"/>
      <c r="BI215" s="72"/>
      <c r="BJ215" s="21"/>
      <c r="BK215" s="72"/>
      <c r="BL215" s="21"/>
      <c r="BM215" s="72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</row>
    <row r="216" ht="15.75" customHeight="1">
      <c r="A216" s="56">
        <v>45996.0</v>
      </c>
      <c r="B216" s="70">
        <v>1471.5</v>
      </c>
      <c r="C216" s="70">
        <v>1490.0</v>
      </c>
      <c r="D216" s="70">
        <v>1480.0</v>
      </c>
      <c r="E216" s="70">
        <v>11.35</v>
      </c>
      <c r="F216" s="70"/>
      <c r="G216" s="70"/>
      <c r="H216" s="70">
        <v>2.3846000000000003</v>
      </c>
      <c r="I216" s="70">
        <v>1.9325</v>
      </c>
      <c r="J216" s="70"/>
      <c r="K216" s="70">
        <v>0.0</v>
      </c>
      <c r="L216" s="70"/>
      <c r="M216" s="70">
        <v>1.244</v>
      </c>
      <c r="N216" s="70">
        <v>1.3805</v>
      </c>
      <c r="O216" s="70">
        <v>1.063</v>
      </c>
      <c r="P216" s="70">
        <v>1.385</v>
      </c>
      <c r="Q216" s="70">
        <v>1.3644999999999998</v>
      </c>
      <c r="R216" s="70">
        <v>1.344</v>
      </c>
      <c r="S216" s="70">
        <v>1.324</v>
      </c>
      <c r="T216" s="70">
        <v>2.0435</v>
      </c>
      <c r="U216" s="70">
        <v>1.0274</v>
      </c>
      <c r="V216" s="70">
        <v>0.0</v>
      </c>
      <c r="W216" s="70">
        <v>1.1925</v>
      </c>
      <c r="X216" s="70">
        <v>0.0</v>
      </c>
      <c r="Y216" s="70">
        <v>965.0</v>
      </c>
      <c r="Z216" s="70">
        <v>2.25</v>
      </c>
      <c r="AA216" s="70">
        <v>1.23497</v>
      </c>
      <c r="AB216" s="70">
        <v>1.379</v>
      </c>
      <c r="AC216" s="70">
        <v>1.6775</v>
      </c>
      <c r="AD216" s="70">
        <v>0.0</v>
      </c>
      <c r="AE216" s="70">
        <v>0.0</v>
      </c>
      <c r="AF216" s="70">
        <v>0.0</v>
      </c>
      <c r="AG216" s="70">
        <v>0.0</v>
      </c>
      <c r="AH216" s="70">
        <v>1.59596</v>
      </c>
      <c r="AI216" s="70">
        <v>1.089</v>
      </c>
      <c r="AJ216" s="70">
        <v>0.0</v>
      </c>
      <c r="AK216" s="70">
        <v>0.0</v>
      </c>
      <c r="AL216" s="70">
        <v>3.1839999999999997</v>
      </c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21"/>
      <c r="AX216" s="73">
        <v>26060.0</v>
      </c>
      <c r="AY216" s="73">
        <v>786.5</v>
      </c>
      <c r="AZ216" s="73">
        <v>7633.414429</v>
      </c>
      <c r="BA216" s="73">
        <v>26000.0</v>
      </c>
      <c r="BB216" s="73">
        <v>8410.0</v>
      </c>
      <c r="BC216" s="73">
        <v>13067.571987</v>
      </c>
      <c r="BD216" s="73"/>
      <c r="BE216" s="21"/>
      <c r="BF216" s="21"/>
      <c r="BG216" s="21">
        <v>3046354.76</v>
      </c>
      <c r="BH216" s="21"/>
      <c r="BI216" s="72"/>
      <c r="BJ216" s="21"/>
      <c r="BK216" s="72"/>
      <c r="BL216" s="21"/>
      <c r="BM216" s="72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</row>
    <row r="217" ht="15.75" customHeight="1">
      <c r="A217" s="56">
        <v>46000.0</v>
      </c>
      <c r="B217" s="70">
        <v>1500.0</v>
      </c>
      <c r="C217" s="70">
        <v>1467.0</v>
      </c>
      <c r="D217" s="70">
        <v>1479.4</v>
      </c>
      <c r="E217" s="70">
        <v>11.35</v>
      </c>
      <c r="F217" s="70"/>
      <c r="G217" s="70"/>
      <c r="H217" s="70">
        <v>2.3846000000000003</v>
      </c>
      <c r="I217" s="70">
        <v>1.929</v>
      </c>
      <c r="J217" s="70"/>
      <c r="K217" s="70">
        <v>0.0</v>
      </c>
      <c r="L217" s="70"/>
      <c r="M217" s="70">
        <v>1.2425</v>
      </c>
      <c r="N217" s="70">
        <v>1.38069</v>
      </c>
      <c r="O217" s="70">
        <v>1.063</v>
      </c>
      <c r="P217" s="70">
        <v>1.3825</v>
      </c>
      <c r="Q217" s="70">
        <v>1.3605</v>
      </c>
      <c r="R217" s="70">
        <v>1.345</v>
      </c>
      <c r="S217" s="70">
        <v>1.3235</v>
      </c>
      <c r="T217" s="70">
        <v>2.044</v>
      </c>
      <c r="U217" s="70">
        <v>1.0274</v>
      </c>
      <c r="V217" s="70">
        <v>0.0</v>
      </c>
      <c r="W217" s="70">
        <v>1.1945000000000001</v>
      </c>
      <c r="X217" s="70">
        <v>0.0</v>
      </c>
      <c r="Y217" s="70">
        <v>963.6</v>
      </c>
      <c r="Z217" s="70">
        <v>2.25</v>
      </c>
      <c r="AA217" s="70">
        <v>1.23497</v>
      </c>
      <c r="AB217" s="70">
        <v>1.3718000000000001</v>
      </c>
      <c r="AC217" s="70">
        <v>1.6775</v>
      </c>
      <c r="AD217" s="70">
        <v>0.0</v>
      </c>
      <c r="AE217" s="70">
        <v>0.0</v>
      </c>
      <c r="AF217" s="70">
        <v>0.0</v>
      </c>
      <c r="AG217" s="70">
        <v>0.0</v>
      </c>
      <c r="AH217" s="70">
        <v>1.59596</v>
      </c>
      <c r="AI217" s="70">
        <v>1.083</v>
      </c>
      <c r="AJ217" s="70">
        <v>0.0</v>
      </c>
      <c r="AK217" s="70">
        <v>0.0</v>
      </c>
      <c r="AL217" s="70">
        <v>3.1814999999999998</v>
      </c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21"/>
      <c r="AX217" s="73">
        <v>25780.0</v>
      </c>
      <c r="AY217" s="73">
        <v>762.0</v>
      </c>
      <c r="AZ217" s="73">
        <v>7454.506279</v>
      </c>
      <c r="BA217" s="73">
        <v>25800.0</v>
      </c>
      <c r="BB217" s="73">
        <v>8305.0</v>
      </c>
      <c r="BC217" s="73">
        <v>12880.046407</v>
      </c>
      <c r="BD217" s="73"/>
      <c r="BE217" s="21"/>
      <c r="BF217" s="21"/>
      <c r="BG217" s="21">
        <v>2987064.12</v>
      </c>
      <c r="BH217" s="21"/>
      <c r="BI217" s="72"/>
      <c r="BJ217" s="21"/>
      <c r="BK217" s="72"/>
      <c r="BL217" s="21"/>
      <c r="BM217" s="72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</row>
    <row r="218" ht="15.75" customHeight="1">
      <c r="A218" s="56">
        <v>46001.0</v>
      </c>
      <c r="B218" s="70">
        <v>1470.0</v>
      </c>
      <c r="C218" s="70">
        <v>1482.0</v>
      </c>
      <c r="D218" s="70">
        <v>1471.5</v>
      </c>
      <c r="E218" s="70">
        <v>11.36</v>
      </c>
      <c r="F218" s="70"/>
      <c r="G218" s="70"/>
      <c r="H218" s="70">
        <v>2.3846000000000003</v>
      </c>
      <c r="I218" s="70">
        <v>1.936</v>
      </c>
      <c r="J218" s="70"/>
      <c r="K218" s="70">
        <v>0.0</v>
      </c>
      <c r="L218" s="70"/>
      <c r="M218" s="70">
        <v>1.245</v>
      </c>
      <c r="N218" s="70">
        <v>1.3855099999999998</v>
      </c>
      <c r="O218" s="70">
        <v>1.063</v>
      </c>
      <c r="P218" s="70">
        <v>1.3869999999999998</v>
      </c>
      <c r="Q218" s="70">
        <v>1.367</v>
      </c>
      <c r="R218" s="70">
        <v>1.345</v>
      </c>
      <c r="S218" s="70">
        <v>1.329</v>
      </c>
      <c r="T218" s="70">
        <v>2.0585</v>
      </c>
      <c r="U218" s="70">
        <v>1.0274</v>
      </c>
      <c r="V218" s="70">
        <v>0.0</v>
      </c>
      <c r="W218" s="70">
        <v>1.2005</v>
      </c>
      <c r="X218" s="70">
        <v>0.0</v>
      </c>
      <c r="Y218" s="70">
        <v>972.0</v>
      </c>
      <c r="Z218" s="70">
        <v>2.2625</v>
      </c>
      <c r="AA218" s="70">
        <v>1.23497</v>
      </c>
      <c r="AB218" s="70">
        <v>1.37629</v>
      </c>
      <c r="AC218" s="70">
        <v>1.6775</v>
      </c>
      <c r="AD218" s="70">
        <v>0.0</v>
      </c>
      <c r="AE218" s="70">
        <v>0.0</v>
      </c>
      <c r="AF218" s="70">
        <v>0.0</v>
      </c>
      <c r="AG218" s="70">
        <v>0.0</v>
      </c>
      <c r="AH218" s="70">
        <v>1.59596</v>
      </c>
      <c r="AI218" s="70">
        <v>1.0975</v>
      </c>
      <c r="AJ218" s="70">
        <v>0.0</v>
      </c>
      <c r="AK218" s="70">
        <v>0.0</v>
      </c>
      <c r="AL218" s="70">
        <v>3.1839999999999997</v>
      </c>
      <c r="AM218" s="70">
        <v>1.162</v>
      </c>
      <c r="AN218" s="70"/>
      <c r="AO218" s="70">
        <v>0.983</v>
      </c>
      <c r="AP218" s="70"/>
      <c r="AQ218" s="70"/>
      <c r="AR218" s="70"/>
      <c r="AS218" s="70"/>
      <c r="AT218" s="70"/>
      <c r="AU218" s="70"/>
      <c r="AV218" s="70"/>
      <c r="AW218" s="21"/>
      <c r="AX218" s="73">
        <v>25840.0</v>
      </c>
      <c r="AY218" s="73">
        <v>764.0</v>
      </c>
      <c r="AZ218" s="73">
        <v>7454.506279</v>
      </c>
      <c r="BA218" s="73">
        <v>24870.0</v>
      </c>
      <c r="BB218" s="73">
        <v>8410.0</v>
      </c>
      <c r="BC218" s="73">
        <v>13284.706869</v>
      </c>
      <c r="BD218" s="73"/>
      <c r="BE218" s="21"/>
      <c r="BF218" s="21"/>
      <c r="BG218" s="21">
        <v>3013646.79</v>
      </c>
      <c r="BH218" s="21"/>
      <c r="BI218" s="72"/>
      <c r="BJ218" s="21"/>
      <c r="BK218" s="72"/>
      <c r="BL218" s="21"/>
      <c r="BM218" s="72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</row>
    <row r="219" ht="15.75" customHeight="1">
      <c r="A219" s="56">
        <v>46002.0</v>
      </c>
      <c r="B219" s="70">
        <v>1495.0</v>
      </c>
      <c r="C219" s="70">
        <v>1489.0</v>
      </c>
      <c r="D219" s="70">
        <v>1486.3</v>
      </c>
      <c r="E219" s="70">
        <v>11.42</v>
      </c>
      <c r="F219" s="70"/>
      <c r="G219" s="70"/>
      <c r="H219" s="70">
        <v>2.3846000000000003</v>
      </c>
      <c r="I219" s="70">
        <v>1.94</v>
      </c>
      <c r="J219" s="70"/>
      <c r="K219" s="70">
        <v>0.0</v>
      </c>
      <c r="L219" s="70"/>
      <c r="M219" s="70">
        <v>1.244</v>
      </c>
      <c r="N219" s="70">
        <v>1.3852000000000002</v>
      </c>
      <c r="O219" s="70">
        <v>1.063</v>
      </c>
      <c r="P219" s="70">
        <v>1.3875</v>
      </c>
      <c r="Q219" s="70">
        <v>1.3655000000000002</v>
      </c>
      <c r="R219" s="70">
        <v>1.3435</v>
      </c>
      <c r="S219" s="70">
        <v>1.3315000000000001</v>
      </c>
      <c r="T219" s="70">
        <v>2.069</v>
      </c>
      <c r="U219" s="70">
        <v>1.0274</v>
      </c>
      <c r="V219" s="70">
        <v>0.0</v>
      </c>
      <c r="W219" s="70">
        <v>1.2015</v>
      </c>
      <c r="X219" s="70">
        <v>0.0</v>
      </c>
      <c r="Y219" s="70">
        <v>969.0</v>
      </c>
      <c r="Z219" s="70">
        <v>2.265</v>
      </c>
      <c r="AA219" s="70">
        <v>1.23497</v>
      </c>
      <c r="AB219" s="70">
        <v>1.3755000000000002</v>
      </c>
      <c r="AC219" s="70">
        <v>1.6775</v>
      </c>
      <c r="AD219" s="70">
        <v>0.0</v>
      </c>
      <c r="AE219" s="70">
        <v>0.0</v>
      </c>
      <c r="AF219" s="70">
        <v>0.0</v>
      </c>
      <c r="AG219" s="70">
        <v>0.0</v>
      </c>
      <c r="AH219" s="70">
        <v>1.59596</v>
      </c>
      <c r="AI219" s="70">
        <v>1.094</v>
      </c>
      <c r="AJ219" s="70">
        <v>0.0</v>
      </c>
      <c r="AK219" s="70">
        <v>0.0</v>
      </c>
      <c r="AL219" s="70">
        <v>3.195</v>
      </c>
      <c r="AM219" s="70">
        <v>1.16101</v>
      </c>
      <c r="AN219" s="70"/>
      <c r="AO219" s="70">
        <v>0.9895</v>
      </c>
      <c r="AP219" s="70"/>
      <c r="AQ219" s="70"/>
      <c r="AR219" s="70"/>
      <c r="AS219" s="70"/>
      <c r="AT219" s="70"/>
      <c r="AU219" s="70"/>
      <c r="AV219" s="70"/>
      <c r="AW219" s="21"/>
      <c r="AX219" s="73">
        <v>25040.0</v>
      </c>
      <c r="AY219" s="73">
        <v>744.0</v>
      </c>
      <c r="AZ219" s="73">
        <v>7305.416153</v>
      </c>
      <c r="BA219" s="73">
        <v>25400.0</v>
      </c>
      <c r="BB219" s="73">
        <v>8490.0</v>
      </c>
      <c r="BC219" s="73">
        <v>13146.530126</v>
      </c>
      <c r="BD219" s="73"/>
      <c r="BE219" s="21"/>
      <c r="BF219" s="21"/>
      <c r="BG219" s="21">
        <v>2980580.6</v>
      </c>
      <c r="BH219" s="21"/>
      <c r="BI219" s="72"/>
      <c r="BJ219" s="21"/>
      <c r="BK219" s="72"/>
      <c r="BL219" s="21"/>
      <c r="BM219" s="72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</row>
    <row r="220" ht="15.75" customHeight="1">
      <c r="A220" s="56">
        <v>46003.0</v>
      </c>
      <c r="B220" s="70">
        <v>1475.4</v>
      </c>
      <c r="C220" s="70">
        <v>1490.9</v>
      </c>
      <c r="D220" s="70">
        <v>1486.0</v>
      </c>
      <c r="E220" s="70">
        <v>11.51</v>
      </c>
      <c r="F220" s="70"/>
      <c r="G220" s="70"/>
      <c r="H220" s="70">
        <v>2.3846000000000003</v>
      </c>
      <c r="I220" s="70">
        <v>1.946</v>
      </c>
      <c r="J220" s="70"/>
      <c r="K220" s="70">
        <v>0.0</v>
      </c>
      <c r="L220" s="70"/>
      <c r="M220" s="70">
        <v>1.2515</v>
      </c>
      <c r="N220" s="70">
        <v>1.38799</v>
      </c>
      <c r="O220" s="70">
        <v>1.063</v>
      </c>
      <c r="P220" s="70">
        <v>1.3925</v>
      </c>
      <c r="Q220" s="70">
        <v>1.3695</v>
      </c>
      <c r="R220" s="70">
        <v>1.349</v>
      </c>
      <c r="S220" s="70">
        <v>1.3359999999999999</v>
      </c>
      <c r="T220" s="70">
        <v>2.0885</v>
      </c>
      <c r="U220" s="70">
        <v>1.0274</v>
      </c>
      <c r="V220" s="70">
        <v>0.0</v>
      </c>
      <c r="W220" s="70">
        <v>1.218</v>
      </c>
      <c r="X220" s="70">
        <v>0.0</v>
      </c>
      <c r="Y220" s="70">
        <v>969.4</v>
      </c>
      <c r="Z220" s="70">
        <v>2.29</v>
      </c>
      <c r="AA220" s="70">
        <v>1.23497</v>
      </c>
      <c r="AB220" s="70">
        <v>1.38</v>
      </c>
      <c r="AC220" s="70">
        <v>1.6775</v>
      </c>
      <c r="AD220" s="70">
        <v>0.0</v>
      </c>
      <c r="AE220" s="70">
        <v>0.0</v>
      </c>
      <c r="AF220" s="70">
        <v>0.0</v>
      </c>
      <c r="AG220" s="70">
        <v>0.0</v>
      </c>
      <c r="AH220" s="70">
        <v>1.59596</v>
      </c>
      <c r="AI220" s="70">
        <v>1.104</v>
      </c>
      <c r="AJ220" s="70">
        <v>0.0</v>
      </c>
      <c r="AK220" s="70">
        <v>0.0</v>
      </c>
      <c r="AL220" s="70">
        <v>3.2225</v>
      </c>
      <c r="AM220" s="70">
        <v>1.16679</v>
      </c>
      <c r="AN220" s="70"/>
      <c r="AO220" s="70">
        <v>0.9954999999999999</v>
      </c>
      <c r="AP220" s="70"/>
      <c r="AQ220" s="70"/>
      <c r="AR220" s="70"/>
      <c r="AS220" s="70"/>
      <c r="AT220" s="70"/>
      <c r="AU220" s="70"/>
      <c r="AV220" s="70"/>
      <c r="AW220" s="21"/>
      <c r="AX220" s="73">
        <v>24900.0</v>
      </c>
      <c r="AY220" s="73">
        <v>805.0</v>
      </c>
      <c r="AZ220" s="73">
        <v>7315.355495</v>
      </c>
      <c r="BA220" s="73">
        <v>25500.0</v>
      </c>
      <c r="BB220" s="73">
        <v>8485.0</v>
      </c>
      <c r="BC220" s="73">
        <v>12978.744081</v>
      </c>
      <c r="BD220" s="73"/>
      <c r="BE220" s="21"/>
      <c r="BF220" s="21"/>
      <c r="BG220" s="21">
        <v>2979065.08</v>
      </c>
      <c r="BH220" s="21"/>
      <c r="BI220" s="72"/>
      <c r="BJ220" s="21"/>
      <c r="BK220" s="72"/>
      <c r="BL220" s="21"/>
      <c r="BM220" s="72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</row>
    <row r="221" ht="15.75" customHeight="1">
      <c r="A221" s="56">
        <v>46006.0</v>
      </c>
      <c r="B221" s="70">
        <v>1495.7</v>
      </c>
      <c r="C221" s="70">
        <v>1539.9</v>
      </c>
      <c r="D221" s="70">
        <v>1515.0</v>
      </c>
      <c r="E221" s="70">
        <v>11.64</v>
      </c>
      <c r="F221" s="70"/>
      <c r="G221" s="70"/>
      <c r="H221" s="70">
        <v>2.3846000000000003</v>
      </c>
      <c r="I221" s="70">
        <v>1.954</v>
      </c>
      <c r="J221" s="70"/>
      <c r="K221" s="70">
        <v>0.0</v>
      </c>
      <c r="L221" s="70"/>
      <c r="M221" s="70">
        <v>1.249</v>
      </c>
      <c r="N221" s="70">
        <v>1.3877000000000002</v>
      </c>
      <c r="O221" s="70">
        <v>1.063</v>
      </c>
      <c r="P221" s="70">
        <v>1.396</v>
      </c>
      <c r="Q221" s="70">
        <v>1.3844999999999998</v>
      </c>
      <c r="R221" s="70">
        <v>1.364</v>
      </c>
      <c r="S221" s="70">
        <v>1.3555000000000001</v>
      </c>
      <c r="T221" s="70">
        <v>2.105</v>
      </c>
      <c r="U221" s="70">
        <v>1.0274</v>
      </c>
      <c r="V221" s="70">
        <v>0.0</v>
      </c>
      <c r="W221" s="70">
        <v>1.22</v>
      </c>
      <c r="X221" s="70">
        <v>0.0</v>
      </c>
      <c r="Y221" s="70">
        <v>991.1</v>
      </c>
      <c r="Z221" s="70">
        <v>2.31</v>
      </c>
      <c r="AA221" s="70">
        <v>1.23497</v>
      </c>
      <c r="AB221" s="70">
        <v>1.3834</v>
      </c>
      <c r="AC221" s="70">
        <v>1.6775</v>
      </c>
      <c r="AD221" s="70">
        <v>0.0</v>
      </c>
      <c r="AE221" s="70">
        <v>0.0</v>
      </c>
      <c r="AF221" s="70">
        <v>0.0</v>
      </c>
      <c r="AG221" s="70">
        <v>0.0</v>
      </c>
      <c r="AH221" s="70">
        <v>1.59596</v>
      </c>
      <c r="AI221" s="70">
        <v>1.0975</v>
      </c>
      <c r="AJ221" s="70">
        <v>0.0</v>
      </c>
      <c r="AK221" s="70">
        <v>0.0</v>
      </c>
      <c r="AL221" s="70">
        <v>3.25</v>
      </c>
      <c r="AM221" s="70">
        <v>1.16699</v>
      </c>
      <c r="AN221" s="70">
        <v>1.0</v>
      </c>
      <c r="AO221" s="70">
        <v>1.0005</v>
      </c>
      <c r="AP221" s="70"/>
      <c r="AQ221" s="70"/>
      <c r="AR221" s="70"/>
      <c r="AS221" s="70"/>
      <c r="AT221" s="70"/>
      <c r="AU221" s="70"/>
      <c r="AV221" s="70"/>
      <c r="AW221" s="21"/>
      <c r="AX221" s="73">
        <v>25060.0</v>
      </c>
      <c r="AY221" s="73">
        <v>811.0</v>
      </c>
      <c r="AZ221" s="73">
        <v>7454.506279</v>
      </c>
      <c r="BA221" s="73">
        <v>25240.0</v>
      </c>
      <c r="BB221" s="73">
        <v>8605.0</v>
      </c>
      <c r="BC221" s="73">
        <v>13166.26966</v>
      </c>
      <c r="BD221" s="73"/>
      <c r="BE221" s="21"/>
      <c r="BF221" s="21"/>
      <c r="BG221" s="21">
        <v>3012680.81</v>
      </c>
      <c r="BH221" s="21"/>
      <c r="BI221" s="72"/>
      <c r="BJ221" s="21"/>
      <c r="BK221" s="72"/>
      <c r="BL221" s="21"/>
      <c r="BM221" s="72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</row>
    <row r="222" ht="15.75" customHeight="1">
      <c r="A222" s="56">
        <v>46007.0</v>
      </c>
      <c r="B222" s="70">
        <v>1480.3</v>
      </c>
      <c r="C222" s="70">
        <v>1600.0</v>
      </c>
      <c r="D222" s="70">
        <v>1514.7</v>
      </c>
      <c r="E222" s="70">
        <v>11.65</v>
      </c>
      <c r="F222" s="70"/>
      <c r="G222" s="70"/>
      <c r="H222" s="70">
        <v>2.3846000000000003</v>
      </c>
      <c r="I222" s="70">
        <v>1.959</v>
      </c>
      <c r="J222" s="70"/>
      <c r="K222" s="70">
        <v>0.0</v>
      </c>
      <c r="L222" s="70"/>
      <c r="M222" s="70">
        <v>1.2545</v>
      </c>
      <c r="N222" s="70">
        <v>1.3895</v>
      </c>
      <c r="O222" s="70">
        <v>1.063</v>
      </c>
      <c r="P222" s="70">
        <v>1.3980000000000001</v>
      </c>
      <c r="Q222" s="70">
        <v>1.39</v>
      </c>
      <c r="R222" s="70">
        <v>1.375</v>
      </c>
      <c r="S222" s="70">
        <v>1.369</v>
      </c>
      <c r="T222" s="70">
        <v>2.11</v>
      </c>
      <c r="U222" s="70">
        <v>1.0274</v>
      </c>
      <c r="V222" s="70">
        <v>0.0</v>
      </c>
      <c r="W222" s="70">
        <v>1.2165000000000001</v>
      </c>
      <c r="X222" s="70">
        <v>0.0</v>
      </c>
      <c r="Y222" s="70">
        <v>1019.0</v>
      </c>
      <c r="Z222" s="70">
        <v>2.316</v>
      </c>
      <c r="AA222" s="70">
        <v>1.23497</v>
      </c>
      <c r="AB222" s="70">
        <v>1.3786</v>
      </c>
      <c r="AC222" s="70">
        <v>1.6775</v>
      </c>
      <c r="AD222" s="70">
        <v>0.0</v>
      </c>
      <c r="AE222" s="70">
        <v>0.0</v>
      </c>
      <c r="AF222" s="70">
        <v>0.0</v>
      </c>
      <c r="AG222" s="70">
        <v>0.0</v>
      </c>
      <c r="AH222" s="70">
        <v>1.59596</v>
      </c>
      <c r="AI222" s="70">
        <v>1.0995</v>
      </c>
      <c r="AJ222" s="70">
        <v>0.0</v>
      </c>
      <c r="AK222" s="70">
        <v>0.0</v>
      </c>
      <c r="AL222" s="70">
        <v>3.2569999999999997</v>
      </c>
      <c r="AM222" s="70">
        <v>1.169</v>
      </c>
      <c r="AN222" s="70">
        <v>1.0</v>
      </c>
      <c r="AO222" s="70">
        <v>1.006</v>
      </c>
      <c r="AP222" s="70"/>
      <c r="AQ222" s="70"/>
      <c r="AR222" s="70"/>
      <c r="AS222" s="70"/>
      <c r="AT222" s="70"/>
      <c r="AU222" s="70"/>
      <c r="AV222" s="70"/>
      <c r="AW222" s="21"/>
      <c r="AX222" s="73">
        <v>24330.0</v>
      </c>
      <c r="AY222" s="73">
        <v>831.5</v>
      </c>
      <c r="AZ222" s="73">
        <v>7668.202125</v>
      </c>
      <c r="BA222" s="73">
        <v>24680.0</v>
      </c>
      <c r="BB222" s="73">
        <v>8725.0</v>
      </c>
      <c r="BC222" s="73">
        <v>13334.055706</v>
      </c>
      <c r="BD222" s="73"/>
      <c r="BE222" s="21"/>
      <c r="BF222" s="21"/>
      <c r="BG222" s="21">
        <v>3034429.24</v>
      </c>
      <c r="BH222" s="21"/>
      <c r="BI222" s="72"/>
      <c r="BJ222" s="21"/>
      <c r="BK222" s="72"/>
      <c r="BL222" s="21"/>
      <c r="BM222" s="72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</row>
    <row r="223" ht="15.75" customHeight="1">
      <c r="A223" s="56">
        <v>46008.0</v>
      </c>
      <c r="B223" s="70">
        <v>1505.0</v>
      </c>
      <c r="C223" s="70">
        <v>1540.0</v>
      </c>
      <c r="D223" s="70">
        <v>1512.8</v>
      </c>
      <c r="E223" s="70">
        <v>11.63</v>
      </c>
      <c r="F223" s="70"/>
      <c r="G223" s="70"/>
      <c r="H223" s="70">
        <v>2.3846000000000003</v>
      </c>
      <c r="I223" s="70">
        <v>1.9625</v>
      </c>
      <c r="J223" s="70"/>
      <c r="K223" s="70">
        <v>0.0</v>
      </c>
      <c r="L223" s="70"/>
      <c r="M223" s="70">
        <v>1.252</v>
      </c>
      <c r="N223" s="70">
        <v>1.3902</v>
      </c>
      <c r="O223" s="70">
        <v>1.063</v>
      </c>
      <c r="P223" s="70">
        <v>1.399</v>
      </c>
      <c r="Q223" s="70">
        <v>1.386</v>
      </c>
      <c r="R223" s="70">
        <v>1.3719999999999999</v>
      </c>
      <c r="S223" s="70">
        <v>1.364</v>
      </c>
      <c r="T223" s="70">
        <v>2.1365</v>
      </c>
      <c r="U223" s="70">
        <v>1.0274</v>
      </c>
      <c r="V223" s="70">
        <v>0.0</v>
      </c>
      <c r="W223" s="70">
        <v>1.2125</v>
      </c>
      <c r="X223" s="70">
        <v>0.0</v>
      </c>
      <c r="Y223" s="70">
        <v>1008.0</v>
      </c>
      <c r="Z223" s="70">
        <v>2.322</v>
      </c>
      <c r="AA223" s="70">
        <v>1.23497</v>
      </c>
      <c r="AB223" s="70">
        <v>1.3795</v>
      </c>
      <c r="AC223" s="70">
        <v>1.6775</v>
      </c>
      <c r="AD223" s="70">
        <v>0.0</v>
      </c>
      <c r="AE223" s="70">
        <v>0.0</v>
      </c>
      <c r="AF223" s="70">
        <v>0.0</v>
      </c>
      <c r="AG223" s="70">
        <v>0.0</v>
      </c>
      <c r="AH223" s="70">
        <v>1.59596</v>
      </c>
      <c r="AI223" s="70">
        <v>1.102</v>
      </c>
      <c r="AJ223" s="70">
        <v>0.0</v>
      </c>
      <c r="AK223" s="70">
        <v>0.0</v>
      </c>
      <c r="AL223" s="70">
        <v>3.2555</v>
      </c>
      <c r="AM223" s="70">
        <v>1.16747</v>
      </c>
      <c r="AN223" s="70">
        <v>1.0</v>
      </c>
      <c r="AO223" s="70">
        <v>1.0070000000000001</v>
      </c>
      <c r="AP223" s="70"/>
      <c r="AQ223" s="70"/>
      <c r="AR223" s="70"/>
      <c r="AS223" s="70"/>
      <c r="AT223" s="70"/>
      <c r="AU223" s="70"/>
      <c r="AV223" s="70"/>
      <c r="AW223" s="21"/>
      <c r="AX223" s="73">
        <v>23870.0</v>
      </c>
      <c r="AY223" s="73">
        <v>736.0</v>
      </c>
      <c r="AZ223" s="73">
        <v>7762.625871</v>
      </c>
      <c r="BA223" s="73">
        <v>25020.0</v>
      </c>
      <c r="BB223" s="73">
        <v>8820.0</v>
      </c>
      <c r="BC223" s="73">
        <v>13284.706869</v>
      </c>
      <c r="BD223" s="73"/>
      <c r="BE223" s="21"/>
      <c r="BF223" s="21"/>
      <c r="BG223" s="21">
        <v>3035516.7</v>
      </c>
      <c r="BH223" s="21"/>
      <c r="BI223" s="72"/>
      <c r="BJ223" s="21"/>
      <c r="BK223" s="72"/>
      <c r="BL223" s="21"/>
      <c r="BM223" s="72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</row>
    <row r="224" ht="15.75" customHeight="1">
      <c r="A224" s="56">
        <v>46009.0</v>
      </c>
      <c r="B224" s="70">
        <v>1515.7</v>
      </c>
      <c r="C224" s="70">
        <v>1524.9</v>
      </c>
      <c r="D224" s="70">
        <v>1504.0</v>
      </c>
      <c r="E224" s="70">
        <v>11.64</v>
      </c>
      <c r="F224" s="70"/>
      <c r="G224" s="70"/>
      <c r="H224" s="70">
        <v>2.3846000000000003</v>
      </c>
      <c r="I224" s="70">
        <v>1.9625</v>
      </c>
      <c r="J224" s="70"/>
      <c r="K224" s="70">
        <v>0.0</v>
      </c>
      <c r="L224" s="70"/>
      <c r="M224" s="70">
        <v>1.248</v>
      </c>
      <c r="N224" s="70">
        <v>1.3902</v>
      </c>
      <c r="O224" s="70">
        <v>1.063</v>
      </c>
      <c r="P224" s="70">
        <v>1.402</v>
      </c>
      <c r="Q224" s="70">
        <v>1.3844999999999998</v>
      </c>
      <c r="R224" s="70">
        <v>1.3655000000000002</v>
      </c>
      <c r="S224" s="70">
        <v>1.3565</v>
      </c>
      <c r="T224" s="70">
        <v>2.14</v>
      </c>
      <c r="U224" s="70">
        <v>1.0274</v>
      </c>
      <c r="V224" s="70">
        <v>0.0</v>
      </c>
      <c r="W224" s="70">
        <v>1.2095</v>
      </c>
      <c r="X224" s="70">
        <v>0.0</v>
      </c>
      <c r="Y224" s="70">
        <v>1004.7</v>
      </c>
      <c r="Z224" s="70">
        <v>2.323</v>
      </c>
      <c r="AA224" s="70">
        <v>1.23497</v>
      </c>
      <c r="AB224" s="70">
        <v>1.38001</v>
      </c>
      <c r="AC224" s="70">
        <v>1.6775</v>
      </c>
      <c r="AD224" s="70">
        <v>0.0</v>
      </c>
      <c r="AE224" s="70">
        <v>0.0</v>
      </c>
      <c r="AF224" s="70">
        <v>0.0</v>
      </c>
      <c r="AG224" s="70">
        <v>0.0</v>
      </c>
      <c r="AH224" s="70">
        <v>1.59596</v>
      </c>
      <c r="AI224" s="70">
        <v>1.103</v>
      </c>
      <c r="AJ224" s="70">
        <v>0.0</v>
      </c>
      <c r="AK224" s="70">
        <v>0.0</v>
      </c>
      <c r="AL224" s="70">
        <v>3.258</v>
      </c>
      <c r="AM224" s="70">
        <v>1.1675</v>
      </c>
      <c r="AN224" s="70">
        <v>1.0</v>
      </c>
      <c r="AO224" s="70">
        <v>1.0075</v>
      </c>
      <c r="AP224" s="70"/>
      <c r="AQ224" s="70"/>
      <c r="AR224" s="70"/>
      <c r="AS224" s="70"/>
      <c r="AT224" s="70"/>
      <c r="AU224" s="70"/>
      <c r="AV224" s="70"/>
      <c r="AW224" s="21"/>
      <c r="AX224" s="73">
        <v>23790.0</v>
      </c>
      <c r="AY224" s="73">
        <v>744.0</v>
      </c>
      <c r="AZ224" s="73">
        <v>8269.532298</v>
      </c>
      <c r="BA224" s="73">
        <v>25440.0</v>
      </c>
      <c r="BB224" s="73">
        <v>9595.0</v>
      </c>
      <c r="BC224" s="73">
        <v>14133.506862</v>
      </c>
      <c r="BD224" s="73"/>
      <c r="BE224" s="21"/>
      <c r="BF224" s="21"/>
      <c r="BG224" s="21">
        <v>3163223.63</v>
      </c>
      <c r="BH224" s="21"/>
      <c r="BI224" s="72"/>
      <c r="BJ224" s="21"/>
      <c r="BK224" s="72"/>
      <c r="BL224" s="21"/>
      <c r="BM224" s="72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</row>
    <row r="225" ht="15.75" customHeight="1">
      <c r="A225" s="56">
        <v>46010.0</v>
      </c>
      <c r="B225" s="70">
        <v>1486.7</v>
      </c>
      <c r="C225" s="70">
        <v>1544.0</v>
      </c>
      <c r="D225" s="70">
        <v>1500.0</v>
      </c>
      <c r="E225" s="70">
        <v>11.67</v>
      </c>
      <c r="F225" s="70"/>
      <c r="G225" s="70"/>
      <c r="H225" s="70">
        <v>2.3846000000000003</v>
      </c>
      <c r="I225" s="70">
        <v>1.9645</v>
      </c>
      <c r="J225" s="70"/>
      <c r="K225" s="70">
        <v>0.0</v>
      </c>
      <c r="L225" s="70"/>
      <c r="M225" s="70">
        <v>1.25</v>
      </c>
      <c r="N225" s="70">
        <v>1.39349</v>
      </c>
      <c r="O225" s="70">
        <v>1.063</v>
      </c>
      <c r="P225" s="70">
        <v>1.406</v>
      </c>
      <c r="Q225" s="70">
        <v>1.386</v>
      </c>
      <c r="R225" s="70">
        <v>1.3685</v>
      </c>
      <c r="S225" s="70">
        <v>1.3585</v>
      </c>
      <c r="T225" s="70">
        <v>2.154</v>
      </c>
      <c r="U225" s="70">
        <v>1.0274</v>
      </c>
      <c r="V225" s="70">
        <v>0.0</v>
      </c>
      <c r="W225" s="70">
        <v>1.209</v>
      </c>
      <c r="X225" s="70">
        <v>0.0</v>
      </c>
      <c r="Y225" s="70">
        <v>1000.7</v>
      </c>
      <c r="Z225" s="70">
        <v>2.326</v>
      </c>
      <c r="AA225" s="70">
        <v>1.23497</v>
      </c>
      <c r="AB225" s="70">
        <v>1.3825</v>
      </c>
      <c r="AC225" s="70">
        <v>1.6775</v>
      </c>
      <c r="AD225" s="70">
        <v>0.0</v>
      </c>
      <c r="AE225" s="70">
        <v>0.0</v>
      </c>
      <c r="AF225" s="70">
        <v>0.0</v>
      </c>
      <c r="AG225" s="70">
        <v>0.0</v>
      </c>
      <c r="AH225" s="70">
        <v>1.59596</v>
      </c>
      <c r="AI225" s="70">
        <v>1.1085</v>
      </c>
      <c r="AJ225" s="70">
        <v>0.0</v>
      </c>
      <c r="AK225" s="70">
        <v>0.0</v>
      </c>
      <c r="AL225" s="70">
        <v>3.2615</v>
      </c>
      <c r="AM225" s="70">
        <v>1.1688</v>
      </c>
      <c r="AN225" s="70">
        <v>1.006</v>
      </c>
      <c r="AO225" s="70">
        <v>1.0070000000000001</v>
      </c>
      <c r="AP225" s="70"/>
      <c r="AQ225" s="70"/>
      <c r="AR225" s="70"/>
      <c r="AS225" s="70"/>
      <c r="AT225" s="70"/>
      <c r="AU225" s="70"/>
      <c r="AV225" s="70"/>
      <c r="AW225" s="21"/>
      <c r="AX225" s="73">
        <v>23900.0</v>
      </c>
      <c r="AY225" s="73">
        <v>741.5</v>
      </c>
      <c r="AZ225" s="73">
        <v>8319.229007</v>
      </c>
      <c r="BA225" s="73">
        <v>25800.0</v>
      </c>
      <c r="BB225" s="73">
        <v>9440.0</v>
      </c>
      <c r="BC225" s="73">
        <v>13768.325469</v>
      </c>
      <c r="BD225" s="73"/>
      <c r="BE225" s="21"/>
      <c r="BF225" s="21"/>
      <c r="BG225" s="21">
        <v>3139466.65</v>
      </c>
      <c r="BH225" s="21"/>
      <c r="BI225" s="72"/>
      <c r="BJ225" s="21"/>
      <c r="BK225" s="72"/>
      <c r="BL225" s="21"/>
      <c r="BM225" s="72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</row>
    <row r="226" ht="15.75" customHeight="1">
      <c r="A226" s="56">
        <v>46013.0</v>
      </c>
      <c r="B226" s="70">
        <v>1501.0</v>
      </c>
      <c r="C226" s="70">
        <v>1530.0</v>
      </c>
      <c r="D226" s="70">
        <v>1508.8</v>
      </c>
      <c r="E226" s="70">
        <v>11.635</v>
      </c>
      <c r="F226" s="70"/>
      <c r="G226" s="70"/>
      <c r="H226" s="70">
        <v>2.3846000000000003</v>
      </c>
      <c r="I226" s="70">
        <v>1.9615</v>
      </c>
      <c r="J226" s="70"/>
      <c r="K226" s="70">
        <v>0.0</v>
      </c>
      <c r="L226" s="70"/>
      <c r="M226" s="70">
        <v>1.2475</v>
      </c>
      <c r="N226" s="70">
        <v>1.39339</v>
      </c>
      <c r="O226" s="70">
        <v>1.063</v>
      </c>
      <c r="P226" s="70">
        <v>1.4069999999999998</v>
      </c>
      <c r="Q226" s="70">
        <v>1.3880000000000001</v>
      </c>
      <c r="R226" s="70">
        <v>1.369</v>
      </c>
      <c r="S226" s="70">
        <v>1.3585</v>
      </c>
      <c r="T226" s="70">
        <v>2.16</v>
      </c>
      <c r="U226" s="70">
        <v>1.0274</v>
      </c>
      <c r="V226" s="70">
        <v>0.0</v>
      </c>
      <c r="W226" s="70">
        <v>1.207</v>
      </c>
      <c r="X226" s="70">
        <v>0.0</v>
      </c>
      <c r="Y226" s="70">
        <v>1001.0</v>
      </c>
      <c r="Z226" s="70">
        <v>2.329</v>
      </c>
      <c r="AA226" s="70">
        <v>1.23497</v>
      </c>
      <c r="AB226" s="70">
        <v>1.3819</v>
      </c>
      <c r="AC226" s="70">
        <v>1.6775</v>
      </c>
      <c r="AD226" s="70">
        <v>0.0</v>
      </c>
      <c r="AE226" s="70">
        <v>0.0</v>
      </c>
      <c r="AF226" s="70">
        <v>0.0</v>
      </c>
      <c r="AG226" s="70">
        <v>0.0</v>
      </c>
      <c r="AH226" s="70">
        <v>1.59596</v>
      </c>
      <c r="AI226" s="70">
        <v>1.107</v>
      </c>
      <c r="AJ226" s="70">
        <v>0.0</v>
      </c>
      <c r="AK226" s="70">
        <v>0.0</v>
      </c>
      <c r="AL226" s="70">
        <v>3.26</v>
      </c>
      <c r="AM226" s="70">
        <v>1.16832</v>
      </c>
      <c r="AN226" s="70">
        <v>1.005</v>
      </c>
      <c r="AO226" s="70">
        <v>1.0070000000000001</v>
      </c>
      <c r="AP226" s="70"/>
      <c r="AQ226" s="70"/>
      <c r="AR226" s="70"/>
      <c r="AS226" s="70"/>
      <c r="AT226" s="70"/>
      <c r="AU226" s="70"/>
      <c r="AV226" s="70"/>
      <c r="AW226" s="21"/>
      <c r="AX226" s="73">
        <v>24230.0</v>
      </c>
      <c r="AY226" s="73">
        <v>711.0</v>
      </c>
      <c r="AZ226" s="73">
        <v>8239.714273</v>
      </c>
      <c r="BA226" s="73">
        <v>25620.0</v>
      </c>
      <c r="BB226" s="73">
        <v>9470.0</v>
      </c>
      <c r="BC226" s="73">
        <v>13827.544074</v>
      </c>
      <c r="BD226" s="73"/>
      <c r="BE226" s="21"/>
      <c r="BF226" s="21"/>
      <c r="BG226" s="21">
        <v>3136089.83</v>
      </c>
      <c r="BH226" s="21"/>
      <c r="BI226" s="72"/>
      <c r="BJ226" s="21"/>
      <c r="BK226" s="72"/>
      <c r="BL226" s="21"/>
      <c r="BM226" s="72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</row>
    <row r="227" ht="15.75" customHeight="1">
      <c r="A227" s="56">
        <v>46014.0</v>
      </c>
      <c r="B227" s="70">
        <v>1462.0</v>
      </c>
      <c r="C227" s="70">
        <v>1527.0</v>
      </c>
      <c r="D227" s="70">
        <v>1495.9</v>
      </c>
      <c r="E227" s="70">
        <v>11.625</v>
      </c>
      <c r="F227" s="70"/>
      <c r="G227" s="70"/>
      <c r="H227" s="70">
        <v>2.3846000000000003</v>
      </c>
      <c r="I227" s="70">
        <v>1.959</v>
      </c>
      <c r="J227" s="70"/>
      <c r="K227" s="70">
        <v>0.0</v>
      </c>
      <c r="L227" s="70"/>
      <c r="M227" s="70">
        <v>1.244</v>
      </c>
      <c r="N227" s="70">
        <v>1.3915</v>
      </c>
      <c r="O227" s="70">
        <v>1.063</v>
      </c>
      <c r="P227" s="70">
        <v>1.4</v>
      </c>
      <c r="Q227" s="70">
        <v>1.3795</v>
      </c>
      <c r="R227" s="70">
        <v>1.3625</v>
      </c>
      <c r="S227" s="70">
        <v>1.3525</v>
      </c>
      <c r="T227" s="70">
        <v>2.164</v>
      </c>
      <c r="U227" s="70">
        <v>1.0274</v>
      </c>
      <c r="V227" s="70">
        <v>0.0</v>
      </c>
      <c r="W227" s="70">
        <v>1.199</v>
      </c>
      <c r="X227" s="70">
        <v>0.0</v>
      </c>
      <c r="Y227" s="70">
        <v>994.5</v>
      </c>
      <c r="Z227" s="70">
        <v>2.3235</v>
      </c>
      <c r="AA227" s="70">
        <v>1.23497</v>
      </c>
      <c r="AB227" s="70">
        <v>1.3812</v>
      </c>
      <c r="AC227" s="70">
        <v>1.6775</v>
      </c>
      <c r="AD227" s="70">
        <v>0.0</v>
      </c>
      <c r="AE227" s="70">
        <v>0.0</v>
      </c>
      <c r="AF227" s="70">
        <v>0.0</v>
      </c>
      <c r="AG227" s="70">
        <v>0.0</v>
      </c>
      <c r="AH227" s="70">
        <v>1.59596</v>
      </c>
      <c r="AI227" s="70">
        <v>1.104</v>
      </c>
      <c r="AJ227" s="70">
        <v>0.0</v>
      </c>
      <c r="AK227" s="70">
        <v>0.0</v>
      </c>
      <c r="AL227" s="70">
        <v>3.2495</v>
      </c>
      <c r="AM227" s="70">
        <v>1.1633</v>
      </c>
      <c r="AN227" s="70">
        <v>1.00195</v>
      </c>
      <c r="AO227" s="70">
        <v>1.0055</v>
      </c>
      <c r="AP227" s="70"/>
      <c r="AQ227" s="70"/>
      <c r="AR227" s="70"/>
      <c r="AS227" s="70"/>
      <c r="AT227" s="70"/>
      <c r="AU227" s="70"/>
      <c r="AV227" s="70"/>
      <c r="AW227" s="21"/>
      <c r="AX227" s="73">
        <v>24060.0</v>
      </c>
      <c r="AY227" s="73">
        <v>722.0</v>
      </c>
      <c r="AZ227" s="73">
        <v>8209.896248</v>
      </c>
      <c r="BA227" s="73">
        <v>25320.0</v>
      </c>
      <c r="BB227" s="73">
        <v>9340.0</v>
      </c>
      <c r="BC227" s="73">
        <v>13541.32082</v>
      </c>
      <c r="BD227" s="73"/>
      <c r="BE227" s="21"/>
      <c r="BF227" s="21"/>
      <c r="BG227" s="21">
        <v>3114970.21</v>
      </c>
      <c r="BH227" s="21"/>
      <c r="BI227" s="72"/>
      <c r="BJ227" s="21"/>
      <c r="BK227" s="72"/>
      <c r="BL227" s="21"/>
      <c r="BM227" s="72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</row>
    <row r="228" ht="15.75" customHeight="1">
      <c r="A228" s="56">
        <v>46017.0</v>
      </c>
      <c r="B228" s="70">
        <v>1490.0</v>
      </c>
      <c r="C228" s="70">
        <v>1574.5</v>
      </c>
      <c r="D228" s="70">
        <v>1502.5</v>
      </c>
      <c r="E228" s="70">
        <v>11.6</v>
      </c>
      <c r="F228" s="70"/>
      <c r="G228" s="70"/>
      <c r="H228" s="70">
        <v>2.3846000000000003</v>
      </c>
      <c r="I228" s="70">
        <v>1.959</v>
      </c>
      <c r="J228" s="70"/>
      <c r="K228" s="70">
        <v>0.0</v>
      </c>
      <c r="L228" s="70"/>
      <c r="M228" s="70">
        <v>1.2455</v>
      </c>
      <c r="N228" s="70">
        <v>1.3915</v>
      </c>
      <c r="O228" s="70">
        <v>1.063</v>
      </c>
      <c r="P228" s="70">
        <v>1.3984999999999999</v>
      </c>
      <c r="Q228" s="70">
        <v>1.379</v>
      </c>
      <c r="R228" s="70">
        <v>1.361</v>
      </c>
      <c r="S228" s="70">
        <v>1.349</v>
      </c>
      <c r="T228" s="70">
        <v>2.1625</v>
      </c>
      <c r="U228" s="70">
        <v>1.0274</v>
      </c>
      <c r="V228" s="70">
        <v>0.0</v>
      </c>
      <c r="W228" s="70">
        <v>1.203</v>
      </c>
      <c r="X228" s="70">
        <v>0.0</v>
      </c>
      <c r="Y228" s="70">
        <v>994.8</v>
      </c>
      <c r="Z228" s="70">
        <v>2.3245</v>
      </c>
      <c r="AA228" s="70">
        <v>1.23497</v>
      </c>
      <c r="AB228" s="70">
        <v>1.3825</v>
      </c>
      <c r="AC228" s="70">
        <v>1.6775</v>
      </c>
      <c r="AD228" s="70">
        <v>0.0</v>
      </c>
      <c r="AE228" s="70">
        <v>0.0</v>
      </c>
      <c r="AF228" s="70">
        <v>0.0</v>
      </c>
      <c r="AG228" s="70">
        <v>0.0</v>
      </c>
      <c r="AH228" s="70">
        <v>1.59596</v>
      </c>
      <c r="AI228" s="70">
        <v>1.1</v>
      </c>
      <c r="AJ228" s="70">
        <v>0.0</v>
      </c>
      <c r="AK228" s="70">
        <v>0.0</v>
      </c>
      <c r="AL228" s="70">
        <v>3.25</v>
      </c>
      <c r="AM228" s="70">
        <v>1.1655</v>
      </c>
      <c r="AN228" s="70">
        <v>1.00139</v>
      </c>
      <c r="AO228" s="70">
        <v>1.008</v>
      </c>
      <c r="AP228" s="70"/>
      <c r="AQ228" s="70"/>
      <c r="AR228" s="70"/>
      <c r="AS228" s="70"/>
      <c r="AT228" s="70"/>
      <c r="AU228" s="70"/>
      <c r="AV228" s="70"/>
      <c r="AW228" s="21"/>
      <c r="AX228" s="73">
        <v>24450.0</v>
      </c>
      <c r="AY228" s="73">
        <v>698.0</v>
      </c>
      <c r="AZ228" s="73">
        <v>8329.168349</v>
      </c>
      <c r="BA228" s="73">
        <v>25600.0</v>
      </c>
      <c r="BB228" s="73">
        <v>9310.0</v>
      </c>
      <c r="BC228" s="73">
        <v>13758.455702</v>
      </c>
      <c r="BD228" s="73"/>
      <c r="BE228" s="21"/>
      <c r="BF228" s="21"/>
      <c r="BG228" s="21">
        <v>3112379.72</v>
      </c>
      <c r="BH228" s="21"/>
      <c r="BI228" s="72"/>
      <c r="BJ228" s="21"/>
      <c r="BK228" s="72"/>
      <c r="BL228" s="21"/>
      <c r="BM228" s="72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</row>
    <row r="229" ht="15.75" customHeight="1">
      <c r="A229" s="56">
        <v>46020.0</v>
      </c>
      <c r="B229" s="70">
        <v>1480.0</v>
      </c>
      <c r="C229" s="70">
        <v>1572.0</v>
      </c>
      <c r="D229" s="70">
        <v>1508.8</v>
      </c>
      <c r="E229" s="70">
        <v>11.585</v>
      </c>
      <c r="F229" s="70"/>
      <c r="G229" s="70"/>
      <c r="H229" s="70">
        <v>2.3846000000000003</v>
      </c>
      <c r="I229" s="70">
        <v>1.9585</v>
      </c>
      <c r="J229" s="70"/>
      <c r="K229" s="70">
        <v>0.0</v>
      </c>
      <c r="L229" s="70"/>
      <c r="M229" s="70">
        <v>1.2455</v>
      </c>
      <c r="N229" s="70">
        <v>1.393</v>
      </c>
      <c r="O229" s="70">
        <v>1.063</v>
      </c>
      <c r="P229" s="70">
        <v>1.3980000000000001</v>
      </c>
      <c r="Q229" s="70">
        <v>1.3795</v>
      </c>
      <c r="R229" s="70">
        <v>1.3630000000000002</v>
      </c>
      <c r="S229" s="70">
        <v>1.345</v>
      </c>
      <c r="T229" s="70">
        <v>2.1585</v>
      </c>
      <c r="U229" s="70">
        <v>1.0274</v>
      </c>
      <c r="V229" s="70">
        <v>0.0</v>
      </c>
      <c r="W229" s="70">
        <v>1.198</v>
      </c>
      <c r="X229" s="70">
        <v>0.0</v>
      </c>
      <c r="Y229" s="70">
        <v>994.0</v>
      </c>
      <c r="Z229" s="70">
        <v>2.31</v>
      </c>
      <c r="AA229" s="70">
        <v>1.23497</v>
      </c>
      <c r="AB229" s="70">
        <v>1.3847999999999998</v>
      </c>
      <c r="AC229" s="70">
        <v>1.6775</v>
      </c>
      <c r="AD229" s="70">
        <v>0.0</v>
      </c>
      <c r="AE229" s="70">
        <v>0.0</v>
      </c>
      <c r="AF229" s="70">
        <v>0.0</v>
      </c>
      <c r="AG229" s="70">
        <v>0.0</v>
      </c>
      <c r="AH229" s="70">
        <v>1.59596</v>
      </c>
      <c r="AI229" s="70">
        <v>1.095</v>
      </c>
      <c r="AJ229" s="70">
        <v>0.0</v>
      </c>
      <c r="AK229" s="70">
        <v>0.0</v>
      </c>
      <c r="AL229" s="70">
        <v>3.2395</v>
      </c>
      <c r="AM229" s="70">
        <v>1.1625</v>
      </c>
      <c r="AN229" s="70">
        <v>1.00345</v>
      </c>
      <c r="AO229" s="70">
        <v>1.0034999999999998</v>
      </c>
      <c r="AP229" s="70"/>
      <c r="AQ229" s="70"/>
      <c r="AR229" s="70"/>
      <c r="AS229" s="70"/>
      <c r="AT229" s="70"/>
      <c r="AU229" s="70"/>
      <c r="AV229" s="70"/>
      <c r="AW229" s="21"/>
      <c r="AX229" s="73">
        <v>24480.0</v>
      </c>
      <c r="AY229" s="73">
        <v>688.5</v>
      </c>
      <c r="AZ229" s="73">
        <v>8319.229007</v>
      </c>
      <c r="BA229" s="73">
        <v>25640.0</v>
      </c>
      <c r="BB229" s="73">
        <v>9360.0</v>
      </c>
      <c r="BC229" s="73">
        <v>13689.080217</v>
      </c>
      <c r="BD229" s="73"/>
      <c r="BE229" s="21"/>
      <c r="BF229" s="21"/>
      <c r="BG229" s="21">
        <v>3100074.42</v>
      </c>
      <c r="BH229" s="21"/>
      <c r="BI229" s="72"/>
      <c r="BJ229" s="21"/>
      <c r="BK229" s="72"/>
      <c r="BL229" s="21"/>
      <c r="BM229" s="72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</row>
    <row r="230" ht="15.75" customHeight="1">
      <c r="A230" s="56">
        <v>46021.0</v>
      </c>
      <c r="B230" s="70">
        <v>1473.1</v>
      </c>
      <c r="C230" s="70">
        <v>1534.0</v>
      </c>
      <c r="D230" s="70">
        <v>1491.0</v>
      </c>
      <c r="E230" s="70">
        <v>11.535</v>
      </c>
      <c r="F230" s="70"/>
      <c r="G230" s="70"/>
      <c r="H230" s="70">
        <v>2.3846000000000003</v>
      </c>
      <c r="I230" s="70">
        <v>1.9545</v>
      </c>
      <c r="J230" s="70"/>
      <c r="K230" s="70">
        <v>0.0</v>
      </c>
      <c r="L230" s="70"/>
      <c r="M230" s="70">
        <v>1.244</v>
      </c>
      <c r="N230" s="70">
        <v>1.3955000000000002</v>
      </c>
      <c r="O230" s="70">
        <v>1.063</v>
      </c>
      <c r="P230" s="70">
        <v>1.403</v>
      </c>
      <c r="Q230" s="70">
        <v>1.38</v>
      </c>
      <c r="R230" s="70">
        <v>1.36</v>
      </c>
      <c r="S230" s="70">
        <v>1.345</v>
      </c>
      <c r="T230" s="70">
        <v>2.142</v>
      </c>
      <c r="U230" s="70">
        <v>1.0274</v>
      </c>
      <c r="V230" s="70">
        <v>0.0</v>
      </c>
      <c r="W230" s="70">
        <v>1.1925</v>
      </c>
      <c r="X230" s="70">
        <v>0.0</v>
      </c>
      <c r="Y230" s="70">
        <v>999.9</v>
      </c>
      <c r="Z230" s="70">
        <v>2.3</v>
      </c>
      <c r="AA230" s="70">
        <v>1.23497</v>
      </c>
      <c r="AB230" s="70">
        <v>1.3859000000000001</v>
      </c>
      <c r="AC230" s="70">
        <v>1.6775</v>
      </c>
      <c r="AD230" s="70">
        <v>0.0</v>
      </c>
      <c r="AE230" s="70">
        <v>0.0</v>
      </c>
      <c r="AF230" s="70">
        <v>0.0</v>
      </c>
      <c r="AG230" s="70">
        <v>0.0</v>
      </c>
      <c r="AH230" s="70">
        <v>1.59596</v>
      </c>
      <c r="AI230" s="70">
        <v>1.0975</v>
      </c>
      <c r="AJ230" s="70">
        <v>0.0</v>
      </c>
      <c r="AK230" s="70">
        <v>0.0</v>
      </c>
      <c r="AL230" s="70">
        <v>3.2455000000000003</v>
      </c>
      <c r="AM230" s="70">
        <v>1.16</v>
      </c>
      <c r="AN230" s="70">
        <v>0.9961</v>
      </c>
      <c r="AO230" s="70">
        <v>1.005</v>
      </c>
      <c r="AP230" s="70"/>
      <c r="AQ230" s="70"/>
      <c r="AR230" s="70"/>
      <c r="AS230" s="70"/>
      <c r="AT230" s="70"/>
      <c r="AU230" s="70"/>
      <c r="AV230" s="70"/>
      <c r="AW230" s="21"/>
      <c r="AX230" s="73">
        <v>24460.0</v>
      </c>
      <c r="AY230" s="73">
        <v>672.0</v>
      </c>
      <c r="AZ230" s="73">
        <v>8150.260198</v>
      </c>
      <c r="BA230" s="73">
        <v>25560.0</v>
      </c>
      <c r="BB230" s="73">
        <v>9140.0</v>
      </c>
      <c r="BC230" s="73">
        <v>13451.181647</v>
      </c>
      <c r="BD230" s="73"/>
      <c r="BE230" s="21"/>
      <c r="BF230" s="21"/>
      <c r="BG230" s="21">
        <v>3051616.77</v>
      </c>
      <c r="BH230" s="21"/>
      <c r="BI230" s="72"/>
      <c r="BJ230" s="21"/>
      <c r="BK230" s="72"/>
      <c r="BL230" s="21"/>
      <c r="BM230" s="72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</row>
    <row r="231" ht="15.75" customHeight="1">
      <c r="A231" s="56">
        <v>46024.0</v>
      </c>
      <c r="B231" s="70">
        <v>1500.1</v>
      </c>
      <c r="C231" s="70">
        <v>1537.2</v>
      </c>
      <c r="D231" s="70">
        <v>1518.0</v>
      </c>
      <c r="E231" s="70">
        <v>11.6</v>
      </c>
      <c r="F231" s="70"/>
      <c r="G231" s="70"/>
      <c r="H231" s="70">
        <v>2.3846000000000003</v>
      </c>
      <c r="I231" s="70">
        <v>1.96</v>
      </c>
      <c r="J231" s="70"/>
      <c r="K231" s="70">
        <v>0.0</v>
      </c>
      <c r="L231" s="70"/>
      <c r="M231" s="70">
        <v>1.2435</v>
      </c>
      <c r="N231" s="70">
        <v>1.4019</v>
      </c>
      <c r="O231" s="70">
        <v>1.063</v>
      </c>
      <c r="P231" s="70">
        <v>1.4035</v>
      </c>
      <c r="Q231" s="70">
        <v>1.3755000000000002</v>
      </c>
      <c r="R231" s="70">
        <v>1.3630000000000002</v>
      </c>
      <c r="S231" s="70">
        <v>1.337</v>
      </c>
      <c r="T231" s="70">
        <v>2.1385</v>
      </c>
      <c r="U231" s="70">
        <v>1.0274</v>
      </c>
      <c r="V231" s="70">
        <v>0.0</v>
      </c>
      <c r="W231" s="70">
        <v>1.199</v>
      </c>
      <c r="X231" s="70">
        <v>0.0</v>
      </c>
      <c r="Y231" s="70">
        <v>1002.5</v>
      </c>
      <c r="Z231" s="70">
        <v>2.3194999999999997</v>
      </c>
      <c r="AA231" s="70">
        <v>1.23497</v>
      </c>
      <c r="AB231" s="70">
        <v>1.3912</v>
      </c>
      <c r="AC231" s="70">
        <v>1.6775</v>
      </c>
      <c r="AD231" s="70">
        <v>0.0</v>
      </c>
      <c r="AE231" s="70">
        <v>0.0</v>
      </c>
      <c r="AF231" s="70">
        <v>0.0</v>
      </c>
      <c r="AG231" s="70">
        <v>0.0</v>
      </c>
      <c r="AH231" s="70">
        <v>1.59596</v>
      </c>
      <c r="AI231" s="70">
        <v>1.0975</v>
      </c>
      <c r="AJ231" s="70">
        <v>0.0</v>
      </c>
      <c r="AK231" s="70">
        <v>0.0</v>
      </c>
      <c r="AL231" s="70">
        <v>3.234</v>
      </c>
      <c r="AM231" s="70">
        <v>1.161</v>
      </c>
      <c r="AN231" s="70">
        <v>1.0033</v>
      </c>
      <c r="AO231" s="70">
        <v>1.003</v>
      </c>
      <c r="AP231" s="70">
        <v>1.062</v>
      </c>
      <c r="AQ231" s="70">
        <v>0.9662999999999999</v>
      </c>
      <c r="AR231" s="70">
        <v>1.2045000000000001</v>
      </c>
      <c r="AS231" s="74">
        <v>1.0</v>
      </c>
      <c r="AT231" s="74">
        <v>1.0</v>
      </c>
      <c r="AU231" s="74">
        <v>1.0</v>
      </c>
      <c r="AV231" s="74">
        <v>1.0</v>
      </c>
      <c r="AW231" s="21"/>
      <c r="AX231" s="73">
        <v>25480.0</v>
      </c>
      <c r="AY231" s="73">
        <v>700.0</v>
      </c>
      <c r="AZ231" s="73">
        <v>8299.350323</v>
      </c>
      <c r="BA231" s="73">
        <v>25480.0</v>
      </c>
      <c r="BB231" s="73">
        <v>9420.0</v>
      </c>
      <c r="BC231" s="73">
        <v>13758.4673</v>
      </c>
      <c r="BD231" s="73"/>
      <c r="BE231" s="21"/>
      <c r="BF231" s="21"/>
      <c r="BG231" s="21">
        <v>3126292.19</v>
      </c>
      <c r="BH231" s="21"/>
      <c r="BI231" s="72"/>
      <c r="BJ231" s="21"/>
      <c r="BK231" s="72"/>
      <c r="BL231" s="21"/>
      <c r="BM231" s="72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</row>
    <row r="232" ht="15.75" customHeight="1">
      <c r="A232" s="56">
        <v>46027.0</v>
      </c>
      <c r="B232" s="70">
        <v>1496.8</v>
      </c>
      <c r="C232" s="70">
        <v>1620.0</v>
      </c>
      <c r="D232" s="70">
        <v>1520.0</v>
      </c>
      <c r="E232" s="70">
        <v>11.66</v>
      </c>
      <c r="F232" s="70"/>
      <c r="G232" s="70"/>
      <c r="H232" s="70">
        <v>2.3846000000000003</v>
      </c>
      <c r="I232" s="70">
        <v>1.9725</v>
      </c>
      <c r="J232" s="70"/>
      <c r="K232" s="70">
        <v>0.0</v>
      </c>
      <c r="L232" s="70"/>
      <c r="M232" s="70">
        <v>1.249</v>
      </c>
      <c r="N232" s="70">
        <v>1.4035</v>
      </c>
      <c r="O232" s="70">
        <v>1.063</v>
      </c>
      <c r="P232" s="70">
        <v>1.409</v>
      </c>
      <c r="Q232" s="70">
        <v>1.3805</v>
      </c>
      <c r="R232" s="70">
        <v>1.3615000000000002</v>
      </c>
      <c r="S232" s="70">
        <v>1.3430000000000002</v>
      </c>
      <c r="T232" s="70">
        <v>2.148</v>
      </c>
      <c r="U232" s="70">
        <v>1.0274</v>
      </c>
      <c r="V232" s="70">
        <v>0.0</v>
      </c>
      <c r="W232" s="70">
        <v>1.2025</v>
      </c>
      <c r="X232" s="70">
        <v>0.0</v>
      </c>
      <c r="Y232" s="70">
        <v>1002.9</v>
      </c>
      <c r="Z232" s="70">
        <v>2.3280000000000003</v>
      </c>
      <c r="AA232" s="70">
        <v>1.23497</v>
      </c>
      <c r="AB232" s="70">
        <v>1.395</v>
      </c>
      <c r="AC232" s="70">
        <v>1.6775</v>
      </c>
      <c r="AD232" s="70">
        <v>0.0</v>
      </c>
      <c r="AE232" s="70">
        <v>0.0</v>
      </c>
      <c r="AF232" s="70">
        <v>0.0</v>
      </c>
      <c r="AG232" s="70">
        <v>0.0</v>
      </c>
      <c r="AH232" s="70">
        <v>1.59596</v>
      </c>
      <c r="AI232" s="70">
        <v>1.1</v>
      </c>
      <c r="AJ232" s="70">
        <v>0.0</v>
      </c>
      <c r="AK232" s="70">
        <v>0.0</v>
      </c>
      <c r="AL232" s="70">
        <v>3.2525</v>
      </c>
      <c r="AM232" s="70">
        <v>1.1673099999999998</v>
      </c>
      <c r="AN232" s="70">
        <v>1.0070000000000001</v>
      </c>
      <c r="AO232" s="70">
        <v>1.0075</v>
      </c>
      <c r="AP232" s="70">
        <v>1.067</v>
      </c>
      <c r="AQ232" s="70">
        <v>0.9617</v>
      </c>
      <c r="AR232" s="70">
        <v>1.2045000000000001</v>
      </c>
      <c r="AS232" s="74">
        <v>1.0</v>
      </c>
      <c r="AT232" s="74">
        <v>1.0</v>
      </c>
      <c r="AU232" s="74">
        <v>1.0</v>
      </c>
      <c r="AV232" s="74">
        <v>1.0</v>
      </c>
      <c r="AW232" s="21">
        <v>100.0</v>
      </c>
      <c r="AX232" s="73">
        <v>24120.0</v>
      </c>
      <c r="AY232" s="73">
        <v>725.5</v>
      </c>
      <c r="AZ232" s="73">
        <v>8463.349462</v>
      </c>
      <c r="BA232" s="73">
        <v>27700.0</v>
      </c>
      <c r="BB232" s="73">
        <v>9400.0</v>
      </c>
      <c r="BC232" s="73">
        <v>13936.891227</v>
      </c>
      <c r="BD232" s="73"/>
      <c r="BE232" s="21"/>
      <c r="BF232" s="21"/>
      <c r="BG232" s="21">
        <v>3130196.92</v>
      </c>
      <c r="BH232" s="21"/>
      <c r="BI232" s="72"/>
      <c r="BJ232" s="21"/>
      <c r="BK232" s="72"/>
      <c r="BL232" s="21"/>
      <c r="BM232" s="72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</row>
    <row r="233" ht="15.75" customHeight="1">
      <c r="A233" s="56">
        <v>46028.0</v>
      </c>
      <c r="B233" s="70">
        <v>1505.0</v>
      </c>
      <c r="C233" s="70">
        <v>1560.0</v>
      </c>
      <c r="D233" s="70">
        <v>1520.0</v>
      </c>
      <c r="E233" s="70">
        <v>11.65</v>
      </c>
      <c r="F233" s="70"/>
      <c r="G233" s="70"/>
      <c r="H233" s="70">
        <v>2.3846000000000003</v>
      </c>
      <c r="I233" s="70">
        <v>1.973</v>
      </c>
      <c r="J233" s="70"/>
      <c r="K233" s="70">
        <v>0.0</v>
      </c>
      <c r="L233" s="70"/>
      <c r="M233" s="70">
        <v>1.249</v>
      </c>
      <c r="N233" s="70">
        <v>1.4035</v>
      </c>
      <c r="O233" s="70">
        <v>1.063</v>
      </c>
      <c r="P233" s="70">
        <v>1.4095</v>
      </c>
      <c r="Q233" s="70">
        <v>1.382</v>
      </c>
      <c r="R233" s="70">
        <v>1.365</v>
      </c>
      <c r="S233" s="70">
        <v>1.344</v>
      </c>
      <c r="T233" s="70">
        <v>2.15</v>
      </c>
      <c r="U233" s="70">
        <v>1.0274</v>
      </c>
      <c r="V233" s="70">
        <v>0.0</v>
      </c>
      <c r="W233" s="70">
        <v>1.1955</v>
      </c>
      <c r="X233" s="70">
        <v>0.0</v>
      </c>
      <c r="Y233" s="70">
        <v>1001.0</v>
      </c>
      <c r="Z233" s="70">
        <v>2.3285</v>
      </c>
      <c r="AA233" s="70">
        <v>1.23497</v>
      </c>
      <c r="AB233" s="70">
        <v>1.3946</v>
      </c>
      <c r="AC233" s="70">
        <v>1.6775</v>
      </c>
      <c r="AD233" s="70">
        <v>0.0</v>
      </c>
      <c r="AE233" s="70">
        <v>0.0</v>
      </c>
      <c r="AF233" s="70">
        <v>0.0</v>
      </c>
      <c r="AG233" s="70">
        <v>0.0</v>
      </c>
      <c r="AH233" s="70">
        <v>1.59596</v>
      </c>
      <c r="AI233" s="70">
        <v>1.1085</v>
      </c>
      <c r="AJ233" s="70">
        <v>0.0</v>
      </c>
      <c r="AK233" s="70">
        <v>0.0</v>
      </c>
      <c r="AL233" s="70">
        <v>3.2544999999999997</v>
      </c>
      <c r="AM233" s="70">
        <v>1.1654</v>
      </c>
      <c r="AN233" s="70">
        <v>1.00688</v>
      </c>
      <c r="AO233" s="70">
        <v>1.005</v>
      </c>
      <c r="AP233" s="70">
        <v>1.064</v>
      </c>
      <c r="AQ233" s="70">
        <v>0.9590000000000001</v>
      </c>
      <c r="AR233" s="70">
        <v>1.202</v>
      </c>
      <c r="AS233" s="74">
        <v>1.0</v>
      </c>
      <c r="AT233" s="74">
        <v>1.0</v>
      </c>
      <c r="AU233" s="74">
        <v>1.0</v>
      </c>
      <c r="AV233" s="74">
        <v>1.0</v>
      </c>
      <c r="AW233" s="21"/>
      <c r="AX233" s="73">
        <v>23980.0</v>
      </c>
      <c r="AY233" s="73">
        <v>733.5</v>
      </c>
      <c r="AZ233" s="73">
        <v>8418.622424</v>
      </c>
      <c r="BA233" s="73">
        <v>28340.0</v>
      </c>
      <c r="BB233" s="73">
        <v>9270.0</v>
      </c>
      <c r="BC233" s="73">
        <v>13966.628548</v>
      </c>
      <c r="BD233" s="73"/>
      <c r="BE233" s="21"/>
      <c r="BF233" s="21"/>
      <c r="BG233" s="21">
        <v>3112376.81</v>
      </c>
      <c r="BH233" s="21"/>
      <c r="BI233" s="72"/>
      <c r="BJ233" s="21"/>
      <c r="BK233" s="72"/>
      <c r="BL233" s="21"/>
      <c r="BM233" s="72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</row>
    <row r="234" ht="15.75" customHeight="1">
      <c r="A234" s="56">
        <v>46029.0</v>
      </c>
      <c r="B234" s="70">
        <v>1507.0</v>
      </c>
      <c r="C234" s="70">
        <v>1561.7</v>
      </c>
      <c r="D234" s="70">
        <v>1514.9</v>
      </c>
      <c r="E234" s="70">
        <v>11.72</v>
      </c>
      <c r="F234" s="70"/>
      <c r="G234" s="70"/>
      <c r="H234" s="70">
        <v>2.3846000000000003</v>
      </c>
      <c r="I234" s="70">
        <v>1.976</v>
      </c>
      <c r="J234" s="70"/>
      <c r="K234" s="70">
        <v>0.0</v>
      </c>
      <c r="L234" s="70"/>
      <c r="M234" s="70">
        <v>1.249</v>
      </c>
      <c r="N234" s="70">
        <v>1.4036000000000002</v>
      </c>
      <c r="O234" s="70">
        <v>1.063</v>
      </c>
      <c r="P234" s="70">
        <v>1.4115</v>
      </c>
      <c r="Q234" s="70">
        <v>1.385</v>
      </c>
      <c r="R234" s="70">
        <v>1.365</v>
      </c>
      <c r="S234" s="70">
        <v>1.345</v>
      </c>
      <c r="T234" s="70">
        <v>2.149</v>
      </c>
      <c r="U234" s="70">
        <v>1.0274</v>
      </c>
      <c r="V234" s="70">
        <v>0.0</v>
      </c>
      <c r="W234" s="70">
        <v>1.1975</v>
      </c>
      <c r="X234" s="70">
        <v>0.0</v>
      </c>
      <c r="Y234" s="70">
        <v>1003.0</v>
      </c>
      <c r="Z234" s="70">
        <v>2.336</v>
      </c>
      <c r="AA234" s="70">
        <v>1.23497</v>
      </c>
      <c r="AB234" s="70">
        <v>1.3952</v>
      </c>
      <c r="AC234" s="70">
        <v>1.6775</v>
      </c>
      <c r="AD234" s="70">
        <v>0.0</v>
      </c>
      <c r="AE234" s="70">
        <v>0.0</v>
      </c>
      <c r="AF234" s="70">
        <v>0.0</v>
      </c>
      <c r="AG234" s="70">
        <v>0.0</v>
      </c>
      <c r="AH234" s="70">
        <v>1.59596</v>
      </c>
      <c r="AI234" s="70">
        <v>1.1135</v>
      </c>
      <c r="AJ234" s="70">
        <v>0.0</v>
      </c>
      <c r="AK234" s="70">
        <v>0.0</v>
      </c>
      <c r="AL234" s="70">
        <v>3.2625</v>
      </c>
      <c r="AM234" s="70">
        <v>1.169</v>
      </c>
      <c r="AN234" s="70">
        <v>1.0087000000000002</v>
      </c>
      <c r="AO234" s="70">
        <v>1.014</v>
      </c>
      <c r="AP234" s="70">
        <v>1.068</v>
      </c>
      <c r="AQ234" s="70">
        <v>0.9634999999999999</v>
      </c>
      <c r="AR234" s="70">
        <v>1.206</v>
      </c>
      <c r="AS234" s="74">
        <v>1.0</v>
      </c>
      <c r="AT234" s="74">
        <v>1.0</v>
      </c>
      <c r="AU234" s="74">
        <v>1.0</v>
      </c>
      <c r="AV234" s="74">
        <v>1.0</v>
      </c>
      <c r="AW234" s="21"/>
      <c r="AX234" s="73">
        <v>22600.0</v>
      </c>
      <c r="AY234" s="73">
        <v>756.5</v>
      </c>
      <c r="AZ234" s="73">
        <v>8289.410982</v>
      </c>
      <c r="BA234" s="73">
        <v>27500.0</v>
      </c>
      <c r="BB234" s="73">
        <v>9080.0</v>
      </c>
      <c r="BC234" s="73">
        <v>13847.679263</v>
      </c>
      <c r="BD234" s="73"/>
      <c r="BE234" s="21"/>
      <c r="BF234" s="21"/>
      <c r="BG234" s="21">
        <v>3013957.34</v>
      </c>
      <c r="BH234" s="21"/>
      <c r="BI234" s="72"/>
      <c r="BJ234" s="21"/>
      <c r="BK234" s="72"/>
      <c r="BL234" s="21"/>
      <c r="BM234" s="72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</row>
    <row r="235" ht="15.75" customHeight="1">
      <c r="A235" s="56">
        <v>46030.0</v>
      </c>
      <c r="B235" s="70">
        <v>1503.0</v>
      </c>
      <c r="C235" s="70">
        <v>1564.4</v>
      </c>
      <c r="D235" s="70">
        <v>1505.0</v>
      </c>
      <c r="E235" s="70">
        <v>11.715</v>
      </c>
      <c r="F235" s="70"/>
      <c r="G235" s="70"/>
      <c r="H235" s="70">
        <v>2.3846000000000003</v>
      </c>
      <c r="I235" s="70">
        <v>1.979</v>
      </c>
      <c r="J235" s="70"/>
      <c r="K235" s="70">
        <v>0.0</v>
      </c>
      <c r="L235" s="70"/>
      <c r="M235" s="70">
        <v>1.251</v>
      </c>
      <c r="N235" s="70">
        <v>1.4055600000000001</v>
      </c>
      <c r="O235" s="70">
        <v>1.063</v>
      </c>
      <c r="P235" s="70">
        <v>1.4180000000000001</v>
      </c>
      <c r="Q235" s="70">
        <v>1.39</v>
      </c>
      <c r="R235" s="70">
        <v>1.3685</v>
      </c>
      <c r="S235" s="70">
        <v>1.354</v>
      </c>
      <c r="T235" s="70">
        <v>2.1585</v>
      </c>
      <c r="U235" s="70">
        <v>1.0274</v>
      </c>
      <c r="V235" s="70">
        <v>0.0</v>
      </c>
      <c r="W235" s="70">
        <v>1.209</v>
      </c>
      <c r="X235" s="70">
        <v>0.0</v>
      </c>
      <c r="Y235" s="70">
        <v>997.9</v>
      </c>
      <c r="Z235" s="70">
        <v>2.3355</v>
      </c>
      <c r="AA235" s="70">
        <v>1.23497</v>
      </c>
      <c r="AB235" s="70">
        <v>1.3965</v>
      </c>
      <c r="AC235" s="70">
        <v>1.6775</v>
      </c>
      <c r="AD235" s="70">
        <v>0.0</v>
      </c>
      <c r="AE235" s="70">
        <v>0.0</v>
      </c>
      <c r="AF235" s="70">
        <v>0.0</v>
      </c>
      <c r="AG235" s="70">
        <v>0.0</v>
      </c>
      <c r="AH235" s="70">
        <v>1.59596</v>
      </c>
      <c r="AI235" s="70">
        <v>1.115</v>
      </c>
      <c r="AJ235" s="70">
        <v>0.0</v>
      </c>
      <c r="AK235" s="70">
        <v>0.0</v>
      </c>
      <c r="AL235" s="70">
        <v>3.2705</v>
      </c>
      <c r="AM235" s="70">
        <v>1.17</v>
      </c>
      <c r="AN235" s="70">
        <v>1.0095</v>
      </c>
      <c r="AO235" s="70">
        <v>1.0134999999999998</v>
      </c>
      <c r="AP235" s="70">
        <v>1.0685</v>
      </c>
      <c r="AQ235" s="70">
        <v>0.9634999999999999</v>
      </c>
      <c r="AR235" s="70">
        <v>1.20655</v>
      </c>
      <c r="AS235" s="74">
        <v>1.0</v>
      </c>
      <c r="AT235" s="74">
        <v>1.0</v>
      </c>
      <c r="AU235" s="74">
        <v>1.0</v>
      </c>
      <c r="AV235" s="74">
        <v>1.0</v>
      </c>
      <c r="AW235" s="21"/>
      <c r="AX235" s="73">
        <v>23200.0</v>
      </c>
      <c r="AY235" s="73">
        <v>792.5</v>
      </c>
      <c r="AZ235" s="73">
        <v>8478.258474</v>
      </c>
      <c r="BA235" s="73">
        <v>27660.0</v>
      </c>
      <c r="BB235" s="73">
        <v>9405.0</v>
      </c>
      <c r="BC235" s="73">
        <v>14283.826642</v>
      </c>
      <c r="BD235" s="73"/>
      <c r="BE235" s="21"/>
      <c r="BF235" s="21"/>
      <c r="BG235" s="21">
        <v>3074879.73</v>
      </c>
      <c r="BH235" s="21"/>
      <c r="BI235" s="72"/>
      <c r="BJ235" s="21"/>
      <c r="BK235" s="72"/>
      <c r="BL235" s="21"/>
      <c r="BM235" s="72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</row>
    <row r="236" ht="15.75" customHeight="1">
      <c r="A236" s="56">
        <v>46031.0</v>
      </c>
      <c r="B236" s="70">
        <v>1519.0</v>
      </c>
      <c r="C236" s="70">
        <v>1556.6</v>
      </c>
      <c r="D236" s="70">
        <v>1508.8</v>
      </c>
      <c r="E236" s="70">
        <v>11.79</v>
      </c>
      <c r="F236" s="70"/>
      <c r="G236" s="70"/>
      <c r="H236" s="70">
        <v>2.3846000000000003</v>
      </c>
      <c r="I236" s="70">
        <v>1.986</v>
      </c>
      <c r="J236" s="70"/>
      <c r="K236" s="70">
        <v>0.0</v>
      </c>
      <c r="L236" s="70"/>
      <c r="M236" s="70">
        <v>1.252</v>
      </c>
      <c r="N236" s="70">
        <v>1.40805</v>
      </c>
      <c r="O236" s="70">
        <v>1.063</v>
      </c>
      <c r="P236" s="70">
        <v>1.4225</v>
      </c>
      <c r="Q236" s="70">
        <v>1.399</v>
      </c>
      <c r="R236" s="70">
        <v>1.3815</v>
      </c>
      <c r="S236" s="70">
        <v>1.365</v>
      </c>
      <c r="T236" s="70">
        <v>2.1625</v>
      </c>
      <c r="U236" s="70">
        <v>1.0274</v>
      </c>
      <c r="V236" s="70">
        <v>0.0</v>
      </c>
      <c r="W236" s="70">
        <v>1.202</v>
      </c>
      <c r="X236" s="70">
        <v>0.0</v>
      </c>
      <c r="Y236" s="70">
        <v>878.7</v>
      </c>
      <c r="Z236" s="70">
        <v>2.3475</v>
      </c>
      <c r="AA236" s="70">
        <v>1.23497</v>
      </c>
      <c r="AB236" s="70">
        <v>1.399</v>
      </c>
      <c r="AC236" s="70">
        <v>1.6775</v>
      </c>
      <c r="AD236" s="70">
        <v>0.0</v>
      </c>
      <c r="AE236" s="70">
        <v>0.0</v>
      </c>
      <c r="AF236" s="70">
        <v>0.0</v>
      </c>
      <c r="AG236" s="70">
        <v>0.0</v>
      </c>
      <c r="AH236" s="70">
        <v>1.59596</v>
      </c>
      <c r="AI236" s="70">
        <v>1.129</v>
      </c>
      <c r="AJ236" s="70">
        <v>0.0</v>
      </c>
      <c r="AK236" s="70">
        <v>0.0</v>
      </c>
      <c r="AL236" s="70">
        <v>3.29</v>
      </c>
      <c r="AM236" s="70">
        <v>1.172</v>
      </c>
      <c r="AN236" s="70">
        <v>1.0117</v>
      </c>
      <c r="AO236" s="70">
        <v>1.018</v>
      </c>
      <c r="AP236" s="70">
        <v>1.0685</v>
      </c>
      <c r="AQ236" s="70">
        <v>0.9690000000000001</v>
      </c>
      <c r="AR236" s="70">
        <v>1.208</v>
      </c>
      <c r="AS236" s="74">
        <v>1.0</v>
      </c>
      <c r="AT236" s="74">
        <v>1.0</v>
      </c>
      <c r="AU236" s="74">
        <v>1.0</v>
      </c>
      <c r="AV236" s="74">
        <v>1.0</v>
      </c>
      <c r="AW236" s="21"/>
      <c r="AX236" s="73">
        <v>23550.0</v>
      </c>
      <c r="AY236" s="73">
        <v>801.5</v>
      </c>
      <c r="AZ236" s="73">
        <v>8517.02367</v>
      </c>
      <c r="BA236" s="73">
        <v>27780.0</v>
      </c>
      <c r="BB236" s="73">
        <v>9615.0</v>
      </c>
      <c r="BC236" s="73">
        <v>14402.775927</v>
      </c>
      <c r="BD236" s="73"/>
      <c r="BE236" s="21"/>
      <c r="BF236" s="21"/>
      <c r="BG236" s="21">
        <v>3089461.07</v>
      </c>
      <c r="BH236" s="21"/>
      <c r="BI236" s="72"/>
      <c r="BJ236" s="21"/>
      <c r="BK236" s="72"/>
      <c r="BL236" s="21"/>
      <c r="BM236" s="72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</row>
    <row r="237" ht="15.75" customHeight="1">
      <c r="A237" s="56">
        <v>46034.0</v>
      </c>
      <c r="B237" s="70">
        <v>1504.7</v>
      </c>
      <c r="C237" s="70">
        <v>1525.0</v>
      </c>
      <c r="D237" s="70">
        <v>1488.0</v>
      </c>
      <c r="E237" s="70">
        <v>11.775</v>
      </c>
      <c r="F237" s="70"/>
      <c r="G237" s="70"/>
      <c r="H237" s="70">
        <v>2.3846000000000003</v>
      </c>
      <c r="I237" s="70">
        <v>1.9845</v>
      </c>
      <c r="J237" s="70"/>
      <c r="K237" s="70">
        <v>0.0</v>
      </c>
      <c r="L237" s="70"/>
      <c r="M237" s="70">
        <v>1.249</v>
      </c>
      <c r="N237" s="70">
        <v>1.4071</v>
      </c>
      <c r="O237" s="70">
        <v>1.063</v>
      </c>
      <c r="P237" s="70">
        <v>1.421</v>
      </c>
      <c r="Q237" s="70">
        <v>1.4</v>
      </c>
      <c r="R237" s="70">
        <v>1.383</v>
      </c>
      <c r="S237" s="70">
        <v>1.3635</v>
      </c>
      <c r="T237" s="70">
        <v>2.167</v>
      </c>
      <c r="U237" s="70">
        <v>1.0274</v>
      </c>
      <c r="V237" s="70">
        <v>0.0</v>
      </c>
      <c r="W237" s="70">
        <v>1.204</v>
      </c>
      <c r="X237" s="70">
        <v>0.0</v>
      </c>
      <c r="Y237" s="70">
        <v>873.0</v>
      </c>
      <c r="Z237" s="70">
        <v>2.3495</v>
      </c>
      <c r="AA237" s="70">
        <v>1.23497</v>
      </c>
      <c r="AB237" s="70">
        <v>1.3997</v>
      </c>
      <c r="AC237" s="70">
        <v>1.6775</v>
      </c>
      <c r="AD237" s="70">
        <v>0.0</v>
      </c>
      <c r="AE237" s="70">
        <v>0.0</v>
      </c>
      <c r="AF237" s="70">
        <v>0.0</v>
      </c>
      <c r="AG237" s="70">
        <v>0.0</v>
      </c>
      <c r="AH237" s="70">
        <v>1.59596</v>
      </c>
      <c r="AI237" s="70">
        <v>1.1320000000000001</v>
      </c>
      <c r="AJ237" s="70">
        <v>0.0</v>
      </c>
      <c r="AK237" s="70">
        <v>0.0</v>
      </c>
      <c r="AL237" s="70">
        <v>3.292</v>
      </c>
      <c r="AM237" s="70">
        <v>1.1715</v>
      </c>
      <c r="AN237" s="70">
        <v>1.011</v>
      </c>
      <c r="AO237" s="70">
        <v>1.018</v>
      </c>
      <c r="AP237" s="70">
        <v>1.067</v>
      </c>
      <c r="AQ237" s="70">
        <v>0.9684999999999999</v>
      </c>
      <c r="AR237" s="70">
        <v>1.20779</v>
      </c>
      <c r="AS237" s="74">
        <v>1.0</v>
      </c>
      <c r="AT237" s="74">
        <v>1.0</v>
      </c>
      <c r="AU237" s="74">
        <v>1.0</v>
      </c>
      <c r="AV237" s="74">
        <v>1.0</v>
      </c>
      <c r="AW237" s="21"/>
      <c r="AX237" s="73">
        <v>24490.0</v>
      </c>
      <c r="AY237" s="73">
        <v>788.5</v>
      </c>
      <c r="AZ237" s="73">
        <v>8392.43292</v>
      </c>
      <c r="BA237" s="73">
        <v>27320.0</v>
      </c>
      <c r="BB237" s="73">
        <v>9695.0</v>
      </c>
      <c r="BC237" s="73">
        <v>14363.126165</v>
      </c>
      <c r="BD237" s="73"/>
      <c r="BE237" s="21"/>
      <c r="BF237" s="21"/>
      <c r="BG237" s="21">
        <v>3076946.7</v>
      </c>
      <c r="BH237" s="21"/>
      <c r="BI237" s="72"/>
      <c r="BJ237" s="21"/>
      <c r="BK237" s="72"/>
      <c r="BL237" s="21"/>
      <c r="BM237" s="72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</row>
    <row r="238" ht="15.75" customHeight="1">
      <c r="A238" s="56">
        <v>46035.0</v>
      </c>
      <c r="B238" s="70">
        <v>1510.0</v>
      </c>
      <c r="C238" s="70">
        <v>1525.0</v>
      </c>
      <c r="D238" s="70">
        <v>1495.0</v>
      </c>
      <c r="E238" s="70">
        <v>11.77</v>
      </c>
      <c r="F238" s="70"/>
      <c r="G238" s="70"/>
      <c r="H238" s="70">
        <v>2.3846000000000003</v>
      </c>
      <c r="I238" s="70">
        <v>1.984</v>
      </c>
      <c r="J238" s="70"/>
      <c r="K238" s="70">
        <v>0.0</v>
      </c>
      <c r="L238" s="70"/>
      <c r="M238" s="70">
        <v>1.244</v>
      </c>
      <c r="N238" s="70">
        <v>1.4075</v>
      </c>
      <c r="O238" s="70">
        <v>1.063</v>
      </c>
      <c r="P238" s="70">
        <v>1.421</v>
      </c>
      <c r="Q238" s="70">
        <v>1.4</v>
      </c>
      <c r="R238" s="70">
        <v>1.3765</v>
      </c>
      <c r="S238" s="70">
        <v>1.3559999999999999</v>
      </c>
      <c r="T238" s="70">
        <v>2.169</v>
      </c>
      <c r="U238" s="70">
        <v>1.0274</v>
      </c>
      <c r="V238" s="70">
        <v>0.0</v>
      </c>
      <c r="W238" s="70">
        <v>1.1895</v>
      </c>
      <c r="X238" s="70">
        <v>0.0</v>
      </c>
      <c r="Y238" s="70">
        <v>878.9</v>
      </c>
      <c r="Z238" s="70">
        <v>2.3480000000000003</v>
      </c>
      <c r="AA238" s="70">
        <v>1.23497</v>
      </c>
      <c r="AB238" s="70">
        <v>1.3994</v>
      </c>
      <c r="AC238" s="70">
        <v>1.6775</v>
      </c>
      <c r="AD238" s="70">
        <v>0.0</v>
      </c>
      <c r="AE238" s="70">
        <v>0.0</v>
      </c>
      <c r="AF238" s="70">
        <v>0.0</v>
      </c>
      <c r="AG238" s="70">
        <v>0.0</v>
      </c>
      <c r="AH238" s="70">
        <v>1.59596</v>
      </c>
      <c r="AI238" s="70">
        <v>1.1265</v>
      </c>
      <c r="AJ238" s="70">
        <v>0.0</v>
      </c>
      <c r="AK238" s="70">
        <v>0.0</v>
      </c>
      <c r="AL238" s="70">
        <v>3.282</v>
      </c>
      <c r="AM238" s="70">
        <v>1.1655</v>
      </c>
      <c r="AN238" s="70">
        <v>1.0066899999999999</v>
      </c>
      <c r="AO238" s="70">
        <v>1.0169</v>
      </c>
      <c r="AP238" s="70">
        <v>1.0615</v>
      </c>
      <c r="AQ238" s="70">
        <v>0.97</v>
      </c>
      <c r="AR238" s="70">
        <v>1.20749</v>
      </c>
      <c r="AS238" s="74">
        <v>1.0</v>
      </c>
      <c r="AT238" s="74">
        <v>1.0</v>
      </c>
      <c r="AU238" s="74">
        <v>1.0</v>
      </c>
      <c r="AV238" s="74">
        <v>1.0</v>
      </c>
      <c r="AW238" s="21"/>
      <c r="AX238" s="73">
        <v>25280.0</v>
      </c>
      <c r="AY238" s="73">
        <v>764.0</v>
      </c>
      <c r="AZ238" s="73">
        <v>8118.33327</v>
      </c>
      <c r="BA238" s="73">
        <v>26420.0</v>
      </c>
      <c r="BB238" s="73">
        <v>9475.0</v>
      </c>
      <c r="BC238" s="73">
        <v>14085.577833</v>
      </c>
      <c r="BD238" s="73"/>
      <c r="BE238" s="21"/>
      <c r="BF238" s="21"/>
      <c r="BG238" s="21">
        <v>3036292.52</v>
      </c>
      <c r="BH238" s="21"/>
      <c r="BI238" s="72"/>
      <c r="BJ238" s="21"/>
      <c r="BK238" s="72"/>
      <c r="BL238" s="21"/>
      <c r="BM238" s="72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</row>
    <row r="239" ht="15.75" customHeight="1">
      <c r="A239" s="56">
        <v>46036.0</v>
      </c>
      <c r="B239" s="70">
        <v>1487.6</v>
      </c>
      <c r="C239" s="70">
        <v>1526.4</v>
      </c>
      <c r="D239" s="70">
        <v>1490.0</v>
      </c>
      <c r="E239" s="70">
        <v>11.77</v>
      </c>
      <c r="F239" s="70"/>
      <c r="G239" s="70"/>
      <c r="H239" s="70">
        <v>2.3846000000000003</v>
      </c>
      <c r="I239" s="70">
        <v>1.9875</v>
      </c>
      <c r="J239" s="70"/>
      <c r="K239" s="70">
        <v>0.0</v>
      </c>
      <c r="L239" s="70"/>
      <c r="M239" s="70">
        <v>1.2475</v>
      </c>
      <c r="N239" s="70">
        <v>1.4084999999999999</v>
      </c>
      <c r="O239" s="70">
        <v>1.063</v>
      </c>
      <c r="P239" s="70">
        <v>1.422</v>
      </c>
      <c r="Q239" s="70">
        <v>1.4040000000000001</v>
      </c>
      <c r="R239" s="70">
        <v>1.3855000000000002</v>
      </c>
      <c r="S239" s="70">
        <v>1.3625</v>
      </c>
      <c r="T239" s="70">
        <v>2.175</v>
      </c>
      <c r="U239" s="70">
        <v>1.0274</v>
      </c>
      <c r="V239" s="70">
        <v>0.0</v>
      </c>
      <c r="W239" s="70">
        <v>1.1915</v>
      </c>
      <c r="X239" s="70">
        <v>0.0</v>
      </c>
      <c r="Y239" s="70">
        <v>873.3</v>
      </c>
      <c r="Z239" s="70">
        <v>2.35</v>
      </c>
      <c r="AA239" s="70">
        <v>1.23497</v>
      </c>
      <c r="AB239" s="70">
        <v>1.4003899999999998</v>
      </c>
      <c r="AC239" s="70">
        <v>1.6775</v>
      </c>
      <c r="AD239" s="70">
        <v>0.0</v>
      </c>
      <c r="AE239" s="70">
        <v>0.0</v>
      </c>
      <c r="AF239" s="70">
        <v>0.0</v>
      </c>
      <c r="AG239" s="70">
        <v>0.0</v>
      </c>
      <c r="AH239" s="70">
        <v>1.59596</v>
      </c>
      <c r="AI239" s="70">
        <v>1.14</v>
      </c>
      <c r="AJ239" s="70">
        <v>0.0</v>
      </c>
      <c r="AK239" s="70">
        <v>0.0</v>
      </c>
      <c r="AL239" s="70">
        <v>3.2875</v>
      </c>
      <c r="AM239" s="70">
        <v>1.1667100000000001</v>
      </c>
      <c r="AN239" s="70">
        <v>1.0083</v>
      </c>
      <c r="AO239" s="70">
        <v>1.018</v>
      </c>
      <c r="AP239" s="70">
        <v>1.067</v>
      </c>
      <c r="AQ239" s="70">
        <v>0.9790000000000001</v>
      </c>
      <c r="AR239" s="70">
        <v>1.20839</v>
      </c>
      <c r="AS239" s="74">
        <v>1.0</v>
      </c>
      <c r="AT239" s="74">
        <v>1.0</v>
      </c>
      <c r="AU239" s="74">
        <v>1.0</v>
      </c>
      <c r="AV239" s="74">
        <v>1.0</v>
      </c>
      <c r="AW239" s="21"/>
      <c r="AX239" s="73">
        <v>25080.0</v>
      </c>
      <c r="AY239" s="73">
        <v>758.0</v>
      </c>
      <c r="AZ239" s="73">
        <v>7739.57739</v>
      </c>
      <c r="BA239" s="73">
        <v>26360.0</v>
      </c>
      <c r="BB239" s="73">
        <v>9010.0</v>
      </c>
      <c r="BC239" s="73">
        <v>13698.992657</v>
      </c>
      <c r="BD239" s="73"/>
      <c r="BE239" s="21"/>
      <c r="BF239" s="21"/>
      <c r="BG239" s="21">
        <v>2950111.29</v>
      </c>
      <c r="BH239" s="21"/>
      <c r="BI239" s="72"/>
      <c r="BJ239" s="21"/>
      <c r="BK239" s="72"/>
      <c r="BL239" s="21"/>
      <c r="BM239" s="72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</row>
    <row r="240" ht="15.75" customHeight="1">
      <c r="A240" s="56">
        <v>46037.0</v>
      </c>
      <c r="B240" s="70">
        <v>1492.0</v>
      </c>
      <c r="C240" s="70">
        <v>1525.0</v>
      </c>
      <c r="D240" s="70">
        <v>1484.0</v>
      </c>
      <c r="E240" s="70">
        <v>11.74</v>
      </c>
      <c r="F240" s="70"/>
      <c r="G240" s="70"/>
      <c r="H240" s="70">
        <v>2.3846000000000003</v>
      </c>
      <c r="I240" s="70">
        <v>1.984</v>
      </c>
      <c r="J240" s="70"/>
      <c r="K240" s="70">
        <v>0.0</v>
      </c>
      <c r="L240" s="70"/>
      <c r="M240" s="70">
        <v>1.2429999999999999</v>
      </c>
      <c r="N240" s="70">
        <v>1.4071</v>
      </c>
      <c r="O240" s="70">
        <v>1.063</v>
      </c>
      <c r="P240" s="70">
        <v>1.4215</v>
      </c>
      <c r="Q240" s="70">
        <v>1.402</v>
      </c>
      <c r="R240" s="70">
        <v>1.38</v>
      </c>
      <c r="S240" s="70">
        <v>1.3544999999999998</v>
      </c>
      <c r="T240" s="70">
        <v>2.1630000000000003</v>
      </c>
      <c r="U240" s="70">
        <v>1.0274</v>
      </c>
      <c r="V240" s="70">
        <v>0.0</v>
      </c>
      <c r="W240" s="70">
        <v>1.193</v>
      </c>
      <c r="X240" s="70">
        <v>0.0</v>
      </c>
      <c r="Y240" s="70">
        <v>871.0</v>
      </c>
      <c r="Z240" s="70">
        <v>2.342</v>
      </c>
      <c r="AA240" s="70">
        <v>1.23497</v>
      </c>
      <c r="AB240" s="70">
        <v>1.4003999999999999</v>
      </c>
      <c r="AC240" s="70">
        <v>1.6775</v>
      </c>
      <c r="AD240" s="70">
        <v>0.0</v>
      </c>
      <c r="AE240" s="70">
        <v>0.0</v>
      </c>
      <c r="AF240" s="70">
        <v>0.0</v>
      </c>
      <c r="AG240" s="70">
        <v>0.0</v>
      </c>
      <c r="AH240" s="70">
        <v>1.59596</v>
      </c>
      <c r="AI240" s="70">
        <v>1.147</v>
      </c>
      <c r="AJ240" s="70">
        <v>0.0</v>
      </c>
      <c r="AK240" s="70">
        <v>0.0</v>
      </c>
      <c r="AL240" s="70">
        <v>3.2815</v>
      </c>
      <c r="AM240" s="70">
        <v>1.1629</v>
      </c>
      <c r="AN240" s="70">
        <v>1.0055</v>
      </c>
      <c r="AO240" s="70">
        <v>1.015</v>
      </c>
      <c r="AP240" s="70">
        <v>1.0675</v>
      </c>
      <c r="AQ240" s="70">
        <v>0.9684999999999999</v>
      </c>
      <c r="AR240" s="70">
        <v>1.20375</v>
      </c>
      <c r="AS240" s="74">
        <v>1.0</v>
      </c>
      <c r="AT240" s="74">
        <v>1.0</v>
      </c>
      <c r="AU240" s="74">
        <v>1.0</v>
      </c>
      <c r="AV240" s="74">
        <v>1.0</v>
      </c>
      <c r="AW240" s="21"/>
      <c r="AX240" s="73">
        <v>24810.0</v>
      </c>
      <c r="AY240" s="73">
        <v>785.0</v>
      </c>
      <c r="AZ240" s="73">
        <v>7824.2991</v>
      </c>
      <c r="BA240" s="73">
        <v>26480.0</v>
      </c>
      <c r="BB240" s="73">
        <v>8800.0</v>
      </c>
      <c r="BC240" s="73">
        <v>13500.743849</v>
      </c>
      <c r="BD240" s="73"/>
      <c r="BE240" s="21"/>
      <c r="BF240" s="21"/>
      <c r="BG240" s="21">
        <v>2926727.13</v>
      </c>
      <c r="BH240" s="21"/>
      <c r="BI240" s="72"/>
      <c r="BJ240" s="21"/>
      <c r="BK240" s="72"/>
      <c r="BL240" s="21"/>
      <c r="BM240" s="72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</row>
    <row r="241" ht="15.75" customHeight="1">
      <c r="A241" s="56">
        <v>46038.0</v>
      </c>
      <c r="B241" s="70">
        <v>1493.0</v>
      </c>
      <c r="C241" s="70">
        <v>1525.0</v>
      </c>
      <c r="D241" s="70">
        <v>1480.0</v>
      </c>
      <c r="E241" s="70">
        <v>11.74</v>
      </c>
      <c r="F241" s="70"/>
      <c r="G241" s="70"/>
      <c r="H241" s="70">
        <v>2.3846000000000003</v>
      </c>
      <c r="I241" s="70">
        <v>1.9845</v>
      </c>
      <c r="J241" s="70"/>
      <c r="K241" s="70">
        <v>0.0</v>
      </c>
      <c r="L241" s="70"/>
      <c r="M241" s="70">
        <v>1.2445</v>
      </c>
      <c r="N241" s="70">
        <v>1.41176</v>
      </c>
      <c r="O241" s="70">
        <v>1.063</v>
      </c>
      <c r="P241" s="70">
        <v>1.4255000000000002</v>
      </c>
      <c r="Q241" s="70">
        <v>1.4075</v>
      </c>
      <c r="R241" s="70">
        <v>1.3869999999999998</v>
      </c>
      <c r="S241" s="70">
        <v>1.361</v>
      </c>
      <c r="T241" s="70">
        <v>2.156</v>
      </c>
      <c r="U241" s="70">
        <v>1.0274</v>
      </c>
      <c r="V241" s="70">
        <v>0.0</v>
      </c>
      <c r="W241" s="70">
        <v>1.1915</v>
      </c>
      <c r="X241" s="70">
        <v>0.0</v>
      </c>
      <c r="Y241" s="70">
        <v>873.0</v>
      </c>
      <c r="Z241" s="70">
        <v>2.34</v>
      </c>
      <c r="AA241" s="70">
        <v>1.23497</v>
      </c>
      <c r="AB241" s="70">
        <v>1.4062000000000001</v>
      </c>
      <c r="AC241" s="70">
        <v>1.6775</v>
      </c>
      <c r="AD241" s="70">
        <v>0.0</v>
      </c>
      <c r="AE241" s="70">
        <v>0.0</v>
      </c>
      <c r="AF241" s="70">
        <v>0.0</v>
      </c>
      <c r="AG241" s="70">
        <v>0.0</v>
      </c>
      <c r="AH241" s="70">
        <v>1.59596</v>
      </c>
      <c r="AI241" s="70">
        <v>1.143</v>
      </c>
      <c r="AJ241" s="70">
        <v>0.0</v>
      </c>
      <c r="AK241" s="70">
        <v>0.0</v>
      </c>
      <c r="AL241" s="70">
        <v>3.284</v>
      </c>
      <c r="AM241" s="70">
        <v>1.163</v>
      </c>
      <c r="AN241" s="70">
        <v>1.0075</v>
      </c>
      <c r="AO241" s="70">
        <v>1.0164</v>
      </c>
      <c r="AP241" s="70">
        <v>1.0695000000000001</v>
      </c>
      <c r="AQ241" s="70">
        <v>0.9670000000000001</v>
      </c>
      <c r="AR241" s="70">
        <v>1.2087</v>
      </c>
      <c r="AS241" s="74">
        <v>1.0</v>
      </c>
      <c r="AT241" s="74">
        <v>1.0</v>
      </c>
      <c r="AU241" s="74">
        <v>1.0</v>
      </c>
      <c r="AV241" s="74">
        <v>1.0</v>
      </c>
      <c r="AW241" s="21"/>
      <c r="AX241" s="73">
        <v>24520.0</v>
      </c>
      <c r="AY241" s="73">
        <v>801.0</v>
      </c>
      <c r="AZ241" s="73">
        <v>7739.57739</v>
      </c>
      <c r="BA241" s="73">
        <v>26360.0</v>
      </c>
      <c r="BB241" s="73">
        <v>8805.0</v>
      </c>
      <c r="BC241" s="73">
        <v>13768.37974</v>
      </c>
      <c r="BD241" s="73"/>
      <c r="BE241" s="21"/>
      <c r="BF241" s="21"/>
      <c r="BG241" s="21">
        <v>2933230.04</v>
      </c>
      <c r="BH241" s="21"/>
      <c r="BI241" s="72"/>
      <c r="BJ241" s="21"/>
      <c r="BK241" s="72"/>
      <c r="BL241" s="21"/>
      <c r="BM241" s="72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</row>
    <row r="242" ht="15.75" customHeight="1">
      <c r="A242" s="56">
        <v>46041.0</v>
      </c>
      <c r="B242" s="70">
        <v>1471.0</v>
      </c>
      <c r="C242" s="70">
        <v>1539.9</v>
      </c>
      <c r="D242" s="70">
        <v>1488.8</v>
      </c>
      <c r="E242" s="70">
        <v>11.715</v>
      </c>
      <c r="F242" s="70"/>
      <c r="G242" s="70"/>
      <c r="H242" s="70">
        <v>2.3846000000000003</v>
      </c>
      <c r="I242" s="70">
        <v>1.985</v>
      </c>
      <c r="J242" s="70"/>
      <c r="K242" s="70">
        <v>0.0</v>
      </c>
      <c r="L242" s="70"/>
      <c r="M242" s="70">
        <v>1.245</v>
      </c>
      <c r="N242" s="70">
        <v>1.4155000000000002</v>
      </c>
      <c r="O242" s="70">
        <v>1.063</v>
      </c>
      <c r="P242" s="70">
        <v>1.4275</v>
      </c>
      <c r="Q242" s="70">
        <v>1.409</v>
      </c>
      <c r="R242" s="70">
        <v>1.39</v>
      </c>
      <c r="S242" s="70">
        <v>1.364</v>
      </c>
      <c r="T242" s="70">
        <v>2.15</v>
      </c>
      <c r="U242" s="70">
        <v>1.0274</v>
      </c>
      <c r="V242" s="70">
        <v>0.0</v>
      </c>
      <c r="W242" s="70">
        <v>1.199</v>
      </c>
      <c r="X242" s="70">
        <v>0.0</v>
      </c>
      <c r="Y242" s="70">
        <v>868.5</v>
      </c>
      <c r="Z242" s="70">
        <v>2.3345</v>
      </c>
      <c r="AA242" s="70">
        <v>1.23497</v>
      </c>
      <c r="AB242" s="70">
        <v>1.4084</v>
      </c>
      <c r="AC242" s="70">
        <v>1.6775</v>
      </c>
      <c r="AD242" s="70">
        <v>0.0</v>
      </c>
      <c r="AE242" s="70">
        <v>0.0</v>
      </c>
      <c r="AF242" s="70">
        <v>0.0</v>
      </c>
      <c r="AG242" s="70">
        <v>0.0</v>
      </c>
      <c r="AH242" s="70">
        <v>1.59596</v>
      </c>
      <c r="AI242" s="70">
        <v>1.1415</v>
      </c>
      <c r="AJ242" s="70">
        <v>0.0</v>
      </c>
      <c r="AK242" s="70">
        <v>0.0</v>
      </c>
      <c r="AL242" s="70">
        <v>3.27</v>
      </c>
      <c r="AM242" s="70">
        <v>1.1654900000000001</v>
      </c>
      <c r="AN242" s="70">
        <v>1.01</v>
      </c>
      <c r="AO242" s="70">
        <v>1.0170000000000001</v>
      </c>
      <c r="AP242" s="70">
        <v>1.0685</v>
      </c>
      <c r="AQ242" s="70">
        <v>0.965</v>
      </c>
      <c r="AR242" s="70">
        <v>1.2105</v>
      </c>
      <c r="AS242" s="74">
        <v>1.0</v>
      </c>
      <c r="AT242" s="74">
        <v>1.0</v>
      </c>
      <c r="AU242" s="74">
        <v>1.0</v>
      </c>
      <c r="AV242" s="74">
        <v>1.0</v>
      </c>
      <c r="AW242" s="21"/>
      <c r="AX242" s="73">
        <v>24040.0</v>
      </c>
      <c r="AY242" s="73">
        <v>787.0</v>
      </c>
      <c r="AZ242" s="73">
        <v>7729.61013</v>
      </c>
      <c r="BA242" s="73">
        <v>26200.0</v>
      </c>
      <c r="BB242" s="73">
        <v>8585.0</v>
      </c>
      <c r="BC242" s="73">
        <v>13342.144802</v>
      </c>
      <c r="BD242" s="73"/>
      <c r="BE242" s="21"/>
      <c r="BF242" s="21"/>
      <c r="BG242" s="21">
        <v>2912976.29</v>
      </c>
      <c r="BH242" s="21"/>
      <c r="BI242" s="72"/>
      <c r="BJ242" s="21"/>
      <c r="BK242" s="72"/>
      <c r="BL242" s="21"/>
      <c r="BM242" s="72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</row>
    <row r="243" ht="15.75" customHeight="1">
      <c r="A243" s="56">
        <v>46042.0</v>
      </c>
      <c r="B243" s="70">
        <v>1493.0</v>
      </c>
      <c r="C243" s="70">
        <v>1521.5</v>
      </c>
      <c r="D243" s="70">
        <v>1489.5</v>
      </c>
      <c r="E243" s="70">
        <v>11.72</v>
      </c>
      <c r="F243" s="70"/>
      <c r="G243" s="70"/>
      <c r="H243" s="70">
        <v>2.3846000000000003</v>
      </c>
      <c r="I243" s="70">
        <v>1.9869999999999999</v>
      </c>
      <c r="J243" s="70"/>
      <c r="K243" s="70">
        <v>0.0</v>
      </c>
      <c r="L243" s="70"/>
      <c r="M243" s="70">
        <v>1.246</v>
      </c>
      <c r="N243" s="70">
        <v>1.4174799999999999</v>
      </c>
      <c r="O243" s="70">
        <v>1.063</v>
      </c>
      <c r="P243" s="70">
        <v>1.432</v>
      </c>
      <c r="Q243" s="70">
        <v>1.4084999999999999</v>
      </c>
      <c r="R243" s="70">
        <v>1.39</v>
      </c>
      <c r="S243" s="70">
        <v>1.365</v>
      </c>
      <c r="T243" s="70">
        <v>2.129</v>
      </c>
      <c r="U243" s="70">
        <v>1.0274</v>
      </c>
      <c r="V243" s="70">
        <v>0.0</v>
      </c>
      <c r="W243" s="70">
        <v>1.1985</v>
      </c>
      <c r="X243" s="70">
        <v>0.0</v>
      </c>
      <c r="Y243" s="70">
        <v>872.6</v>
      </c>
      <c r="Z243" s="70">
        <v>2.326</v>
      </c>
      <c r="AA243" s="70">
        <v>1.23497</v>
      </c>
      <c r="AB243" s="70">
        <v>0.0</v>
      </c>
      <c r="AC243" s="70">
        <v>1.6775</v>
      </c>
      <c r="AD243" s="70">
        <v>0.0</v>
      </c>
      <c r="AE243" s="70">
        <v>0.0</v>
      </c>
      <c r="AF243" s="70">
        <v>0.0</v>
      </c>
      <c r="AG243" s="70">
        <v>0.0</v>
      </c>
      <c r="AH243" s="70">
        <v>1.59596</v>
      </c>
      <c r="AI243" s="70">
        <v>1.14</v>
      </c>
      <c r="AJ243" s="70">
        <v>0.0</v>
      </c>
      <c r="AK243" s="70">
        <v>0.0</v>
      </c>
      <c r="AL243" s="70">
        <v>3.275</v>
      </c>
      <c r="AM243" s="70">
        <v>1.1665</v>
      </c>
      <c r="AN243" s="70">
        <v>1.01265</v>
      </c>
      <c r="AO243" s="70">
        <v>1.0125</v>
      </c>
      <c r="AP243" s="70">
        <v>1.0675</v>
      </c>
      <c r="AQ243" s="70">
        <v>0.9645</v>
      </c>
      <c r="AR243" s="70">
        <v>1.2133</v>
      </c>
      <c r="AS243" s="74">
        <v>1.0</v>
      </c>
      <c r="AT243" s="74">
        <v>1.0</v>
      </c>
      <c r="AU243" s="74">
        <v>1.0</v>
      </c>
      <c r="AV243" s="74">
        <v>1.0</v>
      </c>
      <c r="AW243" s="21"/>
      <c r="AX243" s="73">
        <v>24800.0</v>
      </c>
      <c r="AY243" s="73">
        <v>770.5</v>
      </c>
      <c r="AZ243" s="73">
        <v>7689.74109</v>
      </c>
      <c r="BA243" s="73">
        <v>26100.0</v>
      </c>
      <c r="BB243" s="73">
        <v>8780.0</v>
      </c>
      <c r="BC243" s="73">
        <v>13689.080217</v>
      </c>
      <c r="BD243" s="73"/>
      <c r="BE243" s="21"/>
      <c r="BF243" s="21"/>
      <c r="BG243" s="21">
        <v>2942091.46</v>
      </c>
      <c r="BH243" s="21"/>
      <c r="BI243" s="72"/>
      <c r="BJ243" s="21"/>
      <c r="BK243" s="72"/>
      <c r="BL243" s="21"/>
      <c r="BM243" s="72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</row>
    <row r="244" ht="15.75" customHeight="1">
      <c r="A244" s="56">
        <v>46043.0</v>
      </c>
      <c r="B244" s="70">
        <v>1472.4</v>
      </c>
      <c r="C244" s="70">
        <v>1513.1</v>
      </c>
      <c r="D244" s="70">
        <v>1480.0</v>
      </c>
      <c r="E244" s="70">
        <v>11.7</v>
      </c>
      <c r="F244" s="70"/>
      <c r="G244" s="70"/>
      <c r="H244" s="70">
        <v>2.3846000000000003</v>
      </c>
      <c r="I244" s="70">
        <v>1.989</v>
      </c>
      <c r="J244" s="70"/>
      <c r="K244" s="70">
        <v>0.0</v>
      </c>
      <c r="L244" s="70"/>
      <c r="M244" s="70">
        <v>1.246</v>
      </c>
      <c r="N244" s="70">
        <v>1.4180000000000001</v>
      </c>
      <c r="O244" s="70">
        <v>1.063</v>
      </c>
      <c r="P244" s="70">
        <v>1.4340000000000002</v>
      </c>
      <c r="Q244" s="70">
        <v>1.406</v>
      </c>
      <c r="R244" s="70">
        <v>1.3869999999999998</v>
      </c>
      <c r="S244" s="70">
        <v>1.3635</v>
      </c>
      <c r="T244" s="70">
        <v>2.125</v>
      </c>
      <c r="U244" s="70">
        <v>1.0274</v>
      </c>
      <c r="V244" s="70">
        <v>0.0</v>
      </c>
      <c r="W244" s="70">
        <v>1.193</v>
      </c>
      <c r="X244" s="70">
        <v>0.0</v>
      </c>
      <c r="Y244" s="70">
        <v>867.7</v>
      </c>
      <c r="Z244" s="70">
        <v>2.3225</v>
      </c>
      <c r="AA244" s="70">
        <v>1.23497</v>
      </c>
      <c r="AB244" s="70">
        <v>0.0</v>
      </c>
      <c r="AC244" s="70">
        <v>1.6775</v>
      </c>
      <c r="AD244" s="70">
        <v>0.0</v>
      </c>
      <c r="AE244" s="70">
        <v>0.0</v>
      </c>
      <c r="AF244" s="70">
        <v>0.0</v>
      </c>
      <c r="AG244" s="70">
        <v>0.0</v>
      </c>
      <c r="AH244" s="70">
        <v>1.59596</v>
      </c>
      <c r="AI244" s="70">
        <v>1.1405</v>
      </c>
      <c r="AJ244" s="70">
        <v>0.0</v>
      </c>
      <c r="AK244" s="70">
        <v>0.0</v>
      </c>
      <c r="AL244" s="70">
        <v>3.2695</v>
      </c>
      <c r="AM244" s="70">
        <v>1.167</v>
      </c>
      <c r="AN244" s="70">
        <v>1.0138</v>
      </c>
      <c r="AO244" s="70">
        <v>1.0139</v>
      </c>
      <c r="AP244" s="70">
        <v>1.0625</v>
      </c>
      <c r="AQ244" s="70">
        <v>0.9590000000000001</v>
      </c>
      <c r="AR244" s="70">
        <v>1.21299</v>
      </c>
      <c r="AS244" s="74">
        <v>1.0</v>
      </c>
      <c r="AT244" s="74">
        <v>1.0</v>
      </c>
      <c r="AU244" s="74">
        <v>1.0</v>
      </c>
      <c r="AV244" s="74">
        <v>1.0</v>
      </c>
      <c r="AW244" s="21"/>
      <c r="AX244" s="73">
        <v>26040.0</v>
      </c>
      <c r="AY244" s="73">
        <v>790.0</v>
      </c>
      <c r="AZ244" s="73">
        <v>8093.41512</v>
      </c>
      <c r="BA244" s="73">
        <v>26340.0</v>
      </c>
      <c r="BB244" s="73">
        <v>9050.0</v>
      </c>
      <c r="BC244" s="73">
        <v>14601.024735</v>
      </c>
      <c r="BD244" s="73"/>
      <c r="BE244" s="21"/>
      <c r="BF244" s="21"/>
      <c r="BG244" s="21">
        <v>3047553.39</v>
      </c>
      <c r="BH244" s="21"/>
      <c r="BI244" s="72"/>
      <c r="BJ244" s="21"/>
      <c r="BK244" s="72"/>
      <c r="BL244" s="21"/>
      <c r="BM244" s="72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</row>
    <row r="245" ht="15.75" customHeight="1">
      <c r="A245" s="56">
        <v>46044.0</v>
      </c>
      <c r="B245" s="70">
        <v>1467.7</v>
      </c>
      <c r="C245" s="70">
        <v>1516.1</v>
      </c>
      <c r="D245" s="70">
        <v>1477.0</v>
      </c>
      <c r="E245" s="70">
        <v>11.76</v>
      </c>
      <c r="F245" s="70"/>
      <c r="G245" s="70"/>
      <c r="H245" s="70">
        <v>2.3846000000000003</v>
      </c>
      <c r="I245" s="70">
        <v>1.9945</v>
      </c>
      <c r="J245" s="70"/>
      <c r="K245" s="70">
        <v>0.0</v>
      </c>
      <c r="L245" s="70"/>
      <c r="M245" s="70">
        <v>1.251</v>
      </c>
      <c r="N245" s="70">
        <v>1.41946</v>
      </c>
      <c r="O245" s="70">
        <v>1.063</v>
      </c>
      <c r="P245" s="70">
        <v>1.439</v>
      </c>
      <c r="Q245" s="70">
        <v>1.41</v>
      </c>
      <c r="R245" s="70">
        <v>1.392</v>
      </c>
      <c r="S245" s="70">
        <v>1.3715000000000002</v>
      </c>
      <c r="T245" s="70">
        <v>2.1425</v>
      </c>
      <c r="U245" s="70">
        <v>1.0274</v>
      </c>
      <c r="V245" s="70">
        <v>0.0</v>
      </c>
      <c r="W245" s="70">
        <v>1.2005</v>
      </c>
      <c r="X245" s="70">
        <v>0.0</v>
      </c>
      <c r="Y245" s="70">
        <v>872.5</v>
      </c>
      <c r="Z245" s="70">
        <v>2.3355</v>
      </c>
      <c r="AA245" s="70">
        <v>1.23497</v>
      </c>
      <c r="AB245" s="70">
        <v>0.0</v>
      </c>
      <c r="AC245" s="70">
        <v>1.6775</v>
      </c>
      <c r="AD245" s="70">
        <v>0.0</v>
      </c>
      <c r="AE245" s="70">
        <v>0.0</v>
      </c>
      <c r="AF245" s="70">
        <v>0.0</v>
      </c>
      <c r="AG245" s="70">
        <v>0.0</v>
      </c>
      <c r="AH245" s="70">
        <v>1.59596</v>
      </c>
      <c r="AI245" s="70">
        <v>1.135</v>
      </c>
      <c r="AJ245" s="70">
        <v>0.0</v>
      </c>
      <c r="AK245" s="70">
        <v>0.0</v>
      </c>
      <c r="AL245" s="70">
        <v>3.283</v>
      </c>
      <c r="AM245" s="70">
        <v>1.1740000000000002</v>
      </c>
      <c r="AN245" s="70">
        <v>1.01745</v>
      </c>
      <c r="AO245" s="70">
        <v>1.0175</v>
      </c>
      <c r="AP245" s="70">
        <v>1.0665</v>
      </c>
      <c r="AQ245" s="70">
        <v>0.9645</v>
      </c>
      <c r="AR245" s="70">
        <v>1.2159</v>
      </c>
      <c r="AS245" s="74">
        <v>1.0</v>
      </c>
      <c r="AT245" s="74">
        <v>1.0</v>
      </c>
      <c r="AU245" s="74">
        <v>1.0</v>
      </c>
      <c r="AV245" s="74">
        <v>1.0</v>
      </c>
      <c r="AW245" s="21"/>
      <c r="AX245" s="73">
        <v>25940.0</v>
      </c>
      <c r="AY245" s="73">
        <v>789.0</v>
      </c>
      <c r="AZ245" s="73">
        <v>8073.4806</v>
      </c>
      <c r="BA245" s="73">
        <v>26800.0</v>
      </c>
      <c r="BB245" s="73">
        <v>9350.0</v>
      </c>
      <c r="BC245" s="73">
        <v>14521.725212</v>
      </c>
      <c r="BD245" s="73"/>
      <c r="BE245" s="21"/>
      <c r="BF245" s="21"/>
      <c r="BG245" s="21">
        <v>3066434.82</v>
      </c>
      <c r="BH245" s="21"/>
      <c r="BI245" s="72"/>
      <c r="BJ245" s="21"/>
      <c r="BK245" s="72"/>
      <c r="BL245" s="21"/>
      <c r="BM245" s="72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</row>
    <row r="246" ht="15.75" customHeight="1">
      <c r="A246" s="56">
        <v>46045.0</v>
      </c>
      <c r="B246" s="70">
        <v>1516.0</v>
      </c>
      <c r="C246" s="70">
        <v>1519.5</v>
      </c>
      <c r="D246" s="70">
        <v>1485.9</v>
      </c>
      <c r="E246" s="70">
        <v>11.8</v>
      </c>
      <c r="F246" s="70"/>
      <c r="G246" s="70"/>
      <c r="H246" s="70">
        <v>2.3846000000000003</v>
      </c>
      <c r="I246" s="70">
        <v>2.0044999999999997</v>
      </c>
      <c r="J246" s="70"/>
      <c r="K246" s="70">
        <v>0.0</v>
      </c>
      <c r="L246" s="70"/>
      <c r="M246" s="70">
        <v>1.258</v>
      </c>
      <c r="N246" s="70">
        <v>1.4249</v>
      </c>
      <c r="O246" s="70">
        <v>1.063</v>
      </c>
      <c r="P246" s="70">
        <v>1.444</v>
      </c>
      <c r="Q246" s="70">
        <v>1.4175</v>
      </c>
      <c r="R246" s="70">
        <v>1.3955000000000002</v>
      </c>
      <c r="S246" s="70">
        <v>1.3730000000000002</v>
      </c>
      <c r="T246" s="70">
        <v>2.1515</v>
      </c>
      <c r="U246" s="70">
        <v>1.0274</v>
      </c>
      <c r="V246" s="70">
        <v>0.0</v>
      </c>
      <c r="W246" s="70">
        <v>1.204</v>
      </c>
      <c r="X246" s="70">
        <v>0.0</v>
      </c>
      <c r="Y246" s="70">
        <v>888.5</v>
      </c>
      <c r="Z246" s="70">
        <v>2.344</v>
      </c>
      <c r="AA246" s="70">
        <v>1.23497</v>
      </c>
      <c r="AB246" s="70">
        <v>0.0</v>
      </c>
      <c r="AC246" s="70">
        <v>1.6775</v>
      </c>
      <c r="AD246" s="70">
        <v>0.0</v>
      </c>
      <c r="AE246" s="70">
        <v>0.0</v>
      </c>
      <c r="AF246" s="70">
        <v>0.0</v>
      </c>
      <c r="AG246" s="70">
        <v>0.0</v>
      </c>
      <c r="AH246" s="70">
        <v>1.59596</v>
      </c>
      <c r="AI246" s="70">
        <v>1.1375</v>
      </c>
      <c r="AJ246" s="70">
        <v>0.0</v>
      </c>
      <c r="AK246" s="70">
        <v>0.0</v>
      </c>
      <c r="AL246" s="70">
        <v>3.302</v>
      </c>
      <c r="AM246" s="70">
        <v>1.1784999999999999</v>
      </c>
      <c r="AN246" s="70">
        <v>1.0212</v>
      </c>
      <c r="AO246" s="70">
        <v>1.0225</v>
      </c>
      <c r="AP246" s="70">
        <v>1.075</v>
      </c>
      <c r="AQ246" s="70">
        <v>0.9655</v>
      </c>
      <c r="AR246" s="70">
        <v>1.22057</v>
      </c>
      <c r="AS246" s="74">
        <v>1.0</v>
      </c>
      <c r="AT246" s="74">
        <v>1.0</v>
      </c>
      <c r="AU246" s="74">
        <v>1.0</v>
      </c>
      <c r="AV246" s="74">
        <v>1.0</v>
      </c>
      <c r="AW246" s="21"/>
      <c r="AX246" s="73">
        <v>26700.0</v>
      </c>
      <c r="AY246" s="73">
        <v>768.0</v>
      </c>
      <c r="AZ246" s="73">
        <v>8098.39875</v>
      </c>
      <c r="BA246" s="73">
        <v>26700.0</v>
      </c>
      <c r="BB246" s="73">
        <v>9805.0</v>
      </c>
      <c r="BC246" s="73">
        <v>14581.199854</v>
      </c>
      <c r="BD246" s="73"/>
      <c r="BE246" s="21"/>
      <c r="BF246" s="21"/>
      <c r="BG246" s="21">
        <v>3093534.44</v>
      </c>
      <c r="BH246" s="21"/>
      <c r="BI246" s="72"/>
      <c r="BJ246" s="21"/>
      <c r="BK246" s="72"/>
      <c r="BL246" s="21"/>
      <c r="BM246" s="72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</row>
    <row r="247" ht="15.75" customHeight="1">
      <c r="A247" s="56">
        <v>46048.0</v>
      </c>
      <c r="B247" s="70">
        <v>1539.8</v>
      </c>
      <c r="C247" s="70">
        <v>1539.7</v>
      </c>
      <c r="D247" s="70">
        <v>1481.0</v>
      </c>
      <c r="E247" s="70">
        <v>11.835</v>
      </c>
      <c r="F247" s="70"/>
      <c r="G247" s="70"/>
      <c r="H247" s="70">
        <v>2.3846000000000003</v>
      </c>
      <c r="I247" s="70">
        <v>2.009</v>
      </c>
      <c r="J247" s="70"/>
      <c r="K247" s="70">
        <v>0.0</v>
      </c>
      <c r="L247" s="70"/>
      <c r="M247" s="70">
        <v>1.26</v>
      </c>
      <c r="N247" s="70">
        <v>1.4284999999999999</v>
      </c>
      <c r="O247" s="70">
        <v>1.063</v>
      </c>
      <c r="P247" s="70">
        <v>1.4425</v>
      </c>
      <c r="Q247" s="70">
        <v>1.416</v>
      </c>
      <c r="R247" s="70">
        <v>1.395</v>
      </c>
      <c r="S247" s="70">
        <v>1.3695</v>
      </c>
      <c r="T247" s="70">
        <v>2.1585</v>
      </c>
      <c r="U247" s="70">
        <v>1.0274</v>
      </c>
      <c r="V247" s="70">
        <v>0.0</v>
      </c>
      <c r="W247" s="70">
        <v>1.209</v>
      </c>
      <c r="X247" s="70">
        <v>0.0</v>
      </c>
      <c r="Y247" s="70">
        <v>897.0</v>
      </c>
      <c r="Z247" s="70">
        <v>2.347</v>
      </c>
      <c r="AA247" s="70">
        <v>1.23497</v>
      </c>
      <c r="AB247" s="70">
        <v>0.0</v>
      </c>
      <c r="AC247" s="70">
        <v>1.6775</v>
      </c>
      <c r="AD247" s="70">
        <v>0.0</v>
      </c>
      <c r="AE247" s="70">
        <v>0.0</v>
      </c>
      <c r="AF247" s="70">
        <v>0.0</v>
      </c>
      <c r="AG247" s="70">
        <v>0.0</v>
      </c>
      <c r="AH247" s="70">
        <v>1.59596</v>
      </c>
      <c r="AI247" s="70">
        <v>1.139</v>
      </c>
      <c r="AJ247" s="70">
        <v>0.0</v>
      </c>
      <c r="AK247" s="70">
        <v>0.0</v>
      </c>
      <c r="AL247" s="70">
        <v>3.315</v>
      </c>
      <c r="AM247" s="70">
        <v>1.18</v>
      </c>
      <c r="AN247" s="70">
        <v>1.02199</v>
      </c>
      <c r="AO247" s="70">
        <v>1.026</v>
      </c>
      <c r="AP247" s="70">
        <v>1.073</v>
      </c>
      <c r="AQ247" s="70">
        <v>0.9655</v>
      </c>
      <c r="AR247" s="70">
        <v>1.2224</v>
      </c>
      <c r="AS247" s="74">
        <v>1.0</v>
      </c>
      <c r="AT247" s="74">
        <v>1.0</v>
      </c>
      <c r="AU247" s="74">
        <v>1.0</v>
      </c>
      <c r="AV247" s="74">
        <v>1.0</v>
      </c>
      <c r="AW247" s="21"/>
      <c r="AX247" s="73">
        <v>27080.0</v>
      </c>
      <c r="AY247" s="73">
        <v>734.0</v>
      </c>
      <c r="AZ247" s="73">
        <v>8168.16957</v>
      </c>
      <c r="BA247" s="73">
        <v>27860.0</v>
      </c>
      <c r="BB247" s="73">
        <v>9935.0</v>
      </c>
      <c r="BC247" s="73">
        <v>14749.711341</v>
      </c>
      <c r="BD247" s="73"/>
      <c r="BE247" s="21"/>
      <c r="BF247" s="21"/>
      <c r="BG247" s="21">
        <v>3131276.98</v>
      </c>
      <c r="BH247" s="21"/>
      <c r="BI247" s="72"/>
      <c r="BJ247" s="21"/>
      <c r="BK247" s="72"/>
      <c r="BL247" s="21"/>
      <c r="BM247" s="72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</row>
    <row r="248" ht="15.75" customHeight="1">
      <c r="A248" s="56">
        <v>46049.0</v>
      </c>
      <c r="B248" s="70">
        <v>1500.0</v>
      </c>
      <c r="C248" s="70">
        <v>1522.9</v>
      </c>
      <c r="D248" s="70">
        <v>1484.0</v>
      </c>
      <c r="E248" s="70">
        <v>11.885</v>
      </c>
      <c r="F248" s="70"/>
      <c r="G248" s="70"/>
      <c r="H248" s="70">
        <v>2.3846000000000003</v>
      </c>
      <c r="I248" s="70">
        <v>2.0145</v>
      </c>
      <c r="J248" s="70"/>
      <c r="K248" s="70">
        <v>0.0</v>
      </c>
      <c r="L248" s="70"/>
      <c r="M248" s="70">
        <v>1.2634999999999998</v>
      </c>
      <c r="N248" s="70">
        <v>1.4304</v>
      </c>
      <c r="O248" s="70">
        <v>1.063</v>
      </c>
      <c r="P248" s="70">
        <v>1.445</v>
      </c>
      <c r="Q248" s="70">
        <v>1.416</v>
      </c>
      <c r="R248" s="70">
        <v>1.3944999999999999</v>
      </c>
      <c r="S248" s="70">
        <v>1.37</v>
      </c>
      <c r="T248" s="70">
        <v>2.1755</v>
      </c>
      <c r="U248" s="70">
        <v>1.0274</v>
      </c>
      <c r="V248" s="70">
        <v>0.0</v>
      </c>
      <c r="W248" s="70">
        <v>1.214</v>
      </c>
      <c r="X248" s="70">
        <v>0.0</v>
      </c>
      <c r="Y248" s="70">
        <v>894.8</v>
      </c>
      <c r="Z248" s="70">
        <v>2.3609999999999998</v>
      </c>
      <c r="AA248" s="70">
        <v>1.23497</v>
      </c>
      <c r="AB248" s="70">
        <v>0.0</v>
      </c>
      <c r="AC248" s="70">
        <v>1.6775</v>
      </c>
      <c r="AD248" s="70">
        <v>0.0</v>
      </c>
      <c r="AE248" s="70">
        <v>0.0</v>
      </c>
      <c r="AF248" s="70">
        <v>0.0</v>
      </c>
      <c r="AG248" s="70">
        <v>0.0</v>
      </c>
      <c r="AH248" s="70">
        <v>1.59596</v>
      </c>
      <c r="AI248" s="70">
        <v>1.1525</v>
      </c>
      <c r="AJ248" s="70">
        <v>0.0</v>
      </c>
      <c r="AK248" s="70">
        <v>0.0</v>
      </c>
      <c r="AL248" s="70">
        <v>3.319</v>
      </c>
      <c r="AM248" s="70">
        <v>1.1859</v>
      </c>
      <c r="AN248" s="70">
        <v>1.0249</v>
      </c>
      <c r="AO248" s="70">
        <v>1.028</v>
      </c>
      <c r="AP248" s="70">
        <v>1.085</v>
      </c>
      <c r="AQ248" s="70">
        <v>0.97</v>
      </c>
      <c r="AR248" s="70">
        <v>1.22499</v>
      </c>
      <c r="AS248" s="74">
        <v>1.0</v>
      </c>
      <c r="AT248" s="74">
        <v>1.0</v>
      </c>
      <c r="AU248" s="74">
        <v>1.0</v>
      </c>
      <c r="AV248" s="74">
        <v>1.0</v>
      </c>
      <c r="AW248" s="21"/>
      <c r="AX248" s="73">
        <v>28540.0</v>
      </c>
      <c r="AY248" s="73">
        <v>719.5</v>
      </c>
      <c r="AZ248" s="73">
        <v>8382.46566</v>
      </c>
      <c r="BA248" s="73">
        <v>28880.0</v>
      </c>
      <c r="BB248" s="73">
        <v>10540.0</v>
      </c>
      <c r="BC248" s="73">
        <v>15562.531456</v>
      </c>
      <c r="BD248" s="73"/>
      <c r="BE248" s="21"/>
      <c r="BF248" s="21"/>
      <c r="BG248" s="21">
        <v>3244319.97</v>
      </c>
      <c r="BH248" s="21"/>
      <c r="BI248" s="72"/>
      <c r="BJ248" s="21"/>
      <c r="BK248" s="72"/>
      <c r="BL248" s="21"/>
      <c r="BM248" s="72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</row>
    <row r="249" ht="15.75" customHeight="1">
      <c r="A249" s="56">
        <v>46050.0</v>
      </c>
      <c r="B249" s="70">
        <v>1486.0</v>
      </c>
      <c r="C249" s="70">
        <v>1522.0</v>
      </c>
      <c r="D249" s="70">
        <v>1489.9</v>
      </c>
      <c r="E249" s="70">
        <v>11.85</v>
      </c>
      <c r="F249" s="70"/>
      <c r="G249" s="70"/>
      <c r="H249" s="70">
        <v>2.3846000000000003</v>
      </c>
      <c r="I249" s="70">
        <v>2.017</v>
      </c>
      <c r="J249" s="70"/>
      <c r="K249" s="70">
        <v>0.0</v>
      </c>
      <c r="L249" s="70"/>
      <c r="M249" s="70">
        <v>1.2695</v>
      </c>
      <c r="N249" s="70">
        <v>1.4303899999999998</v>
      </c>
      <c r="O249" s="70">
        <v>1.063</v>
      </c>
      <c r="P249" s="70">
        <v>1.444</v>
      </c>
      <c r="Q249" s="70">
        <v>1.415</v>
      </c>
      <c r="R249" s="70">
        <v>1.3969999999999998</v>
      </c>
      <c r="S249" s="70">
        <v>1.3685</v>
      </c>
      <c r="T249" s="70">
        <v>2.1725</v>
      </c>
      <c r="U249" s="70">
        <v>1.0274</v>
      </c>
      <c r="V249" s="70">
        <v>0.0</v>
      </c>
      <c r="W249" s="70">
        <v>1.2155</v>
      </c>
      <c r="X249" s="70">
        <v>0.0</v>
      </c>
      <c r="Y249" s="70">
        <v>891.3</v>
      </c>
      <c r="Z249" s="70">
        <v>2.358</v>
      </c>
      <c r="AA249" s="70">
        <v>1.23497</v>
      </c>
      <c r="AB249" s="70">
        <v>0.0</v>
      </c>
      <c r="AC249" s="70">
        <v>1.6775</v>
      </c>
      <c r="AD249" s="70">
        <v>0.0</v>
      </c>
      <c r="AE249" s="70">
        <v>0.0</v>
      </c>
      <c r="AF249" s="70">
        <v>0.0</v>
      </c>
      <c r="AG249" s="70">
        <v>0.0</v>
      </c>
      <c r="AH249" s="70">
        <v>1.59596</v>
      </c>
      <c r="AI249" s="70">
        <v>1.15</v>
      </c>
      <c r="AJ249" s="70">
        <v>0.0</v>
      </c>
      <c r="AK249" s="70">
        <v>0.0</v>
      </c>
      <c r="AL249" s="70">
        <v>3.3360000000000003</v>
      </c>
      <c r="AM249" s="70">
        <v>1.18979</v>
      </c>
      <c r="AN249" s="70">
        <v>1.026</v>
      </c>
      <c r="AO249" s="70">
        <v>1.0275</v>
      </c>
      <c r="AP249" s="70">
        <v>1.0855</v>
      </c>
      <c r="AQ249" s="70">
        <v>0.9715</v>
      </c>
      <c r="AR249" s="70">
        <v>1.2263</v>
      </c>
      <c r="AS249" s="74">
        <v>1.0</v>
      </c>
      <c r="AT249" s="74">
        <v>1.0</v>
      </c>
      <c r="AU249" s="74">
        <v>1.0</v>
      </c>
      <c r="AV249" s="74">
        <v>1.0</v>
      </c>
      <c r="AW249" s="21"/>
      <c r="AX249" s="73">
        <v>29640.0</v>
      </c>
      <c r="AY249" s="73">
        <v>694.0</v>
      </c>
      <c r="AZ249" s="73">
        <v>8432.30196</v>
      </c>
      <c r="BA249" s="73">
        <v>28780.0</v>
      </c>
      <c r="BB249" s="73">
        <v>10300.0</v>
      </c>
      <c r="BC249" s="73">
        <v>15494.57892</v>
      </c>
      <c r="BD249" s="73"/>
      <c r="BE249" s="21"/>
      <c r="BF249" s="21"/>
      <c r="BG249" s="21">
        <v>3230714.02</v>
      </c>
      <c r="BH249" s="21"/>
      <c r="BI249" s="72"/>
      <c r="BJ249" s="21"/>
      <c r="BK249" s="72"/>
      <c r="BL249" s="21"/>
      <c r="BM249" s="72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</row>
    <row r="250" ht="15.75" customHeight="1">
      <c r="A250" s="56">
        <v>46051.0</v>
      </c>
      <c r="B250" s="70">
        <v>1490.0</v>
      </c>
      <c r="C250" s="70">
        <v>1510.5</v>
      </c>
      <c r="D250" s="70">
        <v>1490.0</v>
      </c>
      <c r="E250" s="70">
        <v>11.85</v>
      </c>
      <c r="F250" s="70"/>
      <c r="G250" s="70"/>
      <c r="H250" s="70">
        <v>2.3846000000000003</v>
      </c>
      <c r="I250" s="70">
        <v>2.0180000000000002</v>
      </c>
      <c r="J250" s="70"/>
      <c r="K250" s="70">
        <v>0.0</v>
      </c>
      <c r="L250" s="70"/>
      <c r="M250" s="70">
        <v>1.2655</v>
      </c>
      <c r="N250" s="70">
        <v>1.43224</v>
      </c>
      <c r="O250" s="70">
        <v>1.063</v>
      </c>
      <c r="P250" s="70">
        <v>1.4435</v>
      </c>
      <c r="Q250" s="70">
        <v>1.416</v>
      </c>
      <c r="R250" s="70">
        <v>1.3944999999999999</v>
      </c>
      <c r="S250" s="70">
        <v>1.37</v>
      </c>
      <c r="T250" s="70">
        <v>2.167</v>
      </c>
      <c r="U250" s="70">
        <v>1.0274</v>
      </c>
      <c r="V250" s="70">
        <v>0.0</v>
      </c>
      <c r="W250" s="70">
        <v>1.2115</v>
      </c>
      <c r="X250" s="70">
        <v>0.0</v>
      </c>
      <c r="Y250" s="70">
        <v>889.7</v>
      </c>
      <c r="Z250" s="70">
        <v>2.355</v>
      </c>
      <c r="AA250" s="70">
        <v>1.23497</v>
      </c>
      <c r="AB250" s="70">
        <v>0.0</v>
      </c>
      <c r="AC250" s="70">
        <v>1.6775</v>
      </c>
      <c r="AD250" s="70">
        <v>0.0</v>
      </c>
      <c r="AE250" s="70">
        <v>0.0</v>
      </c>
      <c r="AF250" s="70">
        <v>0.0</v>
      </c>
      <c r="AG250" s="70">
        <v>0.0</v>
      </c>
      <c r="AH250" s="70">
        <v>1.59596</v>
      </c>
      <c r="AI250" s="70">
        <v>1.153</v>
      </c>
      <c r="AJ250" s="70">
        <v>0.0</v>
      </c>
      <c r="AK250" s="70">
        <v>0.0</v>
      </c>
      <c r="AL250" s="70">
        <v>3.3135000000000003</v>
      </c>
      <c r="AM250" s="70">
        <v>1.185</v>
      </c>
      <c r="AN250" s="70">
        <v>1.0265</v>
      </c>
      <c r="AO250" s="70">
        <v>1.0275</v>
      </c>
      <c r="AP250" s="70">
        <v>1.084</v>
      </c>
      <c r="AQ250" s="70">
        <v>0.9725</v>
      </c>
      <c r="AR250" s="70">
        <v>1.22731</v>
      </c>
      <c r="AS250" s="74">
        <v>1.0</v>
      </c>
      <c r="AT250" s="74">
        <v>1.0</v>
      </c>
      <c r="AU250" s="74">
        <v>1.0</v>
      </c>
      <c r="AV250" s="74">
        <v>1.0</v>
      </c>
      <c r="AW250" s="21"/>
      <c r="AX250" s="73">
        <v>30080.0</v>
      </c>
      <c r="AY250" s="73">
        <v>697.0</v>
      </c>
      <c r="AZ250" s="73">
        <v>8282.79306</v>
      </c>
      <c r="BA250" s="73">
        <v>27980.0</v>
      </c>
      <c r="BB250" s="73">
        <v>10180.0</v>
      </c>
      <c r="BC250" s="73">
        <v>15215.93524</v>
      </c>
      <c r="BD250" s="73"/>
      <c r="BE250" s="21"/>
      <c r="BF250" s="21"/>
      <c r="BG250" s="21">
        <v>3211242.22</v>
      </c>
      <c r="BH250" s="21"/>
      <c r="BI250" s="72"/>
      <c r="BJ250" s="21"/>
      <c r="BK250" s="72"/>
      <c r="BL250" s="21"/>
      <c r="BM250" s="72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</row>
    <row r="251" ht="15.75" customHeight="1">
      <c r="A251" s="56">
        <v>46052.0</v>
      </c>
      <c r="B251" s="70">
        <v>1514.6</v>
      </c>
      <c r="C251" s="70">
        <v>1513.0</v>
      </c>
      <c r="D251" s="70">
        <v>1491.9</v>
      </c>
      <c r="E251" s="70">
        <v>11.875</v>
      </c>
      <c r="F251" s="70"/>
      <c r="G251" s="70"/>
      <c r="H251" s="70">
        <v>2.3846000000000003</v>
      </c>
      <c r="I251" s="70">
        <v>2.025</v>
      </c>
      <c r="J251" s="70"/>
      <c r="K251" s="70">
        <v>0.0</v>
      </c>
      <c r="L251" s="70"/>
      <c r="M251" s="70">
        <v>1.271</v>
      </c>
      <c r="N251" s="70">
        <v>1.4353</v>
      </c>
      <c r="O251" s="70">
        <v>1.063</v>
      </c>
      <c r="P251" s="70">
        <v>1.4509999999999998</v>
      </c>
      <c r="Q251" s="70">
        <v>1.4280000000000002</v>
      </c>
      <c r="R251" s="70">
        <v>1.3940000000000001</v>
      </c>
      <c r="S251" s="70">
        <v>1.3730000000000002</v>
      </c>
      <c r="T251" s="70">
        <v>2.175</v>
      </c>
      <c r="U251" s="70">
        <v>1.0274</v>
      </c>
      <c r="V251" s="70">
        <v>0.0</v>
      </c>
      <c r="W251" s="70">
        <v>1.214</v>
      </c>
      <c r="X251" s="70">
        <v>0.0</v>
      </c>
      <c r="Y251" s="70">
        <v>885.0</v>
      </c>
      <c r="Z251" s="70">
        <v>2.3605</v>
      </c>
      <c r="AA251" s="70">
        <v>1.23497</v>
      </c>
      <c r="AB251" s="70">
        <v>0.0</v>
      </c>
      <c r="AC251" s="70">
        <v>1.6775</v>
      </c>
      <c r="AD251" s="70">
        <v>0.0</v>
      </c>
      <c r="AE251" s="70">
        <v>0.0</v>
      </c>
      <c r="AF251" s="70">
        <v>0.0</v>
      </c>
      <c r="AG251" s="70">
        <v>0.0</v>
      </c>
      <c r="AH251" s="70">
        <v>1.59596</v>
      </c>
      <c r="AI251" s="70">
        <v>1.165</v>
      </c>
      <c r="AJ251" s="70">
        <v>0.0</v>
      </c>
      <c r="AK251" s="70">
        <v>0.0</v>
      </c>
      <c r="AL251" s="70">
        <v>3.324</v>
      </c>
      <c r="AM251" s="70">
        <v>1.1905</v>
      </c>
      <c r="AN251" s="70">
        <v>1.0295</v>
      </c>
      <c r="AO251" s="70">
        <v>1.0312000000000001</v>
      </c>
      <c r="AP251" s="70">
        <v>1.087</v>
      </c>
      <c r="AQ251" s="70">
        <v>0.9775</v>
      </c>
      <c r="AR251" s="70">
        <v>1.229</v>
      </c>
      <c r="AS251" s="74">
        <v>1.0</v>
      </c>
      <c r="AT251" s="74">
        <v>1.0</v>
      </c>
      <c r="AU251" s="74">
        <v>1.0</v>
      </c>
      <c r="AV251" s="74">
        <v>1.0</v>
      </c>
      <c r="AW251" s="21"/>
      <c r="AX251" s="73">
        <v>30320.0</v>
      </c>
      <c r="AY251" s="73">
        <v>705.0</v>
      </c>
      <c r="AZ251" s="73">
        <v>8282.79306</v>
      </c>
      <c r="BA251" s="73">
        <v>27120.0</v>
      </c>
      <c r="BB251" s="73">
        <v>10170.0</v>
      </c>
      <c r="BC251" s="73">
        <v>15215.93524</v>
      </c>
      <c r="BD251" s="73"/>
      <c r="BE251" s="21"/>
      <c r="BF251" s="21"/>
      <c r="BG251" s="21">
        <v>3199553.98</v>
      </c>
      <c r="BH251" s="21"/>
      <c r="BI251" s="72"/>
      <c r="BJ251" s="21"/>
      <c r="BK251" s="72"/>
      <c r="BL251" s="21"/>
      <c r="BM251" s="72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</row>
    <row r="252" ht="15.75" customHeight="1">
      <c r="A252" s="56">
        <v>46055.0</v>
      </c>
      <c r="B252" s="70">
        <v>1484.9</v>
      </c>
      <c r="C252" s="70">
        <v>1516.9</v>
      </c>
      <c r="D252" s="70">
        <v>1499.8</v>
      </c>
      <c r="E252" s="70">
        <v>11.875</v>
      </c>
      <c r="F252" s="70"/>
      <c r="G252" s="70"/>
      <c r="H252" s="70">
        <v>2.3846000000000003</v>
      </c>
      <c r="I252" s="70">
        <v>2.0255</v>
      </c>
      <c r="J252" s="70"/>
      <c r="K252" s="70">
        <v>0.0</v>
      </c>
      <c r="L252" s="70"/>
      <c r="M252" s="70">
        <v>1.271</v>
      </c>
      <c r="N252" s="70">
        <v>1.4365</v>
      </c>
      <c r="O252" s="70">
        <v>1.063</v>
      </c>
      <c r="P252" s="70">
        <v>1.452</v>
      </c>
      <c r="Q252" s="70">
        <v>1.425</v>
      </c>
      <c r="R252" s="70">
        <v>1.396</v>
      </c>
      <c r="S252" s="70">
        <v>1.3730000000000002</v>
      </c>
      <c r="T252" s="70">
        <v>2.167</v>
      </c>
      <c r="U252" s="70">
        <v>1.0274</v>
      </c>
      <c r="V252" s="70">
        <v>0.0</v>
      </c>
      <c r="W252" s="70">
        <v>1.2095</v>
      </c>
      <c r="X252" s="70">
        <v>0.0</v>
      </c>
      <c r="Y252" s="70">
        <v>879.9</v>
      </c>
      <c r="Z252" s="70">
        <v>2.3555</v>
      </c>
      <c r="AA252" s="70">
        <v>1.23497</v>
      </c>
      <c r="AB252" s="70">
        <v>0.0</v>
      </c>
      <c r="AC252" s="70">
        <v>1.6775</v>
      </c>
      <c r="AD252" s="70">
        <v>0.0</v>
      </c>
      <c r="AE252" s="70">
        <v>0.0</v>
      </c>
      <c r="AF252" s="70">
        <v>0.0</v>
      </c>
      <c r="AG252" s="70">
        <v>0.0</v>
      </c>
      <c r="AH252" s="70">
        <v>1.59596</v>
      </c>
      <c r="AI252" s="70">
        <v>1.165</v>
      </c>
      <c r="AJ252" s="70">
        <v>0.0</v>
      </c>
      <c r="AK252" s="70">
        <v>0.0</v>
      </c>
      <c r="AL252" s="70">
        <v>3.3285</v>
      </c>
      <c r="AM252" s="70">
        <v>1.1909999999999998</v>
      </c>
      <c r="AN252" s="70">
        <v>1.0282</v>
      </c>
      <c r="AO252" s="70">
        <v>1.0311</v>
      </c>
      <c r="AP252" s="70">
        <v>1.0825</v>
      </c>
      <c r="AQ252" s="70">
        <v>0.9765</v>
      </c>
      <c r="AR252" s="70">
        <v>1.23074</v>
      </c>
      <c r="AS252" s="74">
        <v>1.0</v>
      </c>
      <c r="AT252" s="74">
        <v>1.0</v>
      </c>
      <c r="AU252" s="74">
        <v>1.0</v>
      </c>
      <c r="AV252" s="74">
        <v>1.0</v>
      </c>
      <c r="AW252" s="21"/>
      <c r="AX252" s="73">
        <v>29500.0</v>
      </c>
      <c r="AY252" s="73">
        <v>713.5</v>
      </c>
      <c r="AZ252" s="73">
        <v>8048.56245</v>
      </c>
      <c r="BA252" s="73">
        <v>26740.0</v>
      </c>
      <c r="BB252" s="73">
        <v>9955.0</v>
      </c>
      <c r="BC252" s="73">
        <v>14708.40568</v>
      </c>
      <c r="BD252" s="73"/>
      <c r="BE252" s="21"/>
      <c r="BF252" s="21"/>
      <c r="BG252" s="21">
        <v>3106672.19</v>
      </c>
      <c r="BH252" s="21"/>
      <c r="BI252" s="72"/>
      <c r="BJ252" s="21"/>
      <c r="BK252" s="72"/>
      <c r="BL252" s="21"/>
      <c r="BM252" s="72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</row>
    <row r="253" ht="15.75" customHeight="1">
      <c r="A253" s="56">
        <v>46056.0</v>
      </c>
      <c r="B253" s="70">
        <v>1481.0</v>
      </c>
      <c r="C253" s="70">
        <v>1516.6</v>
      </c>
      <c r="D253" s="70">
        <v>1490.0</v>
      </c>
      <c r="E253" s="70">
        <v>11.91</v>
      </c>
      <c r="F253" s="70"/>
      <c r="G253" s="70"/>
      <c r="H253" s="70">
        <v>2.3846000000000003</v>
      </c>
      <c r="I253" s="70">
        <v>2.028</v>
      </c>
      <c r="J253" s="70"/>
      <c r="K253" s="70">
        <v>0.0</v>
      </c>
      <c r="L253" s="70"/>
      <c r="M253" s="70">
        <v>1.271</v>
      </c>
      <c r="N253" s="70">
        <v>1.4374</v>
      </c>
      <c r="O253" s="70">
        <v>1.063</v>
      </c>
      <c r="P253" s="70">
        <v>1.456</v>
      </c>
      <c r="Q253" s="70">
        <v>1.429</v>
      </c>
      <c r="R253" s="70">
        <v>1.4025</v>
      </c>
      <c r="S253" s="70">
        <v>1.3765</v>
      </c>
      <c r="T253" s="70">
        <v>2.164</v>
      </c>
      <c r="U253" s="70">
        <v>1.0274</v>
      </c>
      <c r="V253" s="70">
        <v>0.0</v>
      </c>
      <c r="W253" s="70">
        <v>1.206</v>
      </c>
      <c r="X253" s="70">
        <v>0.0</v>
      </c>
      <c r="Y253" s="70">
        <v>876.3</v>
      </c>
      <c r="Z253" s="70">
        <v>2.36</v>
      </c>
      <c r="AA253" s="70">
        <v>1.23497</v>
      </c>
      <c r="AB253" s="70">
        <v>0.0</v>
      </c>
      <c r="AC253" s="70">
        <v>1.6775</v>
      </c>
      <c r="AD253" s="70">
        <v>0.0</v>
      </c>
      <c r="AE253" s="70">
        <v>0.0</v>
      </c>
      <c r="AF253" s="70">
        <v>0.0</v>
      </c>
      <c r="AG253" s="70">
        <v>0.0</v>
      </c>
      <c r="AH253" s="70">
        <v>1.59596</v>
      </c>
      <c r="AI253" s="70">
        <v>1.1625</v>
      </c>
      <c r="AJ253" s="70">
        <v>0.0</v>
      </c>
      <c r="AK253" s="70">
        <v>0.0</v>
      </c>
      <c r="AL253" s="70">
        <v>3.3355</v>
      </c>
      <c r="AM253" s="70">
        <v>1.192</v>
      </c>
      <c r="AN253" s="70">
        <v>1.03</v>
      </c>
      <c r="AO253" s="70">
        <v>1.0378</v>
      </c>
      <c r="AP253" s="70">
        <v>1.0835</v>
      </c>
      <c r="AQ253" s="70">
        <v>0.9725</v>
      </c>
      <c r="AR253" s="70">
        <v>1.2318</v>
      </c>
      <c r="AS253" s="74">
        <v>1.0</v>
      </c>
      <c r="AT253" s="74">
        <v>1.0</v>
      </c>
      <c r="AU253" s="74">
        <v>1.0</v>
      </c>
      <c r="AV253" s="74">
        <v>1.0</v>
      </c>
      <c r="AW253" s="21"/>
      <c r="AX253" s="73">
        <v>27920.0</v>
      </c>
      <c r="AY253" s="73">
        <v>691.5</v>
      </c>
      <c r="AZ253" s="73">
        <v>7779.44643</v>
      </c>
      <c r="BA253" s="73">
        <v>26040.0</v>
      </c>
      <c r="BB253" s="73">
        <v>9735.0</v>
      </c>
      <c r="BC253" s="73">
        <v>14270.53704</v>
      </c>
      <c r="BD253" s="73"/>
      <c r="BE253" s="21"/>
      <c r="BF253" s="21"/>
      <c r="BG253" s="21">
        <v>3038541.17</v>
      </c>
      <c r="BH253" s="21"/>
      <c r="BI253" s="72"/>
      <c r="BJ253" s="21"/>
      <c r="BK253" s="72"/>
      <c r="BL253" s="21"/>
      <c r="BM253" s="72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</row>
    <row r="254" ht="15.75" customHeight="1">
      <c r="A254" s="56">
        <v>46057.0</v>
      </c>
      <c r="B254" s="70">
        <v>1477.7</v>
      </c>
      <c r="C254" s="70">
        <v>1559.9</v>
      </c>
      <c r="D254" s="70">
        <v>1495.2</v>
      </c>
      <c r="E254" s="70">
        <v>12.0</v>
      </c>
      <c r="F254" s="70"/>
      <c r="G254" s="70"/>
      <c r="H254" s="70">
        <v>2.3846000000000003</v>
      </c>
      <c r="I254" s="70">
        <v>2.033</v>
      </c>
      <c r="J254" s="70"/>
      <c r="K254" s="70">
        <v>0.0</v>
      </c>
      <c r="L254" s="70"/>
      <c r="M254" s="70">
        <v>1.2770000000000001</v>
      </c>
      <c r="N254" s="70">
        <v>1.43962</v>
      </c>
      <c r="O254" s="70">
        <v>1.063</v>
      </c>
      <c r="P254" s="70">
        <v>1.4585</v>
      </c>
      <c r="Q254" s="70">
        <v>1.435</v>
      </c>
      <c r="R254" s="70">
        <v>1.409</v>
      </c>
      <c r="S254" s="70">
        <v>1.383</v>
      </c>
      <c r="T254" s="70">
        <v>2.18</v>
      </c>
      <c r="U254" s="70">
        <v>1.0274</v>
      </c>
      <c r="V254" s="70">
        <v>0.0</v>
      </c>
      <c r="W254" s="70">
        <v>1.209</v>
      </c>
      <c r="X254" s="70">
        <v>0.0</v>
      </c>
      <c r="Y254" s="70">
        <v>880.0</v>
      </c>
      <c r="Z254" s="70">
        <v>2.38</v>
      </c>
      <c r="AA254" s="70">
        <v>1.23497</v>
      </c>
      <c r="AB254" s="70">
        <v>0.0</v>
      </c>
      <c r="AC254" s="70">
        <v>1.6775</v>
      </c>
      <c r="AD254" s="70">
        <v>0.0</v>
      </c>
      <c r="AE254" s="70">
        <v>0.0</v>
      </c>
      <c r="AF254" s="70">
        <v>0.0</v>
      </c>
      <c r="AG254" s="70">
        <v>0.0</v>
      </c>
      <c r="AH254" s="70">
        <v>1.59596</v>
      </c>
      <c r="AI254" s="70">
        <v>1.165</v>
      </c>
      <c r="AJ254" s="70">
        <v>0.0</v>
      </c>
      <c r="AK254" s="70">
        <v>0.0</v>
      </c>
      <c r="AL254" s="70">
        <v>3.3569999999999998</v>
      </c>
      <c r="AM254" s="70">
        <v>1.1975</v>
      </c>
      <c r="AN254" s="70">
        <v>1.0325</v>
      </c>
      <c r="AO254" s="70">
        <v>1.041</v>
      </c>
      <c r="AP254" s="70">
        <v>1.0875</v>
      </c>
      <c r="AQ254" s="70">
        <v>0.98</v>
      </c>
      <c r="AR254" s="70">
        <v>1.2346599999999999</v>
      </c>
      <c r="AS254" s="74">
        <v>1.0</v>
      </c>
      <c r="AT254" s="74">
        <v>1.0</v>
      </c>
      <c r="AU254" s="74">
        <v>1.0</v>
      </c>
      <c r="AV254" s="74">
        <v>1.0</v>
      </c>
      <c r="AW254" s="21"/>
      <c r="AX254" s="73">
        <v>28420.0</v>
      </c>
      <c r="AY254" s="73">
        <v>700.0</v>
      </c>
      <c r="AZ254" s="73">
        <v>7754.52828</v>
      </c>
      <c r="BA254" s="73">
        <v>25920.0</v>
      </c>
      <c r="BB254" s="73">
        <v>9295.0</v>
      </c>
      <c r="BC254" s="73">
        <v>13932.184</v>
      </c>
      <c r="BD254" s="73"/>
      <c r="BE254" s="21"/>
      <c r="BF254" s="21"/>
      <c r="BG254" s="21">
        <v>3015927.37</v>
      </c>
      <c r="BH254" s="21"/>
      <c r="BI254" s="72"/>
      <c r="BJ254" s="21"/>
      <c r="BK254" s="72"/>
      <c r="BL254" s="21"/>
      <c r="BM254" s="72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</row>
    <row r="255" ht="15.75" customHeight="1">
      <c r="A255" s="56">
        <v>46058.0</v>
      </c>
      <c r="B255" s="70">
        <v>1477.3</v>
      </c>
      <c r="C255" s="70">
        <v>1520.0</v>
      </c>
      <c r="D255" s="70">
        <v>1495.0</v>
      </c>
      <c r="E255" s="70">
        <v>12.02</v>
      </c>
      <c r="F255" s="70"/>
      <c r="G255" s="70"/>
      <c r="H255" s="70">
        <v>2.3846000000000003</v>
      </c>
      <c r="I255" s="70">
        <v>2.0355000000000003</v>
      </c>
      <c r="J255" s="70"/>
      <c r="K255" s="70">
        <v>0.0</v>
      </c>
      <c r="L255" s="70"/>
      <c r="M255" s="70">
        <v>1.2725</v>
      </c>
      <c r="N255" s="70">
        <v>1.44155</v>
      </c>
      <c r="O255" s="70">
        <v>1.063</v>
      </c>
      <c r="P255" s="70">
        <v>1.4585</v>
      </c>
      <c r="Q255" s="70">
        <v>1.4369999999999998</v>
      </c>
      <c r="R255" s="70">
        <v>1.411</v>
      </c>
      <c r="S255" s="70">
        <v>1.383</v>
      </c>
      <c r="T255" s="70">
        <v>2.1919999999999997</v>
      </c>
      <c r="U255" s="70">
        <v>1.0274</v>
      </c>
      <c r="V255" s="70">
        <v>0.0</v>
      </c>
      <c r="W255" s="70">
        <v>1.2025</v>
      </c>
      <c r="X255" s="70">
        <v>0.0</v>
      </c>
      <c r="Y255" s="70">
        <v>886.7</v>
      </c>
      <c r="Z255" s="70">
        <v>2.3875</v>
      </c>
      <c r="AA255" s="70">
        <v>1.23497</v>
      </c>
      <c r="AB255" s="70">
        <v>0.0</v>
      </c>
      <c r="AC255" s="70">
        <v>1.6775</v>
      </c>
      <c r="AD255" s="70">
        <v>0.0</v>
      </c>
      <c r="AE255" s="70">
        <v>0.0</v>
      </c>
      <c r="AF255" s="70">
        <v>0.0</v>
      </c>
      <c r="AG255" s="70">
        <v>0.0</v>
      </c>
      <c r="AH255" s="70">
        <v>1.59596</v>
      </c>
      <c r="AI255" s="70">
        <v>1.1640000000000001</v>
      </c>
      <c r="AJ255" s="70">
        <v>0.0</v>
      </c>
      <c r="AK255" s="70">
        <v>0.0</v>
      </c>
      <c r="AL255" s="70">
        <v>3.367</v>
      </c>
      <c r="AM255" s="70">
        <v>1.1955</v>
      </c>
      <c r="AN255" s="70">
        <v>1.0334</v>
      </c>
      <c r="AO255" s="70">
        <v>1.044</v>
      </c>
      <c r="AP255" s="70">
        <v>1.0825</v>
      </c>
      <c r="AQ255" s="70">
        <v>0.9845</v>
      </c>
      <c r="AR255" s="70">
        <v>1.23589</v>
      </c>
      <c r="AS255" s="74">
        <v>1.0</v>
      </c>
      <c r="AT255" s="74">
        <v>1.0</v>
      </c>
      <c r="AU255" s="74">
        <v>1.0</v>
      </c>
      <c r="AV255" s="74">
        <v>1.0</v>
      </c>
      <c r="AW255" s="21"/>
      <c r="AX255" s="73">
        <v>27240.0</v>
      </c>
      <c r="AY255" s="73">
        <v>683.5</v>
      </c>
      <c r="AZ255" s="73">
        <v>7480.42863</v>
      </c>
      <c r="BA255" s="73">
        <v>25580.0</v>
      </c>
      <c r="BB255" s="73">
        <v>8750.0</v>
      </c>
      <c r="BC255" s="73">
        <v>13315.18728</v>
      </c>
      <c r="BD255" s="73"/>
      <c r="BE255" s="21"/>
      <c r="BF255" s="21"/>
      <c r="BG255" s="21">
        <v>2932837.44</v>
      </c>
      <c r="BH255" s="21"/>
      <c r="BI255" s="72"/>
      <c r="BJ255" s="21"/>
      <c r="BK255" s="72"/>
      <c r="BL255" s="21"/>
      <c r="BM255" s="72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</row>
    <row r="256" ht="15.75" customHeight="1">
      <c r="A256" s="56">
        <v>46059.0</v>
      </c>
      <c r="B256" s="70">
        <v>1477.4</v>
      </c>
      <c r="C256" s="70">
        <v>1514.7</v>
      </c>
      <c r="D256" s="70">
        <v>1480.0</v>
      </c>
      <c r="E256" s="70">
        <v>12.07</v>
      </c>
      <c r="F256" s="70"/>
      <c r="G256" s="70"/>
      <c r="H256" s="70">
        <v>2.3846000000000003</v>
      </c>
      <c r="I256" s="70">
        <v>2.0425</v>
      </c>
      <c r="J256" s="70"/>
      <c r="K256" s="70">
        <v>0.0</v>
      </c>
      <c r="L256" s="70"/>
      <c r="M256" s="70">
        <v>1.2775</v>
      </c>
      <c r="N256" s="70">
        <v>1.4453</v>
      </c>
      <c r="O256" s="70">
        <v>1.063</v>
      </c>
      <c r="P256" s="70">
        <v>1.4625</v>
      </c>
      <c r="Q256" s="70">
        <v>1.4409999999999998</v>
      </c>
      <c r="R256" s="70">
        <v>1.4180000000000001</v>
      </c>
      <c r="S256" s="70">
        <v>1.3880000000000001</v>
      </c>
      <c r="T256" s="70">
        <v>2.2075</v>
      </c>
      <c r="U256" s="70">
        <v>1.0274</v>
      </c>
      <c r="V256" s="70">
        <v>0.0</v>
      </c>
      <c r="W256" s="70">
        <v>1.2065000000000001</v>
      </c>
      <c r="X256" s="70">
        <v>0.0</v>
      </c>
      <c r="Y256" s="70">
        <v>884.8</v>
      </c>
      <c r="Z256" s="70">
        <v>2.3994999999999997</v>
      </c>
      <c r="AA256" s="70">
        <v>1.23497</v>
      </c>
      <c r="AB256" s="70">
        <v>0.0</v>
      </c>
      <c r="AC256" s="70">
        <v>1.6775</v>
      </c>
      <c r="AD256" s="70">
        <v>0.0</v>
      </c>
      <c r="AE256" s="70">
        <v>0.0</v>
      </c>
      <c r="AF256" s="70">
        <v>0.0</v>
      </c>
      <c r="AG256" s="70">
        <v>0.0</v>
      </c>
      <c r="AH256" s="70">
        <v>1.59596</v>
      </c>
      <c r="AI256" s="70">
        <v>1.139</v>
      </c>
      <c r="AJ256" s="70">
        <v>0.0</v>
      </c>
      <c r="AK256" s="70">
        <v>0.0</v>
      </c>
      <c r="AL256" s="70">
        <v>3.38</v>
      </c>
      <c r="AM256" s="70">
        <v>1.1984000000000001</v>
      </c>
      <c r="AN256" s="70">
        <v>1.03785</v>
      </c>
      <c r="AO256" s="70">
        <v>1.0469</v>
      </c>
      <c r="AP256" s="70">
        <v>1.0885</v>
      </c>
      <c r="AQ256" s="70">
        <v>0.988</v>
      </c>
      <c r="AR256" s="70">
        <v>1.24055</v>
      </c>
      <c r="AS256" s="74">
        <v>1.0</v>
      </c>
      <c r="AT256" s="74">
        <v>1.0</v>
      </c>
      <c r="AU256" s="74">
        <v>1.0</v>
      </c>
      <c r="AV256" s="74">
        <v>1.0</v>
      </c>
      <c r="AW256" s="21"/>
      <c r="AX256" s="73">
        <v>27780.0</v>
      </c>
      <c r="AY256" s="73">
        <v>689.0</v>
      </c>
      <c r="AZ256" s="73">
        <v>7470.0</v>
      </c>
      <c r="BA256" s="73">
        <v>24310.0</v>
      </c>
      <c r="BB256" s="73">
        <v>8970.0</v>
      </c>
      <c r="BC256" s="73">
        <v>13772.95904</v>
      </c>
      <c r="BD256" s="73"/>
      <c r="BE256" s="21"/>
      <c r="BF256" s="21"/>
      <c r="BG256" s="21">
        <v>2977118.6</v>
      </c>
      <c r="BH256" s="21"/>
      <c r="BI256" s="72"/>
      <c r="BJ256" s="21"/>
      <c r="BK256" s="72"/>
      <c r="BL256" s="21"/>
      <c r="BM256" s="72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</row>
    <row r="257" ht="15.75" customHeight="1">
      <c r="A257" s="56">
        <v>46062.0</v>
      </c>
      <c r="B257" s="70">
        <v>1446.4</v>
      </c>
      <c r="C257" s="70">
        <v>1509.2</v>
      </c>
      <c r="D257" s="70">
        <v>1470.0</v>
      </c>
      <c r="E257" s="70">
        <v>12.085</v>
      </c>
      <c r="F257" s="70"/>
      <c r="G257" s="70"/>
      <c r="H257" s="70">
        <v>3.3846</v>
      </c>
      <c r="I257" s="70">
        <v>2.045</v>
      </c>
      <c r="J257" s="70"/>
      <c r="K257" s="70">
        <v>1.0</v>
      </c>
      <c r="L257" s="70"/>
      <c r="M257" s="70">
        <v>1.278</v>
      </c>
      <c r="N257" s="70">
        <v>1.4463</v>
      </c>
      <c r="O257" s="70">
        <v>2.063</v>
      </c>
      <c r="P257" s="70">
        <v>1.4645</v>
      </c>
      <c r="Q257" s="70">
        <v>1.4415</v>
      </c>
      <c r="R257" s="70">
        <v>1.422</v>
      </c>
      <c r="S257" s="70">
        <v>1.395</v>
      </c>
      <c r="T257" s="70">
        <v>2.209</v>
      </c>
      <c r="U257" s="70">
        <v>1.0274</v>
      </c>
      <c r="V257" s="70">
        <v>0.0</v>
      </c>
      <c r="W257" s="70">
        <v>1.202</v>
      </c>
      <c r="X257" s="70">
        <v>1.0</v>
      </c>
      <c r="Y257" s="70">
        <v>884.9</v>
      </c>
      <c r="Z257" s="70">
        <v>2.4</v>
      </c>
      <c r="AA257" s="70">
        <v>2.23497</v>
      </c>
      <c r="AB257" s="70">
        <v>0.0</v>
      </c>
      <c r="AC257" s="70">
        <v>1.6775</v>
      </c>
      <c r="AD257" s="70">
        <v>0.0</v>
      </c>
      <c r="AE257" s="70">
        <v>0.0</v>
      </c>
      <c r="AF257" s="70">
        <v>0.0</v>
      </c>
      <c r="AG257" s="70">
        <v>0.0</v>
      </c>
      <c r="AH257" s="70">
        <v>1.59596</v>
      </c>
      <c r="AI257" s="70">
        <v>1.159</v>
      </c>
      <c r="AJ257" s="70">
        <v>0.0</v>
      </c>
      <c r="AK257" s="70">
        <v>0.0</v>
      </c>
      <c r="AL257" s="70">
        <v>3.39</v>
      </c>
      <c r="AM257" s="70">
        <v>1.199</v>
      </c>
      <c r="AN257" s="70">
        <v>1.038</v>
      </c>
      <c r="AO257" s="70">
        <v>1.04752</v>
      </c>
      <c r="AP257" s="70">
        <v>1.085</v>
      </c>
      <c r="AQ257" s="70">
        <v>0.99</v>
      </c>
      <c r="AR257" s="70">
        <v>1.24098</v>
      </c>
      <c r="AS257" s="74">
        <v>1.0</v>
      </c>
      <c r="AT257" s="74">
        <v>1.0</v>
      </c>
      <c r="AU257" s="74">
        <v>1.0</v>
      </c>
      <c r="AV257" s="74">
        <v>1.0</v>
      </c>
      <c r="AW257" s="21"/>
      <c r="AX257" s="73">
        <v>27500.0</v>
      </c>
      <c r="AY257" s="73">
        <v>693.5</v>
      </c>
      <c r="AZ257" s="73">
        <v>7435.0</v>
      </c>
      <c r="BA257" s="73">
        <v>24860.0</v>
      </c>
      <c r="BB257" s="73">
        <v>9050.0</v>
      </c>
      <c r="BC257" s="73">
        <v>13663.49188</v>
      </c>
      <c r="BD257" s="73"/>
      <c r="BE257" s="21"/>
      <c r="BF257" s="21"/>
      <c r="BG257" s="21">
        <v>2976663.79</v>
      </c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</row>
    <row r="258" ht="15.75" customHeight="1">
      <c r="A258" s="56">
        <v>46063.0</v>
      </c>
      <c r="B258" s="70">
        <v>1596.0</v>
      </c>
      <c r="C258" s="70">
        <v>1486.0</v>
      </c>
      <c r="D258" s="70">
        <v>1451.1</v>
      </c>
      <c r="E258" s="70">
        <v>12.13</v>
      </c>
      <c r="F258" s="70"/>
      <c r="G258" s="70"/>
      <c r="H258" s="70">
        <v>4.3846</v>
      </c>
      <c r="I258" s="70">
        <v>2.051</v>
      </c>
      <c r="J258" s="70"/>
      <c r="K258" s="70">
        <v>2.0</v>
      </c>
      <c r="L258" s="70"/>
      <c r="M258" s="70">
        <v>1.2790000000000001</v>
      </c>
      <c r="N258" s="70">
        <v>1.44764</v>
      </c>
      <c r="O258" s="70">
        <v>3.063</v>
      </c>
      <c r="P258" s="70">
        <v>1.466</v>
      </c>
      <c r="Q258" s="70">
        <v>1.4435</v>
      </c>
      <c r="R258" s="70">
        <v>1.4325</v>
      </c>
      <c r="S258" s="70">
        <v>1.402</v>
      </c>
      <c r="T258" s="70">
        <v>2.2085</v>
      </c>
      <c r="U258" s="70">
        <v>1.0274</v>
      </c>
      <c r="V258" s="70">
        <v>0.0</v>
      </c>
      <c r="W258" s="70">
        <v>1.2</v>
      </c>
      <c r="X258" s="70">
        <v>2.0</v>
      </c>
      <c r="Y258" s="70">
        <v>885.4</v>
      </c>
      <c r="Z258" s="70">
        <v>2.404</v>
      </c>
      <c r="AA258" s="70">
        <v>3.23497</v>
      </c>
      <c r="AB258" s="70">
        <v>0.0</v>
      </c>
      <c r="AC258" s="70">
        <v>1.6775</v>
      </c>
      <c r="AD258" s="70">
        <v>0.0</v>
      </c>
      <c r="AE258" s="70">
        <v>0.0</v>
      </c>
      <c r="AF258" s="70">
        <v>0.0</v>
      </c>
      <c r="AG258" s="70">
        <v>0.0</v>
      </c>
      <c r="AH258" s="70">
        <v>1.59596</v>
      </c>
      <c r="AI258" s="70">
        <v>1.16</v>
      </c>
      <c r="AJ258" s="70">
        <v>0.0</v>
      </c>
      <c r="AK258" s="70">
        <v>0.0</v>
      </c>
      <c r="AL258" s="70">
        <v>3.397</v>
      </c>
      <c r="AM258" s="70">
        <v>1.2018</v>
      </c>
      <c r="AN258" s="70">
        <v>1.03721</v>
      </c>
      <c r="AO258" s="70">
        <v>1.0534999999999999</v>
      </c>
      <c r="AP258" s="70">
        <v>1.088</v>
      </c>
      <c r="AQ258" s="70">
        <v>0.993</v>
      </c>
      <c r="AR258" s="70">
        <v>1.24203</v>
      </c>
      <c r="AS258" s="74">
        <v>1.0</v>
      </c>
      <c r="AT258" s="74">
        <v>1.0</v>
      </c>
      <c r="AU258" s="74">
        <v>1.0</v>
      </c>
      <c r="AV258" s="74">
        <v>1.0</v>
      </c>
      <c r="AW258" s="21"/>
      <c r="AX258" s="73">
        <v>27680.0</v>
      </c>
      <c r="AY258" s="73">
        <v>710.0</v>
      </c>
      <c r="AZ258" s="73">
        <v>7745.0</v>
      </c>
      <c r="BA258" s="73">
        <v>25080.0</v>
      </c>
      <c r="BB258" s="73">
        <v>9260.0</v>
      </c>
      <c r="BC258" s="73">
        <v>14051.60272</v>
      </c>
      <c r="BD258" s="73"/>
      <c r="BE258" s="21"/>
      <c r="BF258" s="21"/>
      <c r="BG258" s="21">
        <v>3060605.62</v>
      </c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</row>
    <row r="259" ht="15.75" customHeight="1">
      <c r="A259" s="56">
        <v>46064.0</v>
      </c>
      <c r="B259" s="70">
        <v>1525.0</v>
      </c>
      <c r="C259" s="70">
        <v>1485.0</v>
      </c>
      <c r="D259" s="70">
        <v>1469.4</v>
      </c>
      <c r="E259" s="70">
        <v>12.12</v>
      </c>
      <c r="F259" s="70"/>
      <c r="G259" s="70"/>
      <c r="H259" s="70">
        <v>5.3846</v>
      </c>
      <c r="I259" s="70">
        <v>2.0525</v>
      </c>
      <c r="J259" s="70"/>
      <c r="K259" s="70">
        <v>3.0</v>
      </c>
      <c r="L259" s="70"/>
      <c r="M259" s="70">
        <v>1.278</v>
      </c>
      <c r="N259" s="70">
        <v>1.44884</v>
      </c>
      <c r="O259" s="70">
        <v>4.063</v>
      </c>
      <c r="P259" s="70">
        <v>1.466</v>
      </c>
      <c r="Q259" s="70">
        <v>1.443</v>
      </c>
      <c r="R259" s="70">
        <v>1.429</v>
      </c>
      <c r="S259" s="70">
        <v>1.406</v>
      </c>
      <c r="T259" s="70">
        <v>2.2065</v>
      </c>
      <c r="U259" s="70">
        <v>1.0274</v>
      </c>
      <c r="V259" s="70">
        <v>0.0</v>
      </c>
      <c r="W259" s="70">
        <v>1.199</v>
      </c>
      <c r="X259" s="70">
        <v>3.0</v>
      </c>
      <c r="Y259" s="70">
        <v>888.9</v>
      </c>
      <c r="Z259" s="70">
        <v>2.4025</v>
      </c>
      <c r="AA259" s="70">
        <v>4.23497</v>
      </c>
      <c r="AB259" s="70">
        <v>0.0</v>
      </c>
      <c r="AC259" s="70">
        <v>1.6775</v>
      </c>
      <c r="AD259" s="70">
        <v>0.0</v>
      </c>
      <c r="AE259" s="70">
        <v>0.0</v>
      </c>
      <c r="AF259" s="70">
        <v>0.0</v>
      </c>
      <c r="AG259" s="70">
        <v>0.0</v>
      </c>
      <c r="AH259" s="70">
        <v>1.59596</v>
      </c>
      <c r="AI259" s="70">
        <v>1.159</v>
      </c>
      <c r="AJ259" s="70">
        <v>0.0</v>
      </c>
      <c r="AK259" s="70">
        <v>0.0</v>
      </c>
      <c r="AL259" s="70">
        <v>3.3975</v>
      </c>
      <c r="AM259" s="70">
        <v>1.2005</v>
      </c>
      <c r="AN259" s="70">
        <v>1.0378</v>
      </c>
      <c r="AO259" s="70">
        <v>1.052</v>
      </c>
      <c r="AP259" s="70">
        <v>1.0865</v>
      </c>
      <c r="AQ259" s="70">
        <v>0.9915</v>
      </c>
      <c r="AR259" s="70">
        <v>1.2429000000000001</v>
      </c>
      <c r="AS259" s="74">
        <v>1.0</v>
      </c>
      <c r="AT259" s="74">
        <v>1.0</v>
      </c>
      <c r="AU259" s="74">
        <v>1.0</v>
      </c>
      <c r="AV259" s="74">
        <v>1.0</v>
      </c>
      <c r="AW259" s="21"/>
      <c r="AX259" s="73">
        <v>27600.0</v>
      </c>
      <c r="AY259" s="73">
        <v>697.5</v>
      </c>
      <c r="AZ259" s="73">
        <v>7570.0</v>
      </c>
      <c r="BA259" s="73">
        <v>24930.0</v>
      </c>
      <c r="BB259" s="73">
        <v>8975.0</v>
      </c>
      <c r="BC259" s="73">
        <v>13852.57152</v>
      </c>
      <c r="BD259" s="73"/>
      <c r="BE259" s="21"/>
      <c r="BF259" s="21"/>
      <c r="BG259" s="21">
        <v>3017641.26</v>
      </c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</row>
    <row r="260" ht="15.75" customHeight="1">
      <c r="A260" s="56">
        <v>46065.0</v>
      </c>
      <c r="B260" s="70">
        <v>1504.9</v>
      </c>
      <c r="C260" s="70">
        <v>1472.0</v>
      </c>
      <c r="D260" s="70">
        <v>1446.2</v>
      </c>
      <c r="E260" s="70">
        <v>12.16</v>
      </c>
      <c r="F260" s="70"/>
      <c r="G260" s="70"/>
      <c r="H260" s="70">
        <v>5.3846</v>
      </c>
      <c r="I260" s="70">
        <v>2.056</v>
      </c>
      <c r="J260" s="70"/>
      <c r="K260" s="70">
        <v>3.0</v>
      </c>
      <c r="L260" s="70"/>
      <c r="M260" s="70">
        <v>1.286</v>
      </c>
      <c r="N260" s="70">
        <v>1.44884</v>
      </c>
      <c r="O260" s="70">
        <v>4.063</v>
      </c>
      <c r="P260" s="70">
        <v>1.4685</v>
      </c>
      <c r="Q260" s="70">
        <v>1.4445</v>
      </c>
      <c r="R260" s="70">
        <v>1.4325</v>
      </c>
      <c r="S260" s="70">
        <v>1.41</v>
      </c>
      <c r="T260" s="70">
        <v>2.2125</v>
      </c>
      <c r="U260" s="70">
        <v>1.0274</v>
      </c>
      <c r="V260" s="70">
        <v>0.0</v>
      </c>
      <c r="W260" s="70">
        <v>1.2025</v>
      </c>
      <c r="X260" s="70">
        <v>3.0</v>
      </c>
      <c r="Y260" s="70">
        <v>875.0</v>
      </c>
      <c r="Z260" s="70">
        <v>2.41</v>
      </c>
      <c r="AA260" s="70">
        <v>4.23497</v>
      </c>
      <c r="AB260" s="70">
        <v>0.0</v>
      </c>
      <c r="AC260" s="70">
        <v>1.6775</v>
      </c>
      <c r="AD260" s="70">
        <v>0.0</v>
      </c>
      <c r="AE260" s="70">
        <v>0.0</v>
      </c>
      <c r="AF260" s="70">
        <v>0.0</v>
      </c>
      <c r="AG260" s="70">
        <v>0.0</v>
      </c>
      <c r="AH260" s="70">
        <v>1.59596</v>
      </c>
      <c r="AI260" s="70">
        <v>1.167</v>
      </c>
      <c r="AJ260" s="70">
        <v>0.0</v>
      </c>
      <c r="AK260" s="70">
        <v>0.0</v>
      </c>
      <c r="AL260" s="70">
        <v>3.4130000000000003</v>
      </c>
      <c r="AM260" s="70">
        <v>1.203</v>
      </c>
      <c r="AN260" s="70">
        <v>1.0390000000000001</v>
      </c>
      <c r="AO260" s="70">
        <v>1.0572</v>
      </c>
      <c r="AP260" s="70">
        <v>1.089</v>
      </c>
      <c r="AQ260" s="70">
        <v>0.997</v>
      </c>
      <c r="AR260" s="70">
        <v>1.2438</v>
      </c>
      <c r="AS260" s="74">
        <v>1.0</v>
      </c>
      <c r="AT260" s="74">
        <v>1.0</v>
      </c>
      <c r="AU260" s="74">
        <v>1.0</v>
      </c>
      <c r="AV260" s="74">
        <v>1.0</v>
      </c>
      <c r="AW260" s="21"/>
      <c r="AX260" s="73">
        <v>26520.0</v>
      </c>
      <c r="AY260" s="73">
        <v>679.5</v>
      </c>
      <c r="AZ260" s="73">
        <v>6950.0</v>
      </c>
      <c r="BA260" s="73">
        <v>24780.0</v>
      </c>
      <c r="BB260" s="73">
        <v>8180.0</v>
      </c>
      <c r="BC260" s="73">
        <v>12976.83424</v>
      </c>
      <c r="BD260" s="75">
        <v>5100.0</v>
      </c>
      <c r="BE260" s="21"/>
      <c r="BF260" s="21"/>
      <c r="BG260" s="21">
        <v>2851779.79</v>
      </c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</row>
    <row r="261" ht="15.75" customHeight="1">
      <c r="A261" s="56">
        <v>46066.0</v>
      </c>
      <c r="B261" s="70">
        <v>1459.5</v>
      </c>
      <c r="C261" s="70">
        <v>1476.4</v>
      </c>
      <c r="D261" s="70">
        <v>1457.8</v>
      </c>
      <c r="E261" s="70">
        <v>12.24</v>
      </c>
      <c r="F261" s="70"/>
      <c r="G261" s="70"/>
      <c r="H261" s="70">
        <v>5.3846</v>
      </c>
      <c r="I261" s="70">
        <v>2.066</v>
      </c>
      <c r="J261" s="70"/>
      <c r="K261" s="70">
        <v>3.0</v>
      </c>
      <c r="L261" s="70"/>
      <c r="M261" s="70">
        <v>1.298</v>
      </c>
      <c r="N261" s="70"/>
      <c r="O261" s="70">
        <v>4.063</v>
      </c>
      <c r="P261" s="70">
        <v>1.4769999999999999</v>
      </c>
      <c r="Q261" s="70">
        <v>1.456</v>
      </c>
      <c r="R261" s="70">
        <v>1.4380000000000002</v>
      </c>
      <c r="S261" s="70">
        <v>1.4180000000000001</v>
      </c>
      <c r="T261" s="70">
        <v>2.229</v>
      </c>
      <c r="U261" s="70">
        <v>1.0274</v>
      </c>
      <c r="V261" s="70">
        <v>0.0</v>
      </c>
      <c r="W261" s="70">
        <v>1.2175</v>
      </c>
      <c r="X261" s="70">
        <v>3.0</v>
      </c>
      <c r="Y261" s="70">
        <v>876.3</v>
      </c>
      <c r="Z261" s="70">
        <v>2.43</v>
      </c>
      <c r="AA261" s="70">
        <v>4.23497</v>
      </c>
      <c r="AB261" s="70">
        <v>0.0</v>
      </c>
      <c r="AC261" s="70">
        <v>1.6775</v>
      </c>
      <c r="AD261" s="70">
        <v>0.0</v>
      </c>
      <c r="AE261" s="70">
        <v>0.0</v>
      </c>
      <c r="AF261" s="70">
        <v>0.0</v>
      </c>
      <c r="AG261" s="70">
        <v>0.0</v>
      </c>
      <c r="AH261" s="70">
        <v>1.59596</v>
      </c>
      <c r="AI261" s="70">
        <v>1.1704999999999999</v>
      </c>
      <c r="AJ261" s="70">
        <v>0.0</v>
      </c>
      <c r="AK261" s="70">
        <v>0.0</v>
      </c>
      <c r="AL261" s="70">
        <v>3.4385000000000003</v>
      </c>
      <c r="AM261" s="70">
        <v>1.2136</v>
      </c>
      <c r="AN261" s="70">
        <v>1.0444</v>
      </c>
      <c r="AO261" s="70">
        <v>1.0658</v>
      </c>
      <c r="AP261" s="70">
        <v>1.0985</v>
      </c>
      <c r="AQ261" s="70">
        <v>0.998</v>
      </c>
      <c r="AR261" s="70">
        <v>1.2488</v>
      </c>
      <c r="AS261" s="74">
        <v>1.0</v>
      </c>
      <c r="AT261" s="74">
        <v>1.0</v>
      </c>
      <c r="AU261" s="74">
        <v>1.0</v>
      </c>
      <c r="AV261" s="74">
        <v>1.0</v>
      </c>
      <c r="AW261" s="21"/>
      <c r="AX261" s="73">
        <v>26520.0</v>
      </c>
      <c r="AY261" s="73">
        <v>679.5</v>
      </c>
      <c r="AZ261" s="73">
        <v>6950.0</v>
      </c>
      <c r="BA261" s="73">
        <v>24780.0</v>
      </c>
      <c r="BB261" s="73">
        <v>8180.0</v>
      </c>
      <c r="BC261" s="73">
        <v>12976.83424</v>
      </c>
      <c r="BD261" s="75">
        <v>5100.0</v>
      </c>
      <c r="BE261" s="21"/>
      <c r="BF261" s="21"/>
      <c r="BG261" s="21">
        <v>2816127.94</v>
      </c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</row>
    <row r="262" ht="15.75" customHeight="1">
      <c r="A262" s="56">
        <v>46071.0</v>
      </c>
      <c r="B262" s="70">
        <v>1422.8</v>
      </c>
      <c r="C262" s="70">
        <v>1473.0</v>
      </c>
      <c r="D262" s="70">
        <v>1452.0</v>
      </c>
      <c r="E262" s="70">
        <v>12.27</v>
      </c>
      <c r="F262" s="70"/>
      <c r="G262" s="70"/>
      <c r="H262" s="70">
        <v>5.3846</v>
      </c>
      <c r="I262" s="70">
        <v>2.065</v>
      </c>
      <c r="J262" s="70"/>
      <c r="K262" s="70">
        <v>3.0</v>
      </c>
      <c r="L262" s="70"/>
      <c r="M262" s="70">
        <v>1.297</v>
      </c>
      <c r="N262" s="70"/>
      <c r="O262" s="70">
        <v>4.063</v>
      </c>
      <c r="P262" s="70">
        <v>1.4775</v>
      </c>
      <c r="Q262" s="70">
        <v>1.453</v>
      </c>
      <c r="R262" s="70">
        <v>1.44</v>
      </c>
      <c r="S262" s="70">
        <v>1.4225</v>
      </c>
      <c r="T262" s="70">
        <v>2.228</v>
      </c>
      <c r="U262" s="70">
        <v>1.0274</v>
      </c>
      <c r="V262" s="70">
        <v>0.0</v>
      </c>
      <c r="W262" s="70">
        <v>1.2185</v>
      </c>
      <c r="X262" s="70">
        <v>3.0</v>
      </c>
      <c r="Y262" s="70">
        <v>869.0</v>
      </c>
      <c r="Z262" s="70">
        <v>2.437</v>
      </c>
      <c r="AA262" s="70">
        <v>4.23497</v>
      </c>
      <c r="AB262" s="70">
        <v>0.0</v>
      </c>
      <c r="AC262" s="70">
        <v>1.6775</v>
      </c>
      <c r="AD262" s="70">
        <v>0.0</v>
      </c>
      <c r="AE262" s="70">
        <v>0.0</v>
      </c>
      <c r="AF262" s="70">
        <v>0.0</v>
      </c>
      <c r="AG262" s="70">
        <v>0.0</v>
      </c>
      <c r="AH262" s="70">
        <v>1.59596</v>
      </c>
      <c r="AI262" s="70">
        <v>1.1735</v>
      </c>
      <c r="AJ262" s="70">
        <v>0.0</v>
      </c>
      <c r="AK262" s="70">
        <v>0.0</v>
      </c>
      <c r="AL262" s="70">
        <v>3.4395</v>
      </c>
      <c r="AM262" s="70">
        <v>1.2095</v>
      </c>
      <c r="AN262" s="70">
        <v>1.0428</v>
      </c>
      <c r="AO262" s="70">
        <v>1.0648</v>
      </c>
      <c r="AP262" s="70">
        <v>1.0985</v>
      </c>
      <c r="AQ262" s="70">
        <v>1.001</v>
      </c>
      <c r="AR262" s="70">
        <v>1.2488</v>
      </c>
      <c r="AS262" s="74">
        <v>1.0</v>
      </c>
      <c r="AT262" s="74">
        <v>1.0</v>
      </c>
      <c r="AU262" s="74">
        <v>1.0</v>
      </c>
      <c r="AV262" s="74">
        <v>1.0</v>
      </c>
      <c r="AW262" s="21"/>
      <c r="AX262" s="73">
        <v>26520.0</v>
      </c>
      <c r="AY262" s="73">
        <v>679.5</v>
      </c>
      <c r="AZ262" s="73">
        <v>6950.0</v>
      </c>
      <c r="BA262" s="73">
        <v>24780.0</v>
      </c>
      <c r="BB262" s="73">
        <v>8180.0</v>
      </c>
      <c r="BC262" s="73">
        <v>12976.83424</v>
      </c>
      <c r="BD262" s="75">
        <v>5100.0</v>
      </c>
      <c r="BE262" s="21"/>
      <c r="BF262" s="21"/>
      <c r="BG262" s="21">
        <v>2723175.02</v>
      </c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</row>
    <row r="263" ht="15.75" customHeight="1">
      <c r="A263" s="56">
        <v>46072.0</v>
      </c>
      <c r="B263" s="70">
        <v>1472.5</v>
      </c>
      <c r="C263" s="70">
        <v>1461.5</v>
      </c>
      <c r="D263" s="70">
        <v>1454.7</v>
      </c>
      <c r="E263" s="70">
        <v>12.24</v>
      </c>
      <c r="F263" s="70"/>
      <c r="G263" s="70"/>
      <c r="H263" s="70">
        <v>5.3846</v>
      </c>
      <c r="I263" s="70">
        <v>2.064</v>
      </c>
      <c r="J263" s="70"/>
      <c r="K263" s="70">
        <v>3.0</v>
      </c>
      <c r="L263" s="70"/>
      <c r="M263" s="70">
        <v>1.2905000000000002</v>
      </c>
      <c r="N263" s="70"/>
      <c r="O263" s="70">
        <v>4.063</v>
      </c>
      <c r="P263" s="70">
        <v>1.4785</v>
      </c>
      <c r="Q263" s="70">
        <v>1.4545</v>
      </c>
      <c r="R263" s="70">
        <v>1.4425</v>
      </c>
      <c r="S263" s="70">
        <v>1.419</v>
      </c>
      <c r="T263" s="70">
        <v>2.224</v>
      </c>
      <c r="U263" s="70">
        <v>1.0274</v>
      </c>
      <c r="V263" s="70">
        <v>0.0</v>
      </c>
      <c r="W263" s="70">
        <v>1.2145000000000001</v>
      </c>
      <c r="X263" s="70">
        <v>3.0</v>
      </c>
      <c r="Y263" s="70">
        <v>865.5</v>
      </c>
      <c r="Z263" s="70">
        <v>2.437</v>
      </c>
      <c r="AA263" s="70">
        <v>4.23497</v>
      </c>
      <c r="AB263" s="70">
        <v>0.0</v>
      </c>
      <c r="AC263" s="70">
        <v>1.6775</v>
      </c>
      <c r="AD263" s="70">
        <v>0.0</v>
      </c>
      <c r="AE263" s="70">
        <v>0.0</v>
      </c>
      <c r="AF263" s="70">
        <v>0.0</v>
      </c>
      <c r="AG263" s="70">
        <v>0.0</v>
      </c>
      <c r="AH263" s="70">
        <v>1.59596</v>
      </c>
      <c r="AI263" s="70">
        <v>1.177</v>
      </c>
      <c r="AJ263" s="70">
        <v>0.0</v>
      </c>
      <c r="AK263" s="70">
        <v>0.0</v>
      </c>
      <c r="AL263" s="70">
        <v>3.4364999999999997</v>
      </c>
      <c r="AM263" s="70">
        <v>1.20748</v>
      </c>
      <c r="AN263" s="70">
        <v>1.0425</v>
      </c>
      <c r="AO263" s="70">
        <v>1.063</v>
      </c>
      <c r="AP263" s="70">
        <v>1.0959999999999999</v>
      </c>
      <c r="AQ263" s="70">
        <v>1.004</v>
      </c>
      <c r="AR263" s="70">
        <v>1.2497</v>
      </c>
      <c r="AS263" s="74">
        <v>1.0</v>
      </c>
      <c r="AT263" s="74">
        <v>1.0</v>
      </c>
      <c r="AU263" s="74">
        <v>1.0</v>
      </c>
      <c r="AV263" s="74">
        <v>1.0</v>
      </c>
      <c r="AW263" s="21"/>
      <c r="AX263" s="73">
        <v>26520.0</v>
      </c>
      <c r="AY263" s="73">
        <v>679.5</v>
      </c>
      <c r="AZ263" s="73">
        <v>6950.0</v>
      </c>
      <c r="BA263" s="73">
        <v>24780.0</v>
      </c>
      <c r="BB263" s="73">
        <v>8180.0</v>
      </c>
      <c r="BC263" s="73">
        <v>12976.83424</v>
      </c>
      <c r="BD263" s="75">
        <v>5100.0</v>
      </c>
      <c r="BE263" s="21"/>
      <c r="BF263" s="21"/>
      <c r="BG263" s="21">
        <v>2839106.06</v>
      </c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</row>
    <row r="264" ht="15.75" customHeight="1">
      <c r="A264" s="56">
        <v>46073.0</v>
      </c>
      <c r="B264" s="70">
        <v>1466.0</v>
      </c>
      <c r="C264" s="70">
        <v>1488.9</v>
      </c>
      <c r="D264" s="70">
        <v>1439.0</v>
      </c>
      <c r="E264" s="70">
        <v>12.28</v>
      </c>
      <c r="F264" s="70"/>
      <c r="G264" s="70"/>
      <c r="H264" s="70">
        <v>5.3846</v>
      </c>
      <c r="I264" s="70">
        <v>2.0709999999999997</v>
      </c>
      <c r="J264" s="70"/>
      <c r="K264" s="70">
        <v>3.0</v>
      </c>
      <c r="L264" s="70"/>
      <c r="M264" s="70">
        <v>1.297</v>
      </c>
      <c r="N264" s="70"/>
      <c r="O264" s="70">
        <v>4.063</v>
      </c>
      <c r="P264" s="70">
        <v>1.4835</v>
      </c>
      <c r="Q264" s="70">
        <v>1.463</v>
      </c>
      <c r="R264" s="70">
        <v>1.4455</v>
      </c>
      <c r="S264" s="70">
        <v>1.423</v>
      </c>
      <c r="T264" s="70">
        <v>2.2325</v>
      </c>
      <c r="U264" s="70">
        <v>1.0274</v>
      </c>
      <c r="V264" s="70">
        <v>0.0</v>
      </c>
      <c r="W264" s="70">
        <v>1.218</v>
      </c>
      <c r="X264" s="70">
        <v>3.0</v>
      </c>
      <c r="Y264" s="70">
        <v>862.8</v>
      </c>
      <c r="Z264" s="70">
        <v>2.444</v>
      </c>
      <c r="AA264" s="70">
        <v>4.23497</v>
      </c>
      <c r="AB264" s="70">
        <v>0.0</v>
      </c>
      <c r="AC264" s="70">
        <v>1.6775</v>
      </c>
      <c r="AD264" s="70">
        <v>0.0</v>
      </c>
      <c r="AE264" s="70">
        <v>0.0</v>
      </c>
      <c r="AF264" s="70">
        <v>0.0</v>
      </c>
      <c r="AG264" s="70">
        <v>0.0</v>
      </c>
      <c r="AH264" s="70">
        <v>1.59596</v>
      </c>
      <c r="AI264" s="70">
        <v>1.1875</v>
      </c>
      <c r="AJ264" s="70">
        <v>0.0</v>
      </c>
      <c r="AK264" s="70">
        <v>0.0</v>
      </c>
      <c r="AL264" s="70">
        <v>3.446</v>
      </c>
      <c r="AM264" s="70">
        <v>1.2116</v>
      </c>
      <c r="AN264" s="70">
        <v>1.0463500000000001</v>
      </c>
      <c r="AO264" s="70">
        <v>1.0659999999999998</v>
      </c>
      <c r="AP264" s="70">
        <v>1.1015000000000001</v>
      </c>
      <c r="AQ264" s="70">
        <v>1.00525</v>
      </c>
      <c r="AR264" s="70">
        <v>1.2534</v>
      </c>
      <c r="AS264" s="74">
        <v>1.0</v>
      </c>
      <c r="AT264" s="74">
        <v>1.0</v>
      </c>
      <c r="AU264" s="74">
        <v>1.0</v>
      </c>
      <c r="AV264" s="74">
        <v>1.0</v>
      </c>
      <c r="AW264" s="21"/>
      <c r="AX264" s="73">
        <v>26520.0</v>
      </c>
      <c r="AY264" s="73">
        <v>679.5</v>
      </c>
      <c r="AZ264" s="73">
        <v>6950.0</v>
      </c>
      <c r="BA264" s="73">
        <v>24780.0</v>
      </c>
      <c r="BB264" s="73">
        <v>8180.0</v>
      </c>
      <c r="BC264" s="73">
        <v>12976.83424</v>
      </c>
      <c r="BD264" s="75">
        <v>5100.0</v>
      </c>
      <c r="BE264" s="21"/>
      <c r="BF264" s="21"/>
      <c r="BG264" s="21">
        <v>2873248.32</v>
      </c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</row>
    <row r="265" ht="15.75" customHeight="1">
      <c r="A265" s="56">
        <v>46076.0</v>
      </c>
      <c r="B265" s="70">
        <v>1485.0</v>
      </c>
      <c r="C265" s="70">
        <v>1448.8</v>
      </c>
      <c r="D265" s="70">
        <v>1424.7</v>
      </c>
      <c r="E265" s="70">
        <v>12.28</v>
      </c>
      <c r="F265" s="70"/>
      <c r="G265" s="70"/>
      <c r="H265" s="70">
        <v>5.3846</v>
      </c>
      <c r="I265" s="70">
        <v>2.0725</v>
      </c>
      <c r="J265" s="70"/>
      <c r="K265" s="70">
        <v>3.0</v>
      </c>
      <c r="L265" s="70"/>
      <c r="M265" s="70">
        <v>1.295</v>
      </c>
      <c r="N265" s="70"/>
      <c r="O265" s="70">
        <v>4.063</v>
      </c>
      <c r="P265" s="70">
        <v>1.4855</v>
      </c>
      <c r="Q265" s="70">
        <v>1.466</v>
      </c>
      <c r="R265" s="70">
        <v>1.45</v>
      </c>
      <c r="S265" s="70">
        <v>1.4265</v>
      </c>
      <c r="T265" s="70">
        <v>2.233</v>
      </c>
      <c r="U265" s="70">
        <v>1.0274</v>
      </c>
      <c r="V265" s="70">
        <v>0.0</v>
      </c>
      <c r="W265" s="70">
        <v>1.219</v>
      </c>
      <c r="X265" s="70">
        <v>3.0</v>
      </c>
      <c r="Y265" s="70">
        <v>856.2</v>
      </c>
      <c r="Z265" s="70">
        <v>2.4459999999999997</v>
      </c>
      <c r="AA265" s="70">
        <v>4.23497</v>
      </c>
      <c r="AB265" s="70">
        <v>0.0</v>
      </c>
      <c r="AC265" s="70">
        <v>1.6775</v>
      </c>
      <c r="AD265" s="70">
        <v>0.0</v>
      </c>
      <c r="AE265" s="70">
        <v>0.0</v>
      </c>
      <c r="AF265" s="70">
        <v>0.0</v>
      </c>
      <c r="AG265" s="70">
        <v>0.0</v>
      </c>
      <c r="AH265" s="70">
        <v>1.59596</v>
      </c>
      <c r="AI265" s="70">
        <v>1.176</v>
      </c>
      <c r="AJ265" s="70">
        <v>0.0</v>
      </c>
      <c r="AK265" s="70">
        <v>0.0</v>
      </c>
      <c r="AL265" s="70">
        <v>3.4405</v>
      </c>
      <c r="AM265" s="70">
        <v>1.2115</v>
      </c>
      <c r="AN265" s="70">
        <v>1.0473999999999999</v>
      </c>
      <c r="AO265" s="70">
        <v>1.0659999999999998</v>
      </c>
      <c r="AP265" s="70">
        <v>1.103</v>
      </c>
      <c r="AQ265" s="70">
        <v>1.0085</v>
      </c>
      <c r="AR265" s="70">
        <v>1.25518</v>
      </c>
      <c r="AS265" s="74">
        <v>1.0</v>
      </c>
      <c r="AT265" s="74">
        <v>1.0</v>
      </c>
      <c r="AU265" s="74">
        <v>1.0</v>
      </c>
      <c r="AV265" s="74">
        <v>1.0</v>
      </c>
      <c r="AW265" s="21"/>
      <c r="AX265" s="73">
        <v>26520.0</v>
      </c>
      <c r="AY265" s="73">
        <v>679.5</v>
      </c>
      <c r="AZ265" s="73">
        <v>6950.0</v>
      </c>
      <c r="BA265" s="73">
        <v>24780.0</v>
      </c>
      <c r="BB265" s="73">
        <v>8180.0</v>
      </c>
      <c r="BC265" s="73">
        <v>12976.83424</v>
      </c>
      <c r="BD265" s="75">
        <v>5100.0</v>
      </c>
      <c r="BE265" s="21"/>
      <c r="BF265" s="21"/>
      <c r="BG265" s="21">
        <v>2763058.74</v>
      </c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</row>
    <row r="266" ht="15.75" customHeight="1">
      <c r="A266" s="56">
        <v>46077.0</v>
      </c>
      <c r="B266" s="70">
        <v>1484.0</v>
      </c>
      <c r="C266" s="70">
        <v>1500.0</v>
      </c>
      <c r="D266" s="70">
        <v>1428.0</v>
      </c>
      <c r="E266" s="70">
        <v>12.32</v>
      </c>
      <c r="F266" s="70"/>
      <c r="G266" s="70"/>
      <c r="H266" s="70">
        <v>5.3846</v>
      </c>
      <c r="I266" s="70">
        <v>2.079</v>
      </c>
      <c r="J266" s="70"/>
      <c r="K266" s="70">
        <v>3.0</v>
      </c>
      <c r="L266" s="70"/>
      <c r="M266" s="70">
        <v>1.3025</v>
      </c>
      <c r="N266" s="70"/>
      <c r="O266" s="70">
        <v>4.063</v>
      </c>
      <c r="P266" s="70">
        <v>1.4869999999999999</v>
      </c>
      <c r="Q266" s="70">
        <v>1.4725</v>
      </c>
      <c r="R266" s="70">
        <v>1.4580000000000002</v>
      </c>
      <c r="S266" s="70">
        <v>1.4380000000000002</v>
      </c>
      <c r="T266" s="70">
        <v>2.244</v>
      </c>
      <c r="U266" s="70">
        <v>1.0274</v>
      </c>
      <c r="V266" s="70">
        <v>0.0</v>
      </c>
      <c r="W266" s="70">
        <v>1.2355</v>
      </c>
      <c r="X266" s="70">
        <v>3.0</v>
      </c>
      <c r="Y266" s="70">
        <v>850.0</v>
      </c>
      <c r="Z266" s="70">
        <v>2.452</v>
      </c>
      <c r="AA266" s="70">
        <v>4.23497</v>
      </c>
      <c r="AB266" s="70">
        <v>0.0</v>
      </c>
      <c r="AC266" s="70">
        <v>1.6775</v>
      </c>
      <c r="AD266" s="70">
        <v>0.0</v>
      </c>
      <c r="AE266" s="70">
        <v>0.0</v>
      </c>
      <c r="AF266" s="70">
        <v>0.0</v>
      </c>
      <c r="AG266" s="70">
        <v>0.0</v>
      </c>
      <c r="AH266" s="70">
        <v>1.59596</v>
      </c>
      <c r="AI266" s="70">
        <v>1.1925</v>
      </c>
      <c r="AJ266" s="70">
        <v>0.0</v>
      </c>
      <c r="AK266" s="70">
        <v>0.0</v>
      </c>
      <c r="AL266" s="70">
        <v>3.451</v>
      </c>
      <c r="AM266" s="70">
        <v>1.2193</v>
      </c>
      <c r="AN266" s="70">
        <v>1.05175</v>
      </c>
      <c r="AO266" s="70">
        <v>1.0695000000000001</v>
      </c>
      <c r="AP266" s="70">
        <v>1.1159999999999999</v>
      </c>
      <c r="AQ266" s="70">
        <v>1.0115</v>
      </c>
      <c r="AR266" s="70">
        <v>1.2563</v>
      </c>
      <c r="AS266" s="74">
        <v>1.0</v>
      </c>
      <c r="AT266" s="74">
        <v>1.0</v>
      </c>
      <c r="AU266" s="74">
        <v>1.0</v>
      </c>
      <c r="AV266" s="74">
        <v>1.0</v>
      </c>
      <c r="AW266" s="21"/>
      <c r="AX266" s="73">
        <v>26520.0</v>
      </c>
      <c r="AY266" s="73">
        <v>679.5</v>
      </c>
      <c r="AZ266" s="73">
        <v>6950.0</v>
      </c>
      <c r="BA266" s="73">
        <v>24780.0</v>
      </c>
      <c r="BB266" s="73">
        <v>8180.0</v>
      </c>
      <c r="BC266" s="73">
        <v>12976.83424</v>
      </c>
      <c r="BD266" s="75">
        <v>5100.0</v>
      </c>
      <c r="BE266" s="21"/>
      <c r="BF266" s="21"/>
      <c r="BG266" s="21">
        <v>2812413.88</v>
      </c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</row>
    <row r="267" ht="15.75" customHeight="1">
      <c r="A267" s="56">
        <v>46078.0</v>
      </c>
      <c r="B267" s="70">
        <v>1484.0</v>
      </c>
      <c r="C267" s="70">
        <v>1500.0</v>
      </c>
      <c r="D267" s="70">
        <v>1428.0</v>
      </c>
      <c r="E267" s="70">
        <v>12.32</v>
      </c>
      <c r="F267" s="70"/>
      <c r="G267" s="70"/>
      <c r="H267" s="70">
        <v>5.3846</v>
      </c>
      <c r="I267" s="70">
        <v>2.079</v>
      </c>
      <c r="J267" s="70"/>
      <c r="K267" s="70">
        <v>3.0</v>
      </c>
      <c r="L267" s="70"/>
      <c r="M267" s="70">
        <v>1.3025</v>
      </c>
      <c r="N267" s="70"/>
      <c r="O267" s="70">
        <v>4.063</v>
      </c>
      <c r="P267" s="70">
        <v>1.4869999999999999</v>
      </c>
      <c r="Q267" s="70">
        <v>1.4725</v>
      </c>
      <c r="R267" s="70">
        <v>1.4580000000000002</v>
      </c>
      <c r="S267" s="70">
        <v>1.4380000000000002</v>
      </c>
      <c r="T267" s="70">
        <v>2.244</v>
      </c>
      <c r="U267" s="70">
        <v>1.0274</v>
      </c>
      <c r="V267" s="70">
        <v>0.0</v>
      </c>
      <c r="W267" s="70">
        <v>1.2355</v>
      </c>
      <c r="X267" s="70">
        <v>3.0</v>
      </c>
      <c r="Y267" s="70">
        <v>850.0</v>
      </c>
      <c r="Z267" s="70">
        <v>2.452</v>
      </c>
      <c r="AA267" s="70">
        <v>4.23497</v>
      </c>
      <c r="AB267" s="70">
        <v>0.0</v>
      </c>
      <c r="AC267" s="70">
        <v>1.6775</v>
      </c>
      <c r="AD267" s="70">
        <v>0.0</v>
      </c>
      <c r="AE267" s="70">
        <v>0.0</v>
      </c>
      <c r="AF267" s="70">
        <v>0.0</v>
      </c>
      <c r="AG267" s="70">
        <v>0.0</v>
      </c>
      <c r="AH267" s="70">
        <v>1.59596</v>
      </c>
      <c r="AI267" s="70">
        <v>1.1925</v>
      </c>
      <c r="AJ267" s="70">
        <v>0.0</v>
      </c>
      <c r="AK267" s="70">
        <v>0.0</v>
      </c>
      <c r="AL267" s="70">
        <v>3.451</v>
      </c>
      <c r="AM267" s="70">
        <v>1.2193</v>
      </c>
      <c r="AN267" s="70">
        <v>1.05175</v>
      </c>
      <c r="AO267" s="70">
        <v>1.0695000000000001</v>
      </c>
      <c r="AP267" s="70">
        <v>1.1159999999999999</v>
      </c>
      <c r="AQ267" s="70">
        <v>1.0115</v>
      </c>
      <c r="AR267" s="70">
        <v>1.2563</v>
      </c>
      <c r="AS267" s="74">
        <v>1.0</v>
      </c>
      <c r="AT267" s="74">
        <v>1.0</v>
      </c>
      <c r="AU267" s="74">
        <v>1.0</v>
      </c>
      <c r="AV267" s="74">
        <v>1.0</v>
      </c>
      <c r="AW267" s="21"/>
      <c r="AX267" s="73">
        <v>26520.0</v>
      </c>
      <c r="AY267" s="73">
        <v>679.5</v>
      </c>
      <c r="AZ267" s="73">
        <v>6950.0</v>
      </c>
      <c r="BA267" s="73">
        <v>24780.0</v>
      </c>
      <c r="BB267" s="73">
        <v>8180.0</v>
      </c>
      <c r="BC267" s="73">
        <v>12976.83424</v>
      </c>
      <c r="BD267" s="75">
        <v>5100.0</v>
      </c>
      <c r="BE267" s="21"/>
      <c r="BF267" s="21"/>
      <c r="BG267" s="21" t="str">
        <f t="shared" ref="BG267:BG288" si="1">_xll.RDP.Data(".MERV","TR.CLOSEPRICE","SDate=#1",,$A267)</f>
        <v>#NAME?</v>
      </c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</row>
    <row r="268" ht="15.75" customHeight="1">
      <c r="A268" s="56">
        <v>46079.0</v>
      </c>
      <c r="B268" s="70">
        <v>1484.0</v>
      </c>
      <c r="C268" s="70">
        <v>1500.0</v>
      </c>
      <c r="D268" s="70">
        <v>1428.0</v>
      </c>
      <c r="E268" s="70">
        <v>12.32</v>
      </c>
      <c r="F268" s="70"/>
      <c r="G268" s="70"/>
      <c r="H268" s="70">
        <v>5.3846</v>
      </c>
      <c r="I268" s="70">
        <v>2.079</v>
      </c>
      <c r="J268" s="70"/>
      <c r="K268" s="70">
        <v>3.0</v>
      </c>
      <c r="L268" s="70"/>
      <c r="M268" s="70">
        <v>1.3025</v>
      </c>
      <c r="N268" s="70"/>
      <c r="O268" s="70">
        <v>4.063</v>
      </c>
      <c r="P268" s="70">
        <v>1.4869999999999999</v>
      </c>
      <c r="Q268" s="70">
        <v>1.4725</v>
      </c>
      <c r="R268" s="70">
        <v>1.4580000000000002</v>
      </c>
      <c r="S268" s="70">
        <v>1.4380000000000002</v>
      </c>
      <c r="T268" s="70">
        <v>2.244</v>
      </c>
      <c r="U268" s="70">
        <v>1.0274</v>
      </c>
      <c r="V268" s="70">
        <v>0.0</v>
      </c>
      <c r="W268" s="70">
        <v>1.2355</v>
      </c>
      <c r="X268" s="70">
        <v>3.0</v>
      </c>
      <c r="Y268" s="70">
        <v>850.0</v>
      </c>
      <c r="Z268" s="70">
        <v>2.452</v>
      </c>
      <c r="AA268" s="70">
        <v>4.23497</v>
      </c>
      <c r="AB268" s="70">
        <v>0.0</v>
      </c>
      <c r="AC268" s="70">
        <v>1.6775</v>
      </c>
      <c r="AD268" s="70">
        <v>0.0</v>
      </c>
      <c r="AE268" s="70">
        <v>0.0</v>
      </c>
      <c r="AF268" s="70">
        <v>0.0</v>
      </c>
      <c r="AG268" s="70">
        <v>0.0</v>
      </c>
      <c r="AH268" s="70">
        <v>1.59596</v>
      </c>
      <c r="AI268" s="70">
        <v>1.1925</v>
      </c>
      <c r="AJ268" s="70">
        <v>0.0</v>
      </c>
      <c r="AK268" s="70">
        <v>0.0</v>
      </c>
      <c r="AL268" s="70">
        <v>3.451</v>
      </c>
      <c r="AM268" s="70">
        <v>1.2193</v>
      </c>
      <c r="AN268" s="70">
        <v>1.05175</v>
      </c>
      <c r="AO268" s="70">
        <v>1.0695000000000001</v>
      </c>
      <c r="AP268" s="70">
        <v>1.1159999999999999</v>
      </c>
      <c r="AQ268" s="70">
        <v>1.0115</v>
      </c>
      <c r="AR268" s="70">
        <v>1.2563</v>
      </c>
      <c r="AS268" s="74">
        <v>1.0</v>
      </c>
      <c r="AT268" s="74">
        <v>1.0</v>
      </c>
      <c r="AU268" s="74">
        <v>1.0</v>
      </c>
      <c r="AV268" s="74">
        <v>1.0</v>
      </c>
      <c r="AW268" s="21"/>
      <c r="AX268" s="73">
        <v>26520.0</v>
      </c>
      <c r="AY268" s="73">
        <v>679.5</v>
      </c>
      <c r="AZ268" s="73">
        <v>6950.0</v>
      </c>
      <c r="BA268" s="73">
        <v>24780.0</v>
      </c>
      <c r="BB268" s="73">
        <v>8180.0</v>
      </c>
      <c r="BC268" s="73">
        <v>12976.83424</v>
      </c>
      <c r="BD268" s="75">
        <v>5100.0</v>
      </c>
      <c r="BE268" s="21"/>
      <c r="BF268" s="21"/>
      <c r="BG268" s="21" t="str">
        <f t="shared" si="1"/>
        <v>#NAME?</v>
      </c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</row>
    <row r="269" ht="15.75" customHeight="1">
      <c r="A269" s="56">
        <v>46080.0</v>
      </c>
      <c r="B269" s="70">
        <v>1484.0</v>
      </c>
      <c r="C269" s="70">
        <v>1500.0</v>
      </c>
      <c r="D269" s="70">
        <v>1428.0</v>
      </c>
      <c r="E269" s="70">
        <v>12.32</v>
      </c>
      <c r="F269" s="70"/>
      <c r="G269" s="70"/>
      <c r="H269" s="70">
        <v>5.3846</v>
      </c>
      <c r="I269" s="70">
        <v>2.079</v>
      </c>
      <c r="J269" s="70"/>
      <c r="K269" s="70">
        <v>3.0</v>
      </c>
      <c r="L269" s="70"/>
      <c r="M269" s="70">
        <v>1.3025</v>
      </c>
      <c r="N269" s="70"/>
      <c r="O269" s="70">
        <v>4.063</v>
      </c>
      <c r="P269" s="70">
        <v>1.4869999999999999</v>
      </c>
      <c r="Q269" s="70">
        <v>1.4725</v>
      </c>
      <c r="R269" s="70">
        <v>1.4580000000000002</v>
      </c>
      <c r="S269" s="70">
        <v>1.4380000000000002</v>
      </c>
      <c r="T269" s="70">
        <v>2.244</v>
      </c>
      <c r="U269" s="70">
        <v>1.0274</v>
      </c>
      <c r="V269" s="70">
        <v>0.0</v>
      </c>
      <c r="W269" s="70">
        <v>1.2355</v>
      </c>
      <c r="X269" s="70">
        <v>3.0</v>
      </c>
      <c r="Y269" s="70">
        <v>850.0</v>
      </c>
      <c r="Z269" s="70">
        <v>2.452</v>
      </c>
      <c r="AA269" s="70">
        <v>4.23497</v>
      </c>
      <c r="AB269" s="70">
        <v>0.0</v>
      </c>
      <c r="AC269" s="70">
        <v>1.6775</v>
      </c>
      <c r="AD269" s="70">
        <v>0.0</v>
      </c>
      <c r="AE269" s="70">
        <v>0.0</v>
      </c>
      <c r="AF269" s="70">
        <v>0.0</v>
      </c>
      <c r="AG269" s="70">
        <v>0.0</v>
      </c>
      <c r="AH269" s="70">
        <v>1.59596</v>
      </c>
      <c r="AI269" s="70">
        <v>1.1925</v>
      </c>
      <c r="AJ269" s="70">
        <v>0.0</v>
      </c>
      <c r="AK269" s="70">
        <v>0.0</v>
      </c>
      <c r="AL269" s="70">
        <v>3.451</v>
      </c>
      <c r="AM269" s="70">
        <v>1.2193</v>
      </c>
      <c r="AN269" s="70">
        <v>1.05175</v>
      </c>
      <c r="AO269" s="70">
        <v>1.0695000000000001</v>
      </c>
      <c r="AP269" s="70">
        <v>1.1159999999999999</v>
      </c>
      <c r="AQ269" s="70">
        <v>1.0115</v>
      </c>
      <c r="AR269" s="70">
        <v>1.2563</v>
      </c>
      <c r="AS269" s="74">
        <v>1.0</v>
      </c>
      <c r="AT269" s="74">
        <v>1.0</v>
      </c>
      <c r="AU269" s="74">
        <v>1.0</v>
      </c>
      <c r="AV269" s="74">
        <v>1.0</v>
      </c>
      <c r="AW269" s="21"/>
      <c r="AX269" s="73">
        <v>26520.0</v>
      </c>
      <c r="AY269" s="73">
        <v>679.5</v>
      </c>
      <c r="AZ269" s="73">
        <v>6950.0</v>
      </c>
      <c r="BA269" s="73">
        <v>24780.0</v>
      </c>
      <c r="BB269" s="73">
        <v>8180.0</v>
      </c>
      <c r="BC269" s="73">
        <v>12976.83424</v>
      </c>
      <c r="BD269" s="75">
        <v>5100.0</v>
      </c>
      <c r="BE269" s="21"/>
      <c r="BF269" s="21"/>
      <c r="BG269" s="21" t="str">
        <f t="shared" si="1"/>
        <v>#NAME?</v>
      </c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</row>
    <row r="270" ht="15.75" customHeight="1">
      <c r="A270" s="56">
        <v>46083.0</v>
      </c>
      <c r="B270" s="70">
        <v>1484.0</v>
      </c>
      <c r="C270" s="70">
        <v>1500.0</v>
      </c>
      <c r="D270" s="70">
        <v>1428.0</v>
      </c>
      <c r="E270" s="70">
        <v>12.32</v>
      </c>
      <c r="F270" s="70"/>
      <c r="G270" s="70"/>
      <c r="H270" s="70">
        <v>5.3846</v>
      </c>
      <c r="I270" s="70">
        <v>2.079</v>
      </c>
      <c r="J270" s="70"/>
      <c r="K270" s="70">
        <v>3.0</v>
      </c>
      <c r="L270" s="70"/>
      <c r="M270" s="70">
        <v>1.3025</v>
      </c>
      <c r="N270" s="70"/>
      <c r="O270" s="70">
        <v>4.063</v>
      </c>
      <c r="P270" s="70">
        <v>1.4869999999999999</v>
      </c>
      <c r="Q270" s="70">
        <v>1.4725</v>
      </c>
      <c r="R270" s="70">
        <v>1.4580000000000002</v>
      </c>
      <c r="S270" s="70">
        <v>1.4380000000000002</v>
      </c>
      <c r="T270" s="70">
        <v>2.244</v>
      </c>
      <c r="U270" s="70">
        <v>1.0274</v>
      </c>
      <c r="V270" s="70">
        <v>0.0</v>
      </c>
      <c r="W270" s="70">
        <v>1.2355</v>
      </c>
      <c r="X270" s="70">
        <v>3.0</v>
      </c>
      <c r="Y270" s="70">
        <v>850.0</v>
      </c>
      <c r="Z270" s="70">
        <v>2.452</v>
      </c>
      <c r="AA270" s="70">
        <v>4.23497</v>
      </c>
      <c r="AB270" s="70">
        <v>0.0</v>
      </c>
      <c r="AC270" s="70">
        <v>1.6775</v>
      </c>
      <c r="AD270" s="70">
        <v>0.0</v>
      </c>
      <c r="AE270" s="70">
        <v>0.0</v>
      </c>
      <c r="AF270" s="70">
        <v>0.0</v>
      </c>
      <c r="AG270" s="70">
        <v>0.0</v>
      </c>
      <c r="AH270" s="70">
        <v>1.59596</v>
      </c>
      <c r="AI270" s="70">
        <v>1.1925</v>
      </c>
      <c r="AJ270" s="70">
        <v>0.0</v>
      </c>
      <c r="AK270" s="70">
        <v>0.0</v>
      </c>
      <c r="AL270" s="70">
        <v>3.451</v>
      </c>
      <c r="AM270" s="70">
        <v>1.2193</v>
      </c>
      <c r="AN270" s="70">
        <v>1.05175</v>
      </c>
      <c r="AO270" s="70">
        <v>1.0695000000000001</v>
      </c>
      <c r="AP270" s="70">
        <v>1.1159999999999999</v>
      </c>
      <c r="AQ270" s="70">
        <v>1.0115</v>
      </c>
      <c r="AR270" s="70">
        <v>1.2563</v>
      </c>
      <c r="AS270" s="74">
        <v>1.0</v>
      </c>
      <c r="AT270" s="74">
        <v>1.0</v>
      </c>
      <c r="AU270" s="74">
        <v>1.0</v>
      </c>
      <c r="AV270" s="74">
        <v>1.0</v>
      </c>
      <c r="AW270" s="21"/>
      <c r="AX270" s="73">
        <v>26520.0</v>
      </c>
      <c r="AY270" s="73">
        <v>679.5</v>
      </c>
      <c r="AZ270" s="73">
        <v>6950.0</v>
      </c>
      <c r="BA270" s="73">
        <v>24780.0</v>
      </c>
      <c r="BB270" s="73">
        <v>8180.0</v>
      </c>
      <c r="BC270" s="73">
        <v>12976.83424</v>
      </c>
      <c r="BD270" s="75">
        <v>5100.0</v>
      </c>
      <c r="BE270" s="21"/>
      <c r="BF270" s="21"/>
      <c r="BG270" s="21" t="str">
        <f t="shared" si="1"/>
        <v>#NAME?</v>
      </c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</row>
    <row r="271" ht="15.75" customHeight="1">
      <c r="A271" s="56">
        <v>46084.0</v>
      </c>
      <c r="B271" s="70">
        <v>1484.0</v>
      </c>
      <c r="C271" s="70">
        <v>1500.0</v>
      </c>
      <c r="D271" s="70">
        <v>1428.0</v>
      </c>
      <c r="E271" s="70">
        <v>12.32</v>
      </c>
      <c r="F271" s="70"/>
      <c r="G271" s="70"/>
      <c r="H271" s="70">
        <v>5.3846</v>
      </c>
      <c r="I271" s="70">
        <v>2.079</v>
      </c>
      <c r="J271" s="70"/>
      <c r="K271" s="70">
        <v>3.0</v>
      </c>
      <c r="L271" s="70"/>
      <c r="M271" s="70">
        <v>1.3025</v>
      </c>
      <c r="N271" s="70"/>
      <c r="O271" s="70">
        <v>4.063</v>
      </c>
      <c r="P271" s="70">
        <v>1.4869999999999999</v>
      </c>
      <c r="Q271" s="70">
        <v>1.4725</v>
      </c>
      <c r="R271" s="70">
        <v>1.4580000000000002</v>
      </c>
      <c r="S271" s="70">
        <v>1.4380000000000002</v>
      </c>
      <c r="T271" s="70">
        <v>2.244</v>
      </c>
      <c r="U271" s="70">
        <v>1.0274</v>
      </c>
      <c r="V271" s="70">
        <v>0.0</v>
      </c>
      <c r="W271" s="70">
        <v>1.2355</v>
      </c>
      <c r="X271" s="70">
        <v>3.0</v>
      </c>
      <c r="Y271" s="70">
        <v>850.0</v>
      </c>
      <c r="Z271" s="70">
        <v>2.452</v>
      </c>
      <c r="AA271" s="70">
        <v>4.23497</v>
      </c>
      <c r="AB271" s="70">
        <v>0.0</v>
      </c>
      <c r="AC271" s="70">
        <v>1.6775</v>
      </c>
      <c r="AD271" s="70">
        <v>0.0</v>
      </c>
      <c r="AE271" s="70">
        <v>0.0</v>
      </c>
      <c r="AF271" s="70">
        <v>0.0</v>
      </c>
      <c r="AG271" s="70">
        <v>0.0</v>
      </c>
      <c r="AH271" s="70">
        <v>1.59596</v>
      </c>
      <c r="AI271" s="70">
        <v>1.1925</v>
      </c>
      <c r="AJ271" s="70">
        <v>0.0</v>
      </c>
      <c r="AK271" s="70">
        <v>0.0</v>
      </c>
      <c r="AL271" s="70">
        <v>3.451</v>
      </c>
      <c r="AM271" s="70">
        <v>1.2193</v>
      </c>
      <c r="AN271" s="70">
        <v>1.05175</v>
      </c>
      <c r="AO271" s="70">
        <v>1.0695000000000001</v>
      </c>
      <c r="AP271" s="70">
        <v>1.1159999999999999</v>
      </c>
      <c r="AQ271" s="70">
        <v>1.0115</v>
      </c>
      <c r="AR271" s="70">
        <v>1.2563</v>
      </c>
      <c r="AS271" s="74">
        <v>1.0</v>
      </c>
      <c r="AT271" s="74">
        <v>1.0</v>
      </c>
      <c r="AU271" s="74">
        <v>1.0</v>
      </c>
      <c r="AV271" s="74">
        <v>1.0</v>
      </c>
      <c r="AW271" s="21"/>
      <c r="AX271" s="73">
        <v>26520.0</v>
      </c>
      <c r="AY271" s="73">
        <v>679.5</v>
      </c>
      <c r="AZ271" s="73">
        <v>6950.0</v>
      </c>
      <c r="BA271" s="73">
        <v>24780.0</v>
      </c>
      <c r="BB271" s="73">
        <v>8180.0</v>
      </c>
      <c r="BC271" s="73">
        <v>12976.83424</v>
      </c>
      <c r="BD271" s="75">
        <v>5100.0</v>
      </c>
      <c r="BE271" s="21"/>
      <c r="BF271" s="21"/>
      <c r="BG271" s="21" t="str">
        <f t="shared" si="1"/>
        <v>#NAME?</v>
      </c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</row>
    <row r="272" ht="15.75" customHeight="1">
      <c r="A272" s="56">
        <v>46085.0</v>
      </c>
      <c r="B272" s="70">
        <v>1484.0</v>
      </c>
      <c r="C272" s="70">
        <v>1500.0</v>
      </c>
      <c r="D272" s="70">
        <v>1428.0</v>
      </c>
      <c r="E272" s="70">
        <v>12.32</v>
      </c>
      <c r="F272" s="70"/>
      <c r="G272" s="70"/>
      <c r="H272" s="70">
        <v>5.3846</v>
      </c>
      <c r="I272" s="70">
        <v>2.079</v>
      </c>
      <c r="J272" s="70"/>
      <c r="K272" s="70">
        <v>3.0</v>
      </c>
      <c r="L272" s="70"/>
      <c r="M272" s="70">
        <v>1.3025</v>
      </c>
      <c r="N272" s="70"/>
      <c r="O272" s="70">
        <v>4.063</v>
      </c>
      <c r="P272" s="70">
        <v>1.4869999999999999</v>
      </c>
      <c r="Q272" s="70">
        <v>1.4725</v>
      </c>
      <c r="R272" s="70">
        <v>1.4580000000000002</v>
      </c>
      <c r="S272" s="70">
        <v>1.4380000000000002</v>
      </c>
      <c r="T272" s="70">
        <v>2.244</v>
      </c>
      <c r="U272" s="70">
        <v>1.0274</v>
      </c>
      <c r="V272" s="70">
        <v>0.0</v>
      </c>
      <c r="W272" s="70">
        <v>1.2355</v>
      </c>
      <c r="X272" s="70">
        <v>3.0</v>
      </c>
      <c r="Y272" s="70">
        <v>850.0</v>
      </c>
      <c r="Z272" s="70">
        <v>2.452</v>
      </c>
      <c r="AA272" s="70">
        <v>4.23497</v>
      </c>
      <c r="AB272" s="70">
        <v>0.0</v>
      </c>
      <c r="AC272" s="70">
        <v>1.6775</v>
      </c>
      <c r="AD272" s="70">
        <v>0.0</v>
      </c>
      <c r="AE272" s="70">
        <v>0.0</v>
      </c>
      <c r="AF272" s="70">
        <v>0.0</v>
      </c>
      <c r="AG272" s="70">
        <v>0.0</v>
      </c>
      <c r="AH272" s="70">
        <v>1.59596</v>
      </c>
      <c r="AI272" s="70">
        <v>1.1925</v>
      </c>
      <c r="AJ272" s="70">
        <v>0.0</v>
      </c>
      <c r="AK272" s="70">
        <v>0.0</v>
      </c>
      <c r="AL272" s="70">
        <v>3.451</v>
      </c>
      <c r="AM272" s="70">
        <v>1.2193</v>
      </c>
      <c r="AN272" s="70">
        <v>1.05175</v>
      </c>
      <c r="AO272" s="70">
        <v>1.0695000000000001</v>
      </c>
      <c r="AP272" s="70">
        <v>1.1159999999999999</v>
      </c>
      <c r="AQ272" s="70">
        <v>1.0115</v>
      </c>
      <c r="AR272" s="70">
        <v>1.2563</v>
      </c>
      <c r="AS272" s="74">
        <v>1.0</v>
      </c>
      <c r="AT272" s="74">
        <v>1.0</v>
      </c>
      <c r="AU272" s="74">
        <v>1.0</v>
      </c>
      <c r="AV272" s="74">
        <v>1.0</v>
      </c>
      <c r="AW272" s="21"/>
      <c r="AX272" s="73">
        <v>26520.0</v>
      </c>
      <c r="AY272" s="73">
        <v>679.5</v>
      </c>
      <c r="AZ272" s="73">
        <v>6950.0</v>
      </c>
      <c r="BA272" s="73">
        <v>24780.0</v>
      </c>
      <c r="BB272" s="73">
        <v>8180.0</v>
      </c>
      <c r="BC272" s="73">
        <v>12976.83424</v>
      </c>
      <c r="BD272" s="75">
        <v>5100.0</v>
      </c>
      <c r="BE272" s="21"/>
      <c r="BF272" s="21"/>
      <c r="BG272" s="21" t="str">
        <f t="shared" si="1"/>
        <v>#NAME?</v>
      </c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</row>
    <row r="273" ht="15.75" customHeight="1">
      <c r="A273" s="56">
        <v>46086.0</v>
      </c>
      <c r="B273" s="70">
        <v>1484.0</v>
      </c>
      <c r="C273" s="70">
        <v>1500.0</v>
      </c>
      <c r="D273" s="70">
        <v>1428.0</v>
      </c>
      <c r="E273" s="70">
        <v>12.32</v>
      </c>
      <c r="F273" s="70"/>
      <c r="G273" s="70"/>
      <c r="H273" s="70">
        <v>5.3846</v>
      </c>
      <c r="I273" s="70">
        <v>2.079</v>
      </c>
      <c r="J273" s="70"/>
      <c r="K273" s="70">
        <v>3.0</v>
      </c>
      <c r="L273" s="70"/>
      <c r="M273" s="70">
        <v>1.3025</v>
      </c>
      <c r="N273" s="70"/>
      <c r="O273" s="70">
        <v>4.063</v>
      </c>
      <c r="P273" s="70">
        <v>1.4869999999999999</v>
      </c>
      <c r="Q273" s="70">
        <v>1.4725</v>
      </c>
      <c r="R273" s="70">
        <v>1.4580000000000002</v>
      </c>
      <c r="S273" s="70">
        <v>1.4380000000000002</v>
      </c>
      <c r="T273" s="70">
        <v>2.244</v>
      </c>
      <c r="U273" s="70">
        <v>1.0274</v>
      </c>
      <c r="V273" s="70">
        <v>0.0</v>
      </c>
      <c r="W273" s="70">
        <v>1.2355</v>
      </c>
      <c r="X273" s="70">
        <v>3.0</v>
      </c>
      <c r="Y273" s="70">
        <v>850.0</v>
      </c>
      <c r="Z273" s="70">
        <v>2.452</v>
      </c>
      <c r="AA273" s="70">
        <v>4.23497</v>
      </c>
      <c r="AB273" s="70">
        <v>0.0</v>
      </c>
      <c r="AC273" s="70">
        <v>1.6775</v>
      </c>
      <c r="AD273" s="70">
        <v>0.0</v>
      </c>
      <c r="AE273" s="70">
        <v>0.0</v>
      </c>
      <c r="AF273" s="70">
        <v>0.0</v>
      </c>
      <c r="AG273" s="70">
        <v>0.0</v>
      </c>
      <c r="AH273" s="70">
        <v>1.59596</v>
      </c>
      <c r="AI273" s="70">
        <v>1.1925</v>
      </c>
      <c r="AJ273" s="70">
        <v>0.0</v>
      </c>
      <c r="AK273" s="70">
        <v>0.0</v>
      </c>
      <c r="AL273" s="70">
        <v>3.451</v>
      </c>
      <c r="AM273" s="70">
        <v>1.2193</v>
      </c>
      <c r="AN273" s="70">
        <v>1.05175</v>
      </c>
      <c r="AO273" s="70">
        <v>1.0695000000000001</v>
      </c>
      <c r="AP273" s="70">
        <v>1.1159999999999999</v>
      </c>
      <c r="AQ273" s="70">
        <v>1.0115</v>
      </c>
      <c r="AR273" s="70">
        <v>1.2563</v>
      </c>
      <c r="AS273" s="74">
        <v>1.0</v>
      </c>
      <c r="AT273" s="74">
        <v>1.0</v>
      </c>
      <c r="AU273" s="74">
        <v>1.0</v>
      </c>
      <c r="AV273" s="74">
        <v>1.0</v>
      </c>
      <c r="AW273" s="21"/>
      <c r="AX273" s="73">
        <v>26520.0</v>
      </c>
      <c r="AY273" s="73">
        <v>679.5</v>
      </c>
      <c r="AZ273" s="73">
        <v>6950.0</v>
      </c>
      <c r="BA273" s="73">
        <v>24780.0</v>
      </c>
      <c r="BB273" s="73">
        <v>8180.0</v>
      </c>
      <c r="BC273" s="73">
        <v>12976.83424</v>
      </c>
      <c r="BD273" s="75">
        <v>5100.0</v>
      </c>
      <c r="BE273" s="21"/>
      <c r="BF273" s="21"/>
      <c r="BG273" s="21" t="str">
        <f t="shared" si="1"/>
        <v>#NAME?</v>
      </c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</row>
    <row r="274" ht="15.75" customHeight="1">
      <c r="A274" s="56">
        <v>46087.0</v>
      </c>
      <c r="B274" s="70">
        <v>1484.0</v>
      </c>
      <c r="C274" s="70">
        <v>1500.0</v>
      </c>
      <c r="D274" s="70">
        <v>1428.0</v>
      </c>
      <c r="E274" s="70">
        <v>12.32</v>
      </c>
      <c r="F274" s="70"/>
      <c r="G274" s="70"/>
      <c r="H274" s="70">
        <v>5.3846</v>
      </c>
      <c r="I274" s="70">
        <v>2.079</v>
      </c>
      <c r="J274" s="70"/>
      <c r="K274" s="70">
        <v>3.0</v>
      </c>
      <c r="L274" s="70"/>
      <c r="M274" s="70">
        <v>1.3025</v>
      </c>
      <c r="N274" s="70"/>
      <c r="O274" s="70">
        <v>4.063</v>
      </c>
      <c r="P274" s="70">
        <v>1.4869999999999999</v>
      </c>
      <c r="Q274" s="70">
        <v>1.4725</v>
      </c>
      <c r="R274" s="70">
        <v>1.4580000000000002</v>
      </c>
      <c r="S274" s="70">
        <v>1.4380000000000002</v>
      </c>
      <c r="T274" s="70">
        <v>2.244</v>
      </c>
      <c r="U274" s="70">
        <v>1.0274</v>
      </c>
      <c r="V274" s="70">
        <v>0.0</v>
      </c>
      <c r="W274" s="70">
        <v>1.2355</v>
      </c>
      <c r="X274" s="70">
        <v>3.0</v>
      </c>
      <c r="Y274" s="70">
        <v>850.0</v>
      </c>
      <c r="Z274" s="70">
        <v>2.452</v>
      </c>
      <c r="AA274" s="70">
        <v>4.23497</v>
      </c>
      <c r="AB274" s="70">
        <v>0.0</v>
      </c>
      <c r="AC274" s="70">
        <v>1.6775</v>
      </c>
      <c r="AD274" s="70">
        <v>0.0</v>
      </c>
      <c r="AE274" s="70">
        <v>0.0</v>
      </c>
      <c r="AF274" s="70">
        <v>0.0</v>
      </c>
      <c r="AG274" s="70">
        <v>0.0</v>
      </c>
      <c r="AH274" s="70">
        <v>1.59596</v>
      </c>
      <c r="AI274" s="70">
        <v>1.1925</v>
      </c>
      <c r="AJ274" s="70">
        <v>0.0</v>
      </c>
      <c r="AK274" s="70">
        <v>0.0</v>
      </c>
      <c r="AL274" s="70">
        <v>3.451</v>
      </c>
      <c r="AM274" s="70">
        <v>1.2193</v>
      </c>
      <c r="AN274" s="70">
        <v>1.05175</v>
      </c>
      <c r="AO274" s="70">
        <v>1.0695000000000001</v>
      </c>
      <c r="AP274" s="70">
        <v>1.1159999999999999</v>
      </c>
      <c r="AQ274" s="70">
        <v>1.0115</v>
      </c>
      <c r="AR274" s="70">
        <v>1.2563</v>
      </c>
      <c r="AS274" s="74">
        <v>1.0</v>
      </c>
      <c r="AT274" s="74">
        <v>1.0</v>
      </c>
      <c r="AU274" s="74">
        <v>1.0</v>
      </c>
      <c r="AV274" s="74">
        <v>1.0</v>
      </c>
      <c r="AW274" s="21"/>
      <c r="AX274" s="73">
        <v>26520.0</v>
      </c>
      <c r="AY274" s="73">
        <v>679.5</v>
      </c>
      <c r="AZ274" s="73">
        <v>6950.0</v>
      </c>
      <c r="BA274" s="73">
        <v>24780.0</v>
      </c>
      <c r="BB274" s="73">
        <v>8180.0</v>
      </c>
      <c r="BC274" s="73">
        <v>12976.83424</v>
      </c>
      <c r="BD274" s="75">
        <v>5100.0</v>
      </c>
      <c r="BE274" s="21"/>
      <c r="BF274" s="21"/>
      <c r="BG274" s="21" t="str">
        <f t="shared" si="1"/>
        <v>#NAME?</v>
      </c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</row>
    <row r="275" ht="15.75" customHeight="1">
      <c r="A275" s="56">
        <v>46088.0</v>
      </c>
      <c r="B275" s="70">
        <v>1484.0</v>
      </c>
      <c r="C275" s="70">
        <v>1500.0</v>
      </c>
      <c r="D275" s="70">
        <v>1428.0</v>
      </c>
      <c r="E275" s="70">
        <v>12.32</v>
      </c>
      <c r="F275" s="70"/>
      <c r="G275" s="70"/>
      <c r="H275" s="70">
        <v>5.3846</v>
      </c>
      <c r="I275" s="70">
        <v>2.079</v>
      </c>
      <c r="J275" s="70"/>
      <c r="K275" s="70">
        <v>3.0</v>
      </c>
      <c r="L275" s="70"/>
      <c r="M275" s="70">
        <v>1.3025</v>
      </c>
      <c r="N275" s="70"/>
      <c r="O275" s="70">
        <v>4.063</v>
      </c>
      <c r="P275" s="70">
        <v>1.4869999999999999</v>
      </c>
      <c r="Q275" s="70">
        <v>1.4725</v>
      </c>
      <c r="R275" s="70">
        <v>1.4580000000000002</v>
      </c>
      <c r="S275" s="70">
        <v>1.4380000000000002</v>
      </c>
      <c r="T275" s="70">
        <v>2.244</v>
      </c>
      <c r="U275" s="70">
        <v>1.0274</v>
      </c>
      <c r="V275" s="70">
        <v>0.0</v>
      </c>
      <c r="W275" s="70">
        <v>1.2355</v>
      </c>
      <c r="X275" s="70">
        <v>3.0</v>
      </c>
      <c r="Y275" s="70">
        <v>850.0</v>
      </c>
      <c r="Z275" s="70">
        <v>2.452</v>
      </c>
      <c r="AA275" s="70">
        <v>4.23497</v>
      </c>
      <c r="AB275" s="70">
        <v>0.0</v>
      </c>
      <c r="AC275" s="70">
        <v>1.6775</v>
      </c>
      <c r="AD275" s="70">
        <v>0.0</v>
      </c>
      <c r="AE275" s="70">
        <v>0.0</v>
      </c>
      <c r="AF275" s="70">
        <v>0.0</v>
      </c>
      <c r="AG275" s="70">
        <v>0.0</v>
      </c>
      <c r="AH275" s="70">
        <v>1.59596</v>
      </c>
      <c r="AI275" s="70">
        <v>1.1925</v>
      </c>
      <c r="AJ275" s="70">
        <v>0.0</v>
      </c>
      <c r="AK275" s="70">
        <v>0.0</v>
      </c>
      <c r="AL275" s="70">
        <v>3.451</v>
      </c>
      <c r="AM275" s="70">
        <v>1.2193</v>
      </c>
      <c r="AN275" s="70">
        <v>1.05175</v>
      </c>
      <c r="AO275" s="70">
        <v>1.0695000000000001</v>
      </c>
      <c r="AP275" s="70">
        <v>1.1159999999999999</v>
      </c>
      <c r="AQ275" s="70">
        <v>1.0115</v>
      </c>
      <c r="AR275" s="70">
        <v>1.2563</v>
      </c>
      <c r="AS275" s="74">
        <v>1.0</v>
      </c>
      <c r="AT275" s="74">
        <v>1.0</v>
      </c>
      <c r="AU275" s="74">
        <v>1.0</v>
      </c>
      <c r="AV275" s="74">
        <v>1.0</v>
      </c>
      <c r="AW275" s="21"/>
      <c r="AX275" s="73">
        <v>26520.0</v>
      </c>
      <c r="AY275" s="73">
        <v>679.5</v>
      </c>
      <c r="AZ275" s="73">
        <v>6950.0</v>
      </c>
      <c r="BA275" s="73">
        <v>24780.0</v>
      </c>
      <c r="BB275" s="73">
        <v>8180.0</v>
      </c>
      <c r="BC275" s="73">
        <v>12976.83424</v>
      </c>
      <c r="BD275" s="75">
        <v>5100.0</v>
      </c>
      <c r="BE275" s="21"/>
      <c r="BF275" s="21"/>
      <c r="BG275" s="21" t="str">
        <f t="shared" si="1"/>
        <v>#NAME?</v>
      </c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</row>
    <row r="276" ht="15.75" customHeight="1">
      <c r="A276" s="56">
        <v>46089.0</v>
      </c>
      <c r="B276" s="70">
        <v>1484.0</v>
      </c>
      <c r="C276" s="70">
        <v>1500.0</v>
      </c>
      <c r="D276" s="70">
        <v>1428.0</v>
      </c>
      <c r="E276" s="70">
        <v>12.32</v>
      </c>
      <c r="F276" s="70"/>
      <c r="G276" s="70"/>
      <c r="H276" s="70">
        <v>5.3846</v>
      </c>
      <c r="I276" s="70">
        <v>2.079</v>
      </c>
      <c r="J276" s="70"/>
      <c r="K276" s="70">
        <v>3.0</v>
      </c>
      <c r="L276" s="70"/>
      <c r="M276" s="70">
        <v>1.3025</v>
      </c>
      <c r="N276" s="70"/>
      <c r="O276" s="70">
        <v>4.063</v>
      </c>
      <c r="P276" s="70">
        <v>1.4869999999999999</v>
      </c>
      <c r="Q276" s="70">
        <v>1.4725</v>
      </c>
      <c r="R276" s="70">
        <v>1.4580000000000002</v>
      </c>
      <c r="S276" s="70">
        <v>1.4380000000000002</v>
      </c>
      <c r="T276" s="70">
        <v>2.244</v>
      </c>
      <c r="U276" s="70">
        <v>1.0274</v>
      </c>
      <c r="V276" s="70">
        <v>0.0</v>
      </c>
      <c r="W276" s="70">
        <v>1.2355</v>
      </c>
      <c r="X276" s="70">
        <v>3.0</v>
      </c>
      <c r="Y276" s="70">
        <v>850.0</v>
      </c>
      <c r="Z276" s="70">
        <v>2.452</v>
      </c>
      <c r="AA276" s="70">
        <v>4.23497</v>
      </c>
      <c r="AB276" s="70">
        <v>0.0</v>
      </c>
      <c r="AC276" s="70">
        <v>1.6775</v>
      </c>
      <c r="AD276" s="70">
        <v>0.0</v>
      </c>
      <c r="AE276" s="70">
        <v>0.0</v>
      </c>
      <c r="AF276" s="70">
        <v>0.0</v>
      </c>
      <c r="AG276" s="70">
        <v>0.0</v>
      </c>
      <c r="AH276" s="70">
        <v>1.59596</v>
      </c>
      <c r="AI276" s="70">
        <v>1.1925</v>
      </c>
      <c r="AJ276" s="70">
        <v>0.0</v>
      </c>
      <c r="AK276" s="70">
        <v>0.0</v>
      </c>
      <c r="AL276" s="70">
        <v>3.451</v>
      </c>
      <c r="AM276" s="70">
        <v>1.2193</v>
      </c>
      <c r="AN276" s="70">
        <v>1.05175</v>
      </c>
      <c r="AO276" s="70">
        <v>1.0695000000000001</v>
      </c>
      <c r="AP276" s="70">
        <v>1.1159999999999999</v>
      </c>
      <c r="AQ276" s="70">
        <v>1.0115</v>
      </c>
      <c r="AR276" s="70">
        <v>1.2563</v>
      </c>
      <c r="AS276" s="74">
        <v>1.0</v>
      </c>
      <c r="AT276" s="74">
        <v>1.0</v>
      </c>
      <c r="AU276" s="74">
        <v>1.0</v>
      </c>
      <c r="AV276" s="74">
        <v>1.0</v>
      </c>
      <c r="AW276" s="21"/>
      <c r="AX276" s="73">
        <v>26520.0</v>
      </c>
      <c r="AY276" s="73">
        <v>679.5</v>
      </c>
      <c r="AZ276" s="73">
        <v>6950.0</v>
      </c>
      <c r="BA276" s="73">
        <v>24780.0</v>
      </c>
      <c r="BB276" s="73">
        <v>8180.0</v>
      </c>
      <c r="BC276" s="73">
        <v>12976.83424</v>
      </c>
      <c r="BD276" s="75">
        <v>5100.0</v>
      </c>
      <c r="BE276" s="21"/>
      <c r="BF276" s="21"/>
      <c r="BG276" s="21" t="str">
        <f t="shared" si="1"/>
        <v>#NAME?</v>
      </c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</row>
    <row r="277" ht="15.75" customHeight="1">
      <c r="A277" s="56">
        <v>46090.0</v>
      </c>
      <c r="B277" s="70">
        <v>1484.0</v>
      </c>
      <c r="C277" s="70">
        <v>1500.0</v>
      </c>
      <c r="D277" s="70">
        <v>1428.0</v>
      </c>
      <c r="E277" s="70">
        <v>12.32</v>
      </c>
      <c r="F277" s="70"/>
      <c r="G277" s="70"/>
      <c r="H277" s="70">
        <v>5.3846</v>
      </c>
      <c r="I277" s="70">
        <v>2.079</v>
      </c>
      <c r="J277" s="70"/>
      <c r="K277" s="70">
        <v>3.0</v>
      </c>
      <c r="L277" s="70"/>
      <c r="M277" s="70">
        <v>1.3025</v>
      </c>
      <c r="N277" s="70"/>
      <c r="O277" s="70">
        <v>4.063</v>
      </c>
      <c r="P277" s="70">
        <v>1.4869999999999999</v>
      </c>
      <c r="Q277" s="70">
        <v>1.4725</v>
      </c>
      <c r="R277" s="70">
        <v>1.4580000000000002</v>
      </c>
      <c r="S277" s="70">
        <v>1.4380000000000002</v>
      </c>
      <c r="T277" s="70">
        <v>2.244</v>
      </c>
      <c r="U277" s="70">
        <v>1.0274</v>
      </c>
      <c r="V277" s="70">
        <v>0.0</v>
      </c>
      <c r="W277" s="70">
        <v>1.2355</v>
      </c>
      <c r="X277" s="70">
        <v>3.0</v>
      </c>
      <c r="Y277" s="70">
        <v>850.0</v>
      </c>
      <c r="Z277" s="70">
        <v>2.452</v>
      </c>
      <c r="AA277" s="70">
        <v>4.23497</v>
      </c>
      <c r="AB277" s="70">
        <v>0.0</v>
      </c>
      <c r="AC277" s="70">
        <v>1.6775</v>
      </c>
      <c r="AD277" s="70">
        <v>0.0</v>
      </c>
      <c r="AE277" s="70">
        <v>0.0</v>
      </c>
      <c r="AF277" s="70">
        <v>0.0</v>
      </c>
      <c r="AG277" s="70">
        <v>0.0</v>
      </c>
      <c r="AH277" s="70">
        <v>1.59596</v>
      </c>
      <c r="AI277" s="70">
        <v>1.1925</v>
      </c>
      <c r="AJ277" s="70">
        <v>0.0</v>
      </c>
      <c r="AK277" s="70">
        <v>0.0</v>
      </c>
      <c r="AL277" s="70">
        <v>3.451</v>
      </c>
      <c r="AM277" s="70">
        <v>1.2193</v>
      </c>
      <c r="AN277" s="70">
        <v>1.05175</v>
      </c>
      <c r="AO277" s="70">
        <v>1.0695000000000001</v>
      </c>
      <c r="AP277" s="70">
        <v>1.1159999999999999</v>
      </c>
      <c r="AQ277" s="70">
        <v>1.0115</v>
      </c>
      <c r="AR277" s="70">
        <v>1.2563</v>
      </c>
      <c r="AS277" s="74">
        <v>1.0</v>
      </c>
      <c r="AT277" s="74">
        <v>1.0</v>
      </c>
      <c r="AU277" s="74">
        <v>1.0</v>
      </c>
      <c r="AV277" s="74">
        <v>1.0</v>
      </c>
      <c r="AW277" s="21"/>
      <c r="AX277" s="73">
        <v>26520.0</v>
      </c>
      <c r="AY277" s="73">
        <v>679.5</v>
      </c>
      <c r="AZ277" s="73">
        <v>6950.0</v>
      </c>
      <c r="BA277" s="73">
        <v>24780.0</v>
      </c>
      <c r="BB277" s="73">
        <v>8180.0</v>
      </c>
      <c r="BC277" s="73">
        <v>12976.83424</v>
      </c>
      <c r="BD277" s="75">
        <v>5100.0</v>
      </c>
      <c r="BE277" s="21"/>
      <c r="BF277" s="21"/>
      <c r="BG277" s="21" t="str">
        <f t="shared" si="1"/>
        <v>#NAME?</v>
      </c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</row>
    <row r="278" ht="15.75" customHeight="1">
      <c r="A278" s="56">
        <v>46091.0</v>
      </c>
      <c r="B278" s="70">
        <v>1484.0</v>
      </c>
      <c r="C278" s="70">
        <v>1500.0</v>
      </c>
      <c r="D278" s="70">
        <v>1428.0</v>
      </c>
      <c r="E278" s="70">
        <v>12.32</v>
      </c>
      <c r="F278" s="70"/>
      <c r="G278" s="70"/>
      <c r="H278" s="70">
        <v>5.3846</v>
      </c>
      <c r="I278" s="70">
        <v>2.079</v>
      </c>
      <c r="J278" s="70"/>
      <c r="K278" s="70">
        <v>3.0</v>
      </c>
      <c r="L278" s="70"/>
      <c r="M278" s="70">
        <v>1.3025</v>
      </c>
      <c r="N278" s="70"/>
      <c r="O278" s="70">
        <v>4.063</v>
      </c>
      <c r="P278" s="70">
        <v>1.4869999999999999</v>
      </c>
      <c r="Q278" s="70">
        <v>1.4725</v>
      </c>
      <c r="R278" s="70">
        <v>1.4580000000000002</v>
      </c>
      <c r="S278" s="70">
        <v>1.4380000000000002</v>
      </c>
      <c r="T278" s="70">
        <v>2.244</v>
      </c>
      <c r="U278" s="70">
        <v>1.0274</v>
      </c>
      <c r="V278" s="70">
        <v>0.0</v>
      </c>
      <c r="W278" s="70">
        <v>1.2355</v>
      </c>
      <c r="X278" s="70">
        <v>3.0</v>
      </c>
      <c r="Y278" s="70">
        <v>850.0</v>
      </c>
      <c r="Z278" s="70">
        <v>2.452</v>
      </c>
      <c r="AA278" s="70">
        <v>4.23497</v>
      </c>
      <c r="AB278" s="70">
        <v>0.0</v>
      </c>
      <c r="AC278" s="70">
        <v>1.6775</v>
      </c>
      <c r="AD278" s="70">
        <v>0.0</v>
      </c>
      <c r="AE278" s="70">
        <v>0.0</v>
      </c>
      <c r="AF278" s="70">
        <v>0.0</v>
      </c>
      <c r="AG278" s="70">
        <v>0.0</v>
      </c>
      <c r="AH278" s="70">
        <v>1.59596</v>
      </c>
      <c r="AI278" s="70">
        <v>1.1925</v>
      </c>
      <c r="AJ278" s="70">
        <v>0.0</v>
      </c>
      <c r="AK278" s="70">
        <v>0.0</v>
      </c>
      <c r="AL278" s="70">
        <v>3.451</v>
      </c>
      <c r="AM278" s="70">
        <v>1.2193</v>
      </c>
      <c r="AN278" s="70">
        <v>1.05175</v>
      </c>
      <c r="AO278" s="70">
        <v>1.0695000000000001</v>
      </c>
      <c r="AP278" s="70">
        <v>1.1159999999999999</v>
      </c>
      <c r="AQ278" s="70">
        <v>1.0115</v>
      </c>
      <c r="AR278" s="70">
        <v>1.2563</v>
      </c>
      <c r="AS278" s="74">
        <v>1.0</v>
      </c>
      <c r="AT278" s="74">
        <v>1.0</v>
      </c>
      <c r="AU278" s="74">
        <v>1.0</v>
      </c>
      <c r="AV278" s="74">
        <v>1.0</v>
      </c>
      <c r="AW278" s="21"/>
      <c r="AX278" s="73">
        <v>26520.0</v>
      </c>
      <c r="AY278" s="73">
        <v>679.5</v>
      </c>
      <c r="AZ278" s="73">
        <v>6950.0</v>
      </c>
      <c r="BA278" s="73">
        <v>24780.0</v>
      </c>
      <c r="BB278" s="73">
        <v>8180.0</v>
      </c>
      <c r="BC278" s="73">
        <v>12976.83424</v>
      </c>
      <c r="BD278" s="75">
        <v>5100.0</v>
      </c>
      <c r="BE278" s="21"/>
      <c r="BF278" s="21"/>
      <c r="BG278" s="21" t="str">
        <f t="shared" si="1"/>
        <v>#NAME?</v>
      </c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</row>
    <row r="279" ht="15.75" customHeight="1">
      <c r="A279" s="56">
        <v>46092.0</v>
      </c>
      <c r="B279" s="70">
        <v>1484.0</v>
      </c>
      <c r="C279" s="70">
        <v>1500.0</v>
      </c>
      <c r="D279" s="70">
        <v>1428.0</v>
      </c>
      <c r="E279" s="70">
        <v>12.32</v>
      </c>
      <c r="F279" s="70"/>
      <c r="G279" s="70"/>
      <c r="H279" s="70">
        <v>5.3846</v>
      </c>
      <c r="I279" s="70">
        <v>2.079</v>
      </c>
      <c r="J279" s="70"/>
      <c r="K279" s="70">
        <v>3.0</v>
      </c>
      <c r="L279" s="70"/>
      <c r="M279" s="70">
        <v>1.3025</v>
      </c>
      <c r="N279" s="70"/>
      <c r="O279" s="70">
        <v>4.063</v>
      </c>
      <c r="P279" s="70">
        <v>1.4869999999999999</v>
      </c>
      <c r="Q279" s="70">
        <v>1.4725</v>
      </c>
      <c r="R279" s="70">
        <v>1.4580000000000002</v>
      </c>
      <c r="S279" s="70">
        <v>1.4380000000000002</v>
      </c>
      <c r="T279" s="70">
        <v>2.244</v>
      </c>
      <c r="U279" s="70">
        <v>1.0274</v>
      </c>
      <c r="V279" s="70">
        <v>0.0</v>
      </c>
      <c r="W279" s="70">
        <v>1.2355</v>
      </c>
      <c r="X279" s="70">
        <v>3.0</v>
      </c>
      <c r="Y279" s="70">
        <v>850.0</v>
      </c>
      <c r="Z279" s="70">
        <v>2.452</v>
      </c>
      <c r="AA279" s="70">
        <v>4.23497</v>
      </c>
      <c r="AB279" s="70">
        <v>0.0</v>
      </c>
      <c r="AC279" s="70">
        <v>1.6775</v>
      </c>
      <c r="AD279" s="70">
        <v>0.0</v>
      </c>
      <c r="AE279" s="70">
        <v>0.0</v>
      </c>
      <c r="AF279" s="70">
        <v>0.0</v>
      </c>
      <c r="AG279" s="70">
        <v>0.0</v>
      </c>
      <c r="AH279" s="70">
        <v>1.59596</v>
      </c>
      <c r="AI279" s="70">
        <v>1.1925</v>
      </c>
      <c r="AJ279" s="70">
        <v>0.0</v>
      </c>
      <c r="AK279" s="70">
        <v>0.0</v>
      </c>
      <c r="AL279" s="70">
        <v>3.451</v>
      </c>
      <c r="AM279" s="70">
        <v>1.2193</v>
      </c>
      <c r="AN279" s="70">
        <v>1.05175</v>
      </c>
      <c r="AO279" s="70">
        <v>1.0695000000000001</v>
      </c>
      <c r="AP279" s="70">
        <v>1.1159999999999999</v>
      </c>
      <c r="AQ279" s="70">
        <v>1.0115</v>
      </c>
      <c r="AR279" s="70">
        <v>1.2563</v>
      </c>
      <c r="AS279" s="74">
        <v>1.0</v>
      </c>
      <c r="AT279" s="74">
        <v>1.0</v>
      </c>
      <c r="AU279" s="74">
        <v>1.0</v>
      </c>
      <c r="AV279" s="74">
        <v>1.0</v>
      </c>
      <c r="AW279" s="21"/>
      <c r="AX279" s="73">
        <v>26520.0</v>
      </c>
      <c r="AY279" s="73">
        <v>679.5</v>
      </c>
      <c r="AZ279" s="73">
        <v>6950.0</v>
      </c>
      <c r="BA279" s="73">
        <v>24780.0</v>
      </c>
      <c r="BB279" s="73">
        <v>8180.0</v>
      </c>
      <c r="BC279" s="73">
        <v>12976.83424</v>
      </c>
      <c r="BD279" s="75">
        <v>5100.0</v>
      </c>
      <c r="BE279" s="21"/>
      <c r="BF279" s="21"/>
      <c r="BG279" s="21" t="str">
        <f t="shared" si="1"/>
        <v>#NAME?</v>
      </c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</row>
    <row r="280" ht="15.75" customHeight="1">
      <c r="A280" s="56">
        <v>46093.0</v>
      </c>
      <c r="B280" s="70">
        <v>1484.0</v>
      </c>
      <c r="C280" s="70">
        <v>1500.0</v>
      </c>
      <c r="D280" s="70">
        <v>1428.0</v>
      </c>
      <c r="E280" s="70">
        <v>12.32</v>
      </c>
      <c r="F280" s="70"/>
      <c r="G280" s="70"/>
      <c r="H280" s="70">
        <v>5.3846</v>
      </c>
      <c r="I280" s="70">
        <v>2.079</v>
      </c>
      <c r="J280" s="70"/>
      <c r="K280" s="70">
        <v>3.0</v>
      </c>
      <c r="L280" s="70"/>
      <c r="M280" s="70">
        <v>1.3025</v>
      </c>
      <c r="N280" s="70"/>
      <c r="O280" s="70">
        <v>4.063</v>
      </c>
      <c r="P280" s="70">
        <v>1.4869999999999999</v>
      </c>
      <c r="Q280" s="70">
        <v>1.4725</v>
      </c>
      <c r="R280" s="70">
        <v>1.4580000000000002</v>
      </c>
      <c r="S280" s="70">
        <v>1.4380000000000002</v>
      </c>
      <c r="T280" s="70">
        <v>2.244</v>
      </c>
      <c r="U280" s="70">
        <v>1.0274</v>
      </c>
      <c r="V280" s="70">
        <v>0.0</v>
      </c>
      <c r="W280" s="70">
        <v>1.2355</v>
      </c>
      <c r="X280" s="70">
        <v>3.0</v>
      </c>
      <c r="Y280" s="70">
        <v>850.0</v>
      </c>
      <c r="Z280" s="70">
        <v>2.452</v>
      </c>
      <c r="AA280" s="70">
        <v>4.23497</v>
      </c>
      <c r="AB280" s="70">
        <v>0.0</v>
      </c>
      <c r="AC280" s="70">
        <v>1.6775</v>
      </c>
      <c r="AD280" s="70">
        <v>0.0</v>
      </c>
      <c r="AE280" s="70">
        <v>0.0</v>
      </c>
      <c r="AF280" s="70">
        <v>0.0</v>
      </c>
      <c r="AG280" s="70">
        <v>0.0</v>
      </c>
      <c r="AH280" s="70">
        <v>1.59596</v>
      </c>
      <c r="AI280" s="70">
        <v>1.1925</v>
      </c>
      <c r="AJ280" s="70">
        <v>0.0</v>
      </c>
      <c r="AK280" s="70">
        <v>0.0</v>
      </c>
      <c r="AL280" s="70">
        <v>3.451</v>
      </c>
      <c r="AM280" s="70">
        <v>1.2193</v>
      </c>
      <c r="AN280" s="70">
        <v>1.05175</v>
      </c>
      <c r="AO280" s="70">
        <v>1.0695000000000001</v>
      </c>
      <c r="AP280" s="70">
        <v>1.1159999999999999</v>
      </c>
      <c r="AQ280" s="70">
        <v>1.0115</v>
      </c>
      <c r="AR280" s="70">
        <v>1.2563</v>
      </c>
      <c r="AS280" s="74">
        <v>1.0</v>
      </c>
      <c r="AT280" s="74">
        <v>1.0</v>
      </c>
      <c r="AU280" s="74">
        <v>1.0</v>
      </c>
      <c r="AV280" s="74">
        <v>1.0</v>
      </c>
      <c r="AW280" s="21"/>
      <c r="AX280" s="73">
        <v>26520.0</v>
      </c>
      <c r="AY280" s="73">
        <v>679.5</v>
      </c>
      <c r="AZ280" s="73">
        <v>6950.0</v>
      </c>
      <c r="BA280" s="73">
        <v>24780.0</v>
      </c>
      <c r="BB280" s="73">
        <v>8180.0</v>
      </c>
      <c r="BC280" s="73">
        <v>12976.83424</v>
      </c>
      <c r="BD280" s="75">
        <v>5100.0</v>
      </c>
      <c r="BE280" s="21"/>
      <c r="BF280" s="21"/>
      <c r="BG280" s="21" t="str">
        <f t="shared" si="1"/>
        <v>#NAME?</v>
      </c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</row>
    <row r="281" ht="15.75" customHeight="1">
      <c r="A281" s="56">
        <v>46094.0</v>
      </c>
      <c r="B281" s="70">
        <v>1484.0</v>
      </c>
      <c r="C281" s="70">
        <v>1500.0</v>
      </c>
      <c r="D281" s="70">
        <v>1428.0</v>
      </c>
      <c r="E281" s="70">
        <v>12.32</v>
      </c>
      <c r="F281" s="70"/>
      <c r="G281" s="70"/>
      <c r="H281" s="70">
        <v>5.3846</v>
      </c>
      <c r="I281" s="70">
        <v>2.079</v>
      </c>
      <c r="J281" s="70"/>
      <c r="K281" s="70">
        <v>3.0</v>
      </c>
      <c r="L281" s="70"/>
      <c r="M281" s="70">
        <v>1.3025</v>
      </c>
      <c r="N281" s="70"/>
      <c r="O281" s="70">
        <v>4.063</v>
      </c>
      <c r="P281" s="70">
        <v>1.4869999999999999</v>
      </c>
      <c r="Q281" s="70">
        <v>1.4725</v>
      </c>
      <c r="R281" s="70">
        <v>1.4580000000000002</v>
      </c>
      <c r="S281" s="70">
        <v>1.4380000000000002</v>
      </c>
      <c r="T281" s="70">
        <v>2.244</v>
      </c>
      <c r="U281" s="70">
        <v>1.0274</v>
      </c>
      <c r="V281" s="70">
        <v>0.0</v>
      </c>
      <c r="W281" s="70">
        <v>1.2355</v>
      </c>
      <c r="X281" s="70">
        <v>3.0</v>
      </c>
      <c r="Y281" s="70">
        <v>850.0</v>
      </c>
      <c r="Z281" s="70">
        <v>2.452</v>
      </c>
      <c r="AA281" s="70">
        <v>4.23497</v>
      </c>
      <c r="AB281" s="70">
        <v>0.0</v>
      </c>
      <c r="AC281" s="70">
        <v>1.6775</v>
      </c>
      <c r="AD281" s="70">
        <v>0.0</v>
      </c>
      <c r="AE281" s="70">
        <v>0.0</v>
      </c>
      <c r="AF281" s="70">
        <v>0.0</v>
      </c>
      <c r="AG281" s="70">
        <v>0.0</v>
      </c>
      <c r="AH281" s="70">
        <v>1.59596</v>
      </c>
      <c r="AI281" s="70">
        <v>1.1925</v>
      </c>
      <c r="AJ281" s="70">
        <v>0.0</v>
      </c>
      <c r="AK281" s="70">
        <v>0.0</v>
      </c>
      <c r="AL281" s="70">
        <v>3.451</v>
      </c>
      <c r="AM281" s="70">
        <v>1.2193</v>
      </c>
      <c r="AN281" s="70">
        <v>1.05175</v>
      </c>
      <c r="AO281" s="70">
        <v>1.0695000000000001</v>
      </c>
      <c r="AP281" s="70">
        <v>1.1159999999999999</v>
      </c>
      <c r="AQ281" s="70">
        <v>1.0115</v>
      </c>
      <c r="AR281" s="70">
        <v>1.2563</v>
      </c>
      <c r="AS281" s="74">
        <v>1.0</v>
      </c>
      <c r="AT281" s="74">
        <v>1.0</v>
      </c>
      <c r="AU281" s="74">
        <v>1.0</v>
      </c>
      <c r="AV281" s="74">
        <v>1.0</v>
      </c>
      <c r="AW281" s="21"/>
      <c r="AX281" s="73">
        <v>26520.0</v>
      </c>
      <c r="AY281" s="73">
        <v>679.5</v>
      </c>
      <c r="AZ281" s="73">
        <v>6950.0</v>
      </c>
      <c r="BA281" s="73">
        <v>24780.0</v>
      </c>
      <c r="BB281" s="73">
        <v>8180.0</v>
      </c>
      <c r="BC281" s="73">
        <v>12976.83424</v>
      </c>
      <c r="BD281" s="75">
        <v>5100.0</v>
      </c>
      <c r="BE281" s="21"/>
      <c r="BF281" s="21"/>
      <c r="BG281" s="21" t="str">
        <f t="shared" si="1"/>
        <v>#NAME?</v>
      </c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</row>
    <row r="282" ht="15.75" customHeight="1">
      <c r="A282" s="56">
        <v>46095.0</v>
      </c>
      <c r="B282" s="70">
        <v>1484.0</v>
      </c>
      <c r="C282" s="70">
        <v>1500.0</v>
      </c>
      <c r="D282" s="70">
        <v>1428.0</v>
      </c>
      <c r="E282" s="70">
        <v>12.32</v>
      </c>
      <c r="F282" s="70"/>
      <c r="G282" s="70"/>
      <c r="H282" s="70">
        <v>5.3846</v>
      </c>
      <c r="I282" s="70">
        <v>2.079</v>
      </c>
      <c r="J282" s="70"/>
      <c r="K282" s="70">
        <v>3.0</v>
      </c>
      <c r="L282" s="70"/>
      <c r="M282" s="70">
        <v>1.3025</v>
      </c>
      <c r="N282" s="70"/>
      <c r="O282" s="70">
        <v>4.063</v>
      </c>
      <c r="P282" s="70">
        <v>1.4869999999999999</v>
      </c>
      <c r="Q282" s="70">
        <v>1.4725</v>
      </c>
      <c r="R282" s="70">
        <v>1.4580000000000002</v>
      </c>
      <c r="S282" s="70">
        <v>1.4380000000000002</v>
      </c>
      <c r="T282" s="70">
        <v>2.244</v>
      </c>
      <c r="U282" s="70">
        <v>1.0274</v>
      </c>
      <c r="V282" s="70">
        <v>0.0</v>
      </c>
      <c r="W282" s="70">
        <v>1.2355</v>
      </c>
      <c r="X282" s="70">
        <v>3.0</v>
      </c>
      <c r="Y282" s="70">
        <v>850.0</v>
      </c>
      <c r="Z282" s="70">
        <v>2.452</v>
      </c>
      <c r="AA282" s="70">
        <v>4.23497</v>
      </c>
      <c r="AB282" s="70">
        <v>0.0</v>
      </c>
      <c r="AC282" s="70">
        <v>1.6775</v>
      </c>
      <c r="AD282" s="70">
        <v>0.0</v>
      </c>
      <c r="AE282" s="70">
        <v>0.0</v>
      </c>
      <c r="AF282" s="70">
        <v>0.0</v>
      </c>
      <c r="AG282" s="70">
        <v>0.0</v>
      </c>
      <c r="AH282" s="70">
        <v>1.59596</v>
      </c>
      <c r="AI282" s="70">
        <v>1.1925</v>
      </c>
      <c r="AJ282" s="70">
        <v>0.0</v>
      </c>
      <c r="AK282" s="70">
        <v>0.0</v>
      </c>
      <c r="AL282" s="70">
        <v>3.451</v>
      </c>
      <c r="AM282" s="70">
        <v>1.2193</v>
      </c>
      <c r="AN282" s="70">
        <v>1.05175</v>
      </c>
      <c r="AO282" s="70">
        <v>1.0695000000000001</v>
      </c>
      <c r="AP282" s="70">
        <v>1.1159999999999999</v>
      </c>
      <c r="AQ282" s="70">
        <v>1.0115</v>
      </c>
      <c r="AR282" s="70">
        <v>1.2563</v>
      </c>
      <c r="AS282" s="74">
        <v>1.0</v>
      </c>
      <c r="AT282" s="74">
        <v>1.0</v>
      </c>
      <c r="AU282" s="74">
        <v>1.0</v>
      </c>
      <c r="AV282" s="74">
        <v>1.0</v>
      </c>
      <c r="AW282" s="21"/>
      <c r="AX282" s="73">
        <v>26520.0</v>
      </c>
      <c r="AY282" s="73">
        <v>679.5</v>
      </c>
      <c r="AZ282" s="73">
        <v>6950.0</v>
      </c>
      <c r="BA282" s="73">
        <v>24780.0</v>
      </c>
      <c r="BB282" s="73">
        <v>8180.0</v>
      </c>
      <c r="BC282" s="73">
        <v>12976.83424</v>
      </c>
      <c r="BD282" s="75">
        <v>5100.0</v>
      </c>
      <c r="BE282" s="21"/>
      <c r="BF282" s="21"/>
      <c r="BG282" s="21" t="str">
        <f t="shared" si="1"/>
        <v>#NAME?</v>
      </c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</row>
    <row r="283" ht="15.75" customHeight="1">
      <c r="A283" s="56">
        <v>46096.0</v>
      </c>
      <c r="B283" s="70">
        <v>1484.0</v>
      </c>
      <c r="C283" s="70">
        <v>1500.0</v>
      </c>
      <c r="D283" s="70">
        <v>1428.0</v>
      </c>
      <c r="E283" s="70">
        <v>12.32</v>
      </c>
      <c r="F283" s="70"/>
      <c r="G283" s="70"/>
      <c r="H283" s="70">
        <v>5.3846</v>
      </c>
      <c r="I283" s="70">
        <v>2.079</v>
      </c>
      <c r="J283" s="70"/>
      <c r="K283" s="70">
        <v>3.0</v>
      </c>
      <c r="L283" s="70"/>
      <c r="M283" s="70">
        <v>1.3025</v>
      </c>
      <c r="N283" s="70"/>
      <c r="O283" s="70">
        <v>4.063</v>
      </c>
      <c r="P283" s="70">
        <v>1.4869999999999999</v>
      </c>
      <c r="Q283" s="70">
        <v>1.4725</v>
      </c>
      <c r="R283" s="70">
        <v>1.4580000000000002</v>
      </c>
      <c r="S283" s="70">
        <v>1.4380000000000002</v>
      </c>
      <c r="T283" s="70">
        <v>2.244</v>
      </c>
      <c r="U283" s="70">
        <v>1.0274</v>
      </c>
      <c r="V283" s="70">
        <v>0.0</v>
      </c>
      <c r="W283" s="70">
        <v>1.2355</v>
      </c>
      <c r="X283" s="70">
        <v>3.0</v>
      </c>
      <c r="Y283" s="70">
        <v>850.0</v>
      </c>
      <c r="Z283" s="70">
        <v>2.452</v>
      </c>
      <c r="AA283" s="70">
        <v>4.23497</v>
      </c>
      <c r="AB283" s="70">
        <v>0.0</v>
      </c>
      <c r="AC283" s="70">
        <v>1.6775</v>
      </c>
      <c r="AD283" s="70">
        <v>0.0</v>
      </c>
      <c r="AE283" s="70">
        <v>0.0</v>
      </c>
      <c r="AF283" s="70">
        <v>0.0</v>
      </c>
      <c r="AG283" s="70">
        <v>0.0</v>
      </c>
      <c r="AH283" s="70">
        <v>1.59596</v>
      </c>
      <c r="AI283" s="70">
        <v>1.1925</v>
      </c>
      <c r="AJ283" s="70">
        <v>0.0</v>
      </c>
      <c r="AK283" s="70">
        <v>0.0</v>
      </c>
      <c r="AL283" s="70">
        <v>3.451</v>
      </c>
      <c r="AM283" s="70">
        <v>1.2193</v>
      </c>
      <c r="AN283" s="70">
        <v>1.05175</v>
      </c>
      <c r="AO283" s="70">
        <v>1.0695000000000001</v>
      </c>
      <c r="AP283" s="70">
        <v>1.1159999999999999</v>
      </c>
      <c r="AQ283" s="70">
        <v>1.0115</v>
      </c>
      <c r="AR283" s="70">
        <v>1.2563</v>
      </c>
      <c r="AS283" s="74">
        <v>1.0</v>
      </c>
      <c r="AT283" s="74">
        <v>1.0</v>
      </c>
      <c r="AU283" s="74">
        <v>1.0</v>
      </c>
      <c r="AV283" s="74">
        <v>1.0</v>
      </c>
      <c r="AW283" s="21"/>
      <c r="AX283" s="73">
        <v>26520.0</v>
      </c>
      <c r="AY283" s="73">
        <v>679.5</v>
      </c>
      <c r="AZ283" s="73">
        <v>6950.0</v>
      </c>
      <c r="BA283" s="73">
        <v>24780.0</v>
      </c>
      <c r="BB283" s="73">
        <v>8180.0</v>
      </c>
      <c r="BC283" s="73">
        <v>12976.83424</v>
      </c>
      <c r="BD283" s="75">
        <v>5100.0</v>
      </c>
      <c r="BE283" s="21"/>
      <c r="BF283" s="21"/>
      <c r="BG283" s="21" t="str">
        <f t="shared" si="1"/>
        <v>#NAME?</v>
      </c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</row>
    <row r="284" ht="15.75" customHeight="1">
      <c r="A284" s="56">
        <v>46097.0</v>
      </c>
      <c r="B284" s="70">
        <v>1484.0</v>
      </c>
      <c r="C284" s="70">
        <v>1500.0</v>
      </c>
      <c r="D284" s="70">
        <v>1428.0</v>
      </c>
      <c r="E284" s="70">
        <v>12.32</v>
      </c>
      <c r="F284" s="70"/>
      <c r="G284" s="70"/>
      <c r="H284" s="70">
        <v>5.3846</v>
      </c>
      <c r="I284" s="70">
        <v>2.079</v>
      </c>
      <c r="J284" s="70"/>
      <c r="K284" s="70">
        <v>3.0</v>
      </c>
      <c r="L284" s="70"/>
      <c r="M284" s="70">
        <v>1.3025</v>
      </c>
      <c r="N284" s="70"/>
      <c r="O284" s="70">
        <v>4.063</v>
      </c>
      <c r="P284" s="70">
        <v>1.4869999999999999</v>
      </c>
      <c r="Q284" s="70">
        <v>1.4725</v>
      </c>
      <c r="R284" s="70">
        <v>1.4580000000000002</v>
      </c>
      <c r="S284" s="70">
        <v>1.4380000000000002</v>
      </c>
      <c r="T284" s="70">
        <v>2.244</v>
      </c>
      <c r="U284" s="70">
        <v>1.0274</v>
      </c>
      <c r="V284" s="70">
        <v>0.0</v>
      </c>
      <c r="W284" s="70">
        <v>1.2355</v>
      </c>
      <c r="X284" s="70">
        <v>3.0</v>
      </c>
      <c r="Y284" s="70">
        <v>850.0</v>
      </c>
      <c r="Z284" s="70">
        <v>2.452</v>
      </c>
      <c r="AA284" s="70">
        <v>4.23497</v>
      </c>
      <c r="AB284" s="70">
        <v>0.0</v>
      </c>
      <c r="AC284" s="70">
        <v>1.6775</v>
      </c>
      <c r="AD284" s="70">
        <v>0.0</v>
      </c>
      <c r="AE284" s="70">
        <v>0.0</v>
      </c>
      <c r="AF284" s="70">
        <v>0.0</v>
      </c>
      <c r="AG284" s="70">
        <v>0.0</v>
      </c>
      <c r="AH284" s="70">
        <v>1.59596</v>
      </c>
      <c r="AI284" s="70">
        <v>1.1925</v>
      </c>
      <c r="AJ284" s="70">
        <v>0.0</v>
      </c>
      <c r="AK284" s="70">
        <v>0.0</v>
      </c>
      <c r="AL284" s="70">
        <v>3.451</v>
      </c>
      <c r="AM284" s="70">
        <v>1.2193</v>
      </c>
      <c r="AN284" s="70">
        <v>1.05175</v>
      </c>
      <c r="AO284" s="70">
        <v>1.0695000000000001</v>
      </c>
      <c r="AP284" s="70">
        <v>1.1159999999999999</v>
      </c>
      <c r="AQ284" s="70">
        <v>1.0115</v>
      </c>
      <c r="AR284" s="70">
        <v>1.2563</v>
      </c>
      <c r="AS284" s="74">
        <v>1.0</v>
      </c>
      <c r="AT284" s="74">
        <v>1.0</v>
      </c>
      <c r="AU284" s="74">
        <v>1.0</v>
      </c>
      <c r="AV284" s="74">
        <v>1.0</v>
      </c>
      <c r="AW284" s="21"/>
      <c r="AX284" s="73">
        <v>26520.0</v>
      </c>
      <c r="AY284" s="73">
        <v>679.5</v>
      </c>
      <c r="AZ284" s="73">
        <v>6950.0</v>
      </c>
      <c r="BA284" s="73">
        <v>24780.0</v>
      </c>
      <c r="BB284" s="73">
        <v>8180.0</v>
      </c>
      <c r="BC284" s="73">
        <v>12976.83424</v>
      </c>
      <c r="BD284" s="75">
        <v>5100.0</v>
      </c>
      <c r="BE284" s="21"/>
      <c r="BF284" s="21"/>
      <c r="BG284" s="21" t="str">
        <f t="shared" si="1"/>
        <v>#NAME?</v>
      </c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</row>
    <row r="285" ht="15.75" customHeight="1">
      <c r="A285" s="56">
        <v>46098.0</v>
      </c>
      <c r="B285" s="70">
        <v>1484.0</v>
      </c>
      <c r="C285" s="70">
        <v>1500.0</v>
      </c>
      <c r="D285" s="70">
        <v>1428.0</v>
      </c>
      <c r="E285" s="70">
        <v>12.32</v>
      </c>
      <c r="F285" s="70"/>
      <c r="G285" s="70"/>
      <c r="H285" s="70">
        <v>5.3846</v>
      </c>
      <c r="I285" s="70">
        <v>2.079</v>
      </c>
      <c r="J285" s="70"/>
      <c r="K285" s="70">
        <v>3.0</v>
      </c>
      <c r="L285" s="70"/>
      <c r="M285" s="70">
        <v>1.3025</v>
      </c>
      <c r="N285" s="70"/>
      <c r="O285" s="70">
        <v>4.063</v>
      </c>
      <c r="P285" s="70">
        <v>1.4869999999999999</v>
      </c>
      <c r="Q285" s="70">
        <v>1.4725</v>
      </c>
      <c r="R285" s="70">
        <v>1.4580000000000002</v>
      </c>
      <c r="S285" s="70">
        <v>1.4380000000000002</v>
      </c>
      <c r="T285" s="70">
        <v>2.244</v>
      </c>
      <c r="U285" s="70">
        <v>1.0274</v>
      </c>
      <c r="V285" s="70">
        <v>0.0</v>
      </c>
      <c r="W285" s="70">
        <v>1.2355</v>
      </c>
      <c r="X285" s="70">
        <v>3.0</v>
      </c>
      <c r="Y285" s="70">
        <v>850.0</v>
      </c>
      <c r="Z285" s="70">
        <v>2.452</v>
      </c>
      <c r="AA285" s="70">
        <v>4.23497</v>
      </c>
      <c r="AB285" s="70">
        <v>0.0</v>
      </c>
      <c r="AC285" s="70">
        <v>1.6775</v>
      </c>
      <c r="AD285" s="70">
        <v>0.0</v>
      </c>
      <c r="AE285" s="70">
        <v>0.0</v>
      </c>
      <c r="AF285" s="70">
        <v>0.0</v>
      </c>
      <c r="AG285" s="70">
        <v>0.0</v>
      </c>
      <c r="AH285" s="70">
        <v>1.59596</v>
      </c>
      <c r="AI285" s="70">
        <v>1.1925</v>
      </c>
      <c r="AJ285" s="70">
        <v>0.0</v>
      </c>
      <c r="AK285" s="70">
        <v>0.0</v>
      </c>
      <c r="AL285" s="70">
        <v>3.451</v>
      </c>
      <c r="AM285" s="70">
        <v>1.2193</v>
      </c>
      <c r="AN285" s="70">
        <v>1.05175</v>
      </c>
      <c r="AO285" s="70">
        <v>1.0695000000000001</v>
      </c>
      <c r="AP285" s="70">
        <v>1.1159999999999999</v>
      </c>
      <c r="AQ285" s="70">
        <v>1.0115</v>
      </c>
      <c r="AR285" s="70">
        <v>1.2563</v>
      </c>
      <c r="AS285" s="74">
        <v>1.0</v>
      </c>
      <c r="AT285" s="74">
        <v>1.0</v>
      </c>
      <c r="AU285" s="74">
        <v>1.0</v>
      </c>
      <c r="AV285" s="74">
        <v>1.0</v>
      </c>
      <c r="AW285" s="21"/>
      <c r="AX285" s="73">
        <v>26520.0</v>
      </c>
      <c r="AY285" s="73">
        <v>679.5</v>
      </c>
      <c r="AZ285" s="73">
        <v>6950.0</v>
      </c>
      <c r="BA285" s="73">
        <v>24780.0</v>
      </c>
      <c r="BB285" s="73">
        <v>8180.0</v>
      </c>
      <c r="BC285" s="73">
        <v>12976.83424</v>
      </c>
      <c r="BD285" s="75">
        <v>5100.0</v>
      </c>
      <c r="BE285" s="21"/>
      <c r="BF285" s="21"/>
      <c r="BG285" s="21" t="str">
        <f t="shared" si="1"/>
        <v>#NAME?</v>
      </c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</row>
    <row r="286" ht="15.75" customHeight="1">
      <c r="A286" s="56">
        <v>46099.0</v>
      </c>
      <c r="B286" s="70">
        <v>1484.0</v>
      </c>
      <c r="C286" s="70">
        <v>1500.0</v>
      </c>
      <c r="D286" s="70">
        <v>1428.0</v>
      </c>
      <c r="E286" s="70">
        <v>12.32</v>
      </c>
      <c r="F286" s="70"/>
      <c r="G286" s="70"/>
      <c r="H286" s="70">
        <v>5.3846</v>
      </c>
      <c r="I286" s="70">
        <v>2.079</v>
      </c>
      <c r="J286" s="70"/>
      <c r="K286" s="70">
        <v>3.0</v>
      </c>
      <c r="L286" s="70"/>
      <c r="M286" s="70">
        <v>1.3025</v>
      </c>
      <c r="N286" s="70"/>
      <c r="O286" s="70">
        <v>4.063</v>
      </c>
      <c r="P286" s="70">
        <v>1.4869999999999999</v>
      </c>
      <c r="Q286" s="70">
        <v>1.4725</v>
      </c>
      <c r="R286" s="70">
        <v>1.4580000000000002</v>
      </c>
      <c r="S286" s="70">
        <v>1.4380000000000002</v>
      </c>
      <c r="T286" s="70">
        <v>2.244</v>
      </c>
      <c r="U286" s="70">
        <v>1.0274</v>
      </c>
      <c r="V286" s="70">
        <v>0.0</v>
      </c>
      <c r="W286" s="70">
        <v>1.2355</v>
      </c>
      <c r="X286" s="70">
        <v>3.0</v>
      </c>
      <c r="Y286" s="70">
        <v>850.0</v>
      </c>
      <c r="Z286" s="70">
        <v>2.452</v>
      </c>
      <c r="AA286" s="70">
        <v>4.23497</v>
      </c>
      <c r="AB286" s="70">
        <v>0.0</v>
      </c>
      <c r="AC286" s="70">
        <v>1.6775</v>
      </c>
      <c r="AD286" s="70">
        <v>0.0</v>
      </c>
      <c r="AE286" s="70">
        <v>0.0</v>
      </c>
      <c r="AF286" s="70">
        <v>0.0</v>
      </c>
      <c r="AG286" s="70">
        <v>0.0</v>
      </c>
      <c r="AH286" s="70">
        <v>1.59596</v>
      </c>
      <c r="AI286" s="70">
        <v>1.1925</v>
      </c>
      <c r="AJ286" s="70">
        <v>0.0</v>
      </c>
      <c r="AK286" s="70">
        <v>0.0</v>
      </c>
      <c r="AL286" s="70">
        <v>3.451</v>
      </c>
      <c r="AM286" s="70">
        <v>1.2193</v>
      </c>
      <c r="AN286" s="70">
        <v>1.05175</v>
      </c>
      <c r="AO286" s="70">
        <v>1.0695000000000001</v>
      </c>
      <c r="AP286" s="70">
        <v>1.1159999999999999</v>
      </c>
      <c r="AQ286" s="70">
        <v>1.0115</v>
      </c>
      <c r="AR286" s="70">
        <v>1.2563</v>
      </c>
      <c r="AS286" s="74">
        <v>1.0</v>
      </c>
      <c r="AT286" s="74">
        <v>1.0</v>
      </c>
      <c r="AU286" s="74">
        <v>1.0</v>
      </c>
      <c r="AV286" s="74">
        <v>1.0</v>
      </c>
      <c r="AW286" s="21"/>
      <c r="AX286" s="73">
        <v>26520.0</v>
      </c>
      <c r="AY286" s="73">
        <v>679.5</v>
      </c>
      <c r="AZ286" s="73">
        <v>6950.0</v>
      </c>
      <c r="BA286" s="73">
        <v>24780.0</v>
      </c>
      <c r="BB286" s="73">
        <v>8180.0</v>
      </c>
      <c r="BC286" s="73">
        <v>12976.83424</v>
      </c>
      <c r="BD286" s="75">
        <v>5100.0</v>
      </c>
      <c r="BE286" s="21"/>
      <c r="BF286" s="21"/>
      <c r="BG286" s="21" t="str">
        <f t="shared" si="1"/>
        <v>#NAME?</v>
      </c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</row>
    <row r="287" ht="15.75" customHeight="1">
      <c r="A287" s="56">
        <v>46100.0</v>
      </c>
      <c r="B287" s="70">
        <v>1484.0</v>
      </c>
      <c r="C287" s="70">
        <v>1500.0</v>
      </c>
      <c r="D287" s="70">
        <v>1428.0</v>
      </c>
      <c r="E287" s="70">
        <v>12.32</v>
      </c>
      <c r="F287" s="70"/>
      <c r="G287" s="70"/>
      <c r="H287" s="70">
        <v>5.3846</v>
      </c>
      <c r="I287" s="70">
        <v>2.079</v>
      </c>
      <c r="J287" s="70"/>
      <c r="K287" s="70">
        <v>3.0</v>
      </c>
      <c r="L287" s="70"/>
      <c r="M287" s="70">
        <v>1.3025</v>
      </c>
      <c r="N287" s="70"/>
      <c r="O287" s="70">
        <v>4.063</v>
      </c>
      <c r="P287" s="70">
        <v>1.4869999999999999</v>
      </c>
      <c r="Q287" s="70">
        <v>1.4725</v>
      </c>
      <c r="R287" s="70">
        <v>1.4580000000000002</v>
      </c>
      <c r="S287" s="70">
        <v>1.4380000000000002</v>
      </c>
      <c r="T287" s="70">
        <v>2.244</v>
      </c>
      <c r="U287" s="70">
        <v>1.0274</v>
      </c>
      <c r="V287" s="70">
        <v>0.0</v>
      </c>
      <c r="W287" s="70">
        <v>1.2355</v>
      </c>
      <c r="X287" s="70">
        <v>3.0</v>
      </c>
      <c r="Y287" s="70">
        <v>850.0</v>
      </c>
      <c r="Z287" s="70">
        <v>2.452</v>
      </c>
      <c r="AA287" s="70">
        <v>4.23497</v>
      </c>
      <c r="AB287" s="70">
        <v>0.0</v>
      </c>
      <c r="AC287" s="70">
        <v>1.6775</v>
      </c>
      <c r="AD287" s="70">
        <v>0.0</v>
      </c>
      <c r="AE287" s="70">
        <v>0.0</v>
      </c>
      <c r="AF287" s="70">
        <v>0.0</v>
      </c>
      <c r="AG287" s="70">
        <v>0.0</v>
      </c>
      <c r="AH287" s="70">
        <v>1.59596</v>
      </c>
      <c r="AI287" s="70">
        <v>1.1925</v>
      </c>
      <c r="AJ287" s="70">
        <v>0.0</v>
      </c>
      <c r="AK287" s="70">
        <v>0.0</v>
      </c>
      <c r="AL287" s="70">
        <v>3.451</v>
      </c>
      <c r="AM287" s="70">
        <v>1.2193</v>
      </c>
      <c r="AN287" s="70">
        <v>1.05175</v>
      </c>
      <c r="AO287" s="70">
        <v>1.0695000000000001</v>
      </c>
      <c r="AP287" s="70">
        <v>1.1159999999999999</v>
      </c>
      <c r="AQ287" s="70">
        <v>1.0115</v>
      </c>
      <c r="AR287" s="70">
        <v>1.2563</v>
      </c>
      <c r="AS287" s="74">
        <v>1.0</v>
      </c>
      <c r="AT287" s="74">
        <v>1.0</v>
      </c>
      <c r="AU287" s="74">
        <v>1.0</v>
      </c>
      <c r="AV287" s="74">
        <v>1.0</v>
      </c>
      <c r="AW287" s="21"/>
      <c r="AX287" s="73">
        <v>26520.0</v>
      </c>
      <c r="AY287" s="73">
        <v>679.5</v>
      </c>
      <c r="AZ287" s="73">
        <v>6950.0</v>
      </c>
      <c r="BA287" s="73">
        <v>24780.0</v>
      </c>
      <c r="BB287" s="73">
        <v>8180.0</v>
      </c>
      <c r="BC287" s="73">
        <v>12976.83424</v>
      </c>
      <c r="BD287" s="75">
        <v>5100.0</v>
      </c>
      <c r="BE287" s="21"/>
      <c r="BF287" s="21"/>
      <c r="BG287" s="21" t="str">
        <f t="shared" si="1"/>
        <v>#NAME?</v>
      </c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</row>
    <row r="288" ht="15.75" customHeight="1">
      <c r="A288" s="76">
        <v>46114.0</v>
      </c>
      <c r="B288" s="70">
        <v>1484.0</v>
      </c>
      <c r="C288" s="70">
        <v>1500.0</v>
      </c>
      <c r="D288" s="70">
        <v>1428.0</v>
      </c>
      <c r="E288" s="70">
        <v>12.32</v>
      </c>
      <c r="F288" s="70"/>
      <c r="G288" s="70"/>
      <c r="H288" s="70">
        <v>5.3846</v>
      </c>
      <c r="I288" s="70">
        <v>2.079</v>
      </c>
      <c r="J288" s="70"/>
      <c r="K288" s="70">
        <v>3.0</v>
      </c>
      <c r="L288" s="70"/>
      <c r="M288" s="70">
        <v>1.3025</v>
      </c>
      <c r="N288" s="70"/>
      <c r="O288" s="70">
        <v>4.063</v>
      </c>
      <c r="P288" s="70">
        <v>1.4869999999999999</v>
      </c>
      <c r="Q288" s="70">
        <v>1.4725</v>
      </c>
      <c r="R288" s="70">
        <v>1.4580000000000002</v>
      </c>
      <c r="S288" s="70">
        <v>1.4380000000000002</v>
      </c>
      <c r="T288" s="70">
        <v>2.244</v>
      </c>
      <c r="U288" s="70">
        <v>1.0274</v>
      </c>
      <c r="V288" s="70">
        <v>0.0</v>
      </c>
      <c r="W288" s="70">
        <v>1.2355</v>
      </c>
      <c r="X288" s="70">
        <v>3.0</v>
      </c>
      <c r="Y288" s="70">
        <v>850.0</v>
      </c>
      <c r="Z288" s="70">
        <v>2.452</v>
      </c>
      <c r="AA288" s="70">
        <v>4.23497</v>
      </c>
      <c r="AB288" s="70">
        <v>0.0</v>
      </c>
      <c r="AC288" s="70">
        <v>1.6775</v>
      </c>
      <c r="AD288" s="70">
        <v>0.0</v>
      </c>
      <c r="AE288" s="70">
        <v>0.0</v>
      </c>
      <c r="AF288" s="70">
        <v>0.0</v>
      </c>
      <c r="AG288" s="70">
        <v>0.0</v>
      </c>
      <c r="AH288" s="70">
        <v>1.59596</v>
      </c>
      <c r="AI288" s="70">
        <v>1.1925</v>
      </c>
      <c r="AJ288" s="70">
        <v>0.0</v>
      </c>
      <c r="AK288" s="70">
        <v>0.0</v>
      </c>
      <c r="AL288" s="70">
        <v>3.451</v>
      </c>
      <c r="AM288" s="70">
        <v>1.2193</v>
      </c>
      <c r="AN288" s="70">
        <v>1.05175</v>
      </c>
      <c r="AO288" s="70">
        <v>1.0695000000000001</v>
      </c>
      <c r="AP288" s="70">
        <v>1.1159999999999999</v>
      </c>
      <c r="AQ288" s="70">
        <v>1.0115</v>
      </c>
      <c r="AR288" s="70">
        <v>1.2563</v>
      </c>
      <c r="AS288" s="74">
        <v>1.0</v>
      </c>
      <c r="AT288" s="74">
        <v>1.0</v>
      </c>
      <c r="AU288" s="74">
        <v>1.0</v>
      </c>
      <c r="AV288" s="74">
        <v>1.0</v>
      </c>
      <c r="AW288" s="21"/>
      <c r="AX288" s="73">
        <v>26520.0</v>
      </c>
      <c r="AY288" s="73">
        <v>679.5</v>
      </c>
      <c r="AZ288" s="73">
        <v>6950.0</v>
      </c>
      <c r="BA288" s="73">
        <v>24780.0</v>
      </c>
      <c r="BB288" s="73">
        <v>8180.0</v>
      </c>
      <c r="BC288" s="73">
        <v>12976.83424</v>
      </c>
      <c r="BD288" s="75">
        <v>5100.0</v>
      </c>
      <c r="BE288" s="21"/>
      <c r="BF288" s="21"/>
      <c r="BG288" s="21" t="str">
        <f t="shared" si="1"/>
        <v>#NAME?</v>
      </c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</row>
    <row r="289" ht="15.75" customHeight="1">
      <c r="A289" s="56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21"/>
      <c r="AX289" s="73"/>
      <c r="AY289" s="73"/>
      <c r="AZ289" s="73"/>
      <c r="BA289" s="73"/>
      <c r="BB289" s="73"/>
      <c r="BC289" s="73"/>
      <c r="BD289" s="73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</row>
    <row r="290" ht="15.75" customHeight="1">
      <c r="A290" s="56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21"/>
      <c r="AX290" s="73"/>
      <c r="AY290" s="73"/>
      <c r="AZ290" s="73"/>
      <c r="BA290" s="73"/>
      <c r="BB290" s="73"/>
      <c r="BC290" s="73"/>
      <c r="BD290" s="73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</row>
    <row r="291" ht="15.75" customHeight="1">
      <c r="A291" s="56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21"/>
      <c r="AX291" s="73"/>
      <c r="AY291" s="73"/>
      <c r="AZ291" s="73"/>
      <c r="BA291" s="73"/>
      <c r="BB291" s="73"/>
      <c r="BC291" s="73"/>
      <c r="BD291" s="73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</row>
    <row r="292" ht="15.75" customHeight="1">
      <c r="A292" s="56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21"/>
      <c r="AX292" s="73"/>
      <c r="AY292" s="73"/>
      <c r="AZ292" s="73"/>
      <c r="BA292" s="73"/>
      <c r="BB292" s="73"/>
      <c r="BC292" s="73"/>
      <c r="BD292" s="73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</row>
    <row r="293" ht="15.75" customHeight="1">
      <c r="A293" s="56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21"/>
      <c r="AX293" s="73"/>
      <c r="AY293" s="73"/>
      <c r="AZ293" s="73"/>
      <c r="BA293" s="73"/>
      <c r="BB293" s="73"/>
      <c r="BC293" s="73"/>
      <c r="BD293" s="73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</row>
    <row r="294" ht="15.75" customHeight="1">
      <c r="A294" s="56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21"/>
      <c r="AX294" s="73"/>
      <c r="AY294" s="73"/>
      <c r="AZ294" s="73"/>
      <c r="BA294" s="73"/>
      <c r="BB294" s="73"/>
      <c r="BC294" s="73"/>
      <c r="BD294" s="73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</row>
    <row r="295" ht="15.75" customHeight="1">
      <c r="A295" s="56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21"/>
      <c r="AX295" s="73"/>
      <c r="AY295" s="73"/>
      <c r="AZ295" s="73"/>
      <c r="BA295" s="73"/>
      <c r="BB295" s="73"/>
      <c r="BC295" s="73"/>
      <c r="BD295" s="73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</row>
    <row r="296" ht="15.75" customHeight="1">
      <c r="A296" s="56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21"/>
      <c r="AX296" s="73"/>
      <c r="AY296" s="73"/>
      <c r="AZ296" s="73"/>
      <c r="BA296" s="73"/>
      <c r="BB296" s="73"/>
      <c r="BC296" s="73"/>
      <c r="BD296" s="73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</row>
    <row r="297" ht="15.75" customHeight="1">
      <c r="A297" s="56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21"/>
      <c r="AX297" s="73"/>
      <c r="AY297" s="73"/>
      <c r="AZ297" s="73"/>
      <c r="BA297" s="73"/>
      <c r="BB297" s="73"/>
      <c r="BC297" s="73"/>
      <c r="BD297" s="73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</row>
    <row r="298" ht="15.75" customHeight="1">
      <c r="A298" s="56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21"/>
      <c r="AX298" s="73"/>
      <c r="AY298" s="73"/>
      <c r="AZ298" s="73"/>
      <c r="BA298" s="73"/>
      <c r="BB298" s="73"/>
      <c r="BC298" s="73"/>
      <c r="BD298" s="73"/>
      <c r="BE298" s="21"/>
      <c r="BF298" s="21"/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/>
    </row>
    <row r="299" ht="15.75" customHeight="1">
      <c r="A299" s="56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21"/>
      <c r="AX299" s="73"/>
      <c r="AY299" s="73"/>
      <c r="AZ299" s="73"/>
      <c r="BA299" s="73"/>
      <c r="BB299" s="73"/>
      <c r="BC299" s="73"/>
      <c r="BD299" s="73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</row>
    <row r="300" ht="15.75" customHeight="1">
      <c r="A300" s="56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21"/>
      <c r="AX300" s="73"/>
      <c r="AY300" s="73"/>
      <c r="AZ300" s="73"/>
      <c r="BA300" s="73"/>
      <c r="BB300" s="73"/>
      <c r="BC300" s="73"/>
      <c r="BD300" s="73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</row>
    <row r="301" ht="15.75" customHeight="1">
      <c r="A301" s="56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21"/>
      <c r="AX301" s="73"/>
      <c r="AY301" s="73"/>
      <c r="AZ301" s="73"/>
      <c r="BA301" s="73"/>
      <c r="BB301" s="73"/>
      <c r="BC301" s="73"/>
      <c r="BD301" s="73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</row>
    <row r="302" ht="15.75" customHeight="1">
      <c r="A302" s="56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21"/>
      <c r="AX302" s="73"/>
      <c r="AY302" s="73"/>
      <c r="AZ302" s="73"/>
      <c r="BA302" s="73"/>
      <c r="BB302" s="73"/>
      <c r="BC302" s="73"/>
      <c r="BD302" s="73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</row>
    <row r="303" ht="15.75" customHeight="1">
      <c r="A303" s="56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  <c r="AW303" s="21"/>
      <c r="AX303" s="73"/>
      <c r="AY303" s="73"/>
      <c r="AZ303" s="73"/>
      <c r="BA303" s="73"/>
      <c r="BB303" s="73"/>
      <c r="BC303" s="73"/>
      <c r="BD303" s="73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</row>
    <row r="304" ht="15.75" customHeight="1">
      <c r="A304" s="56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21"/>
      <c r="AX304" s="73"/>
      <c r="AY304" s="73"/>
      <c r="AZ304" s="73"/>
      <c r="BA304" s="73"/>
      <c r="BB304" s="73"/>
      <c r="BC304" s="73"/>
      <c r="BD304" s="73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</row>
    <row r="305" ht="15.75" customHeight="1">
      <c r="A305" s="56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21"/>
      <c r="AX305" s="73"/>
      <c r="AY305" s="73"/>
      <c r="AZ305" s="73"/>
      <c r="BA305" s="73"/>
      <c r="BB305" s="73"/>
      <c r="BC305" s="73"/>
      <c r="BD305" s="73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</row>
    <row r="306" ht="15.75" customHeight="1">
      <c r="A306" s="56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21"/>
      <c r="AX306" s="73"/>
      <c r="AY306" s="73"/>
      <c r="AZ306" s="73"/>
      <c r="BA306" s="73"/>
      <c r="BB306" s="73"/>
      <c r="BC306" s="73"/>
      <c r="BD306" s="73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</row>
    <row r="307" ht="15.75" customHeight="1">
      <c r="A307" s="56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21"/>
      <c r="AX307" s="73"/>
      <c r="AY307" s="73"/>
      <c r="AZ307" s="73"/>
      <c r="BA307" s="73"/>
      <c r="BB307" s="73"/>
      <c r="BC307" s="73"/>
      <c r="BD307" s="73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</row>
    <row r="308" ht="15.75" customHeight="1">
      <c r="A308" s="56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21"/>
      <c r="AX308" s="73"/>
      <c r="AY308" s="73"/>
      <c r="AZ308" s="73"/>
      <c r="BA308" s="73"/>
      <c r="BB308" s="73"/>
      <c r="BC308" s="73"/>
      <c r="BD308" s="73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</row>
    <row r="309" ht="15.75" customHeight="1">
      <c r="A309" s="56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21"/>
      <c r="AX309" s="73"/>
      <c r="AY309" s="73"/>
      <c r="AZ309" s="73"/>
      <c r="BA309" s="73"/>
      <c r="BB309" s="73"/>
      <c r="BC309" s="73"/>
      <c r="BD309" s="73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</row>
    <row r="310" ht="15.75" customHeight="1">
      <c r="A310" s="56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21"/>
      <c r="AX310" s="73"/>
      <c r="AY310" s="73"/>
      <c r="AZ310" s="73"/>
      <c r="BA310" s="73"/>
      <c r="BB310" s="73"/>
      <c r="BC310" s="73"/>
      <c r="BD310" s="73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</row>
    <row r="311" ht="15.75" customHeight="1">
      <c r="A311" s="56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21"/>
      <c r="AX311" s="73"/>
      <c r="AY311" s="73"/>
      <c r="AZ311" s="73"/>
      <c r="BA311" s="73"/>
      <c r="BB311" s="73"/>
      <c r="BC311" s="73"/>
      <c r="BD311" s="73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</row>
    <row r="312" ht="15.75" customHeight="1">
      <c r="A312" s="56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21"/>
      <c r="AX312" s="73"/>
      <c r="AY312" s="73"/>
      <c r="AZ312" s="73"/>
      <c r="BA312" s="73"/>
      <c r="BB312" s="73"/>
      <c r="BC312" s="73"/>
      <c r="BD312" s="73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</row>
    <row r="313" ht="15.75" customHeight="1">
      <c r="A313" s="56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21"/>
      <c r="AX313" s="73"/>
      <c r="AY313" s="73"/>
      <c r="AZ313" s="73"/>
      <c r="BA313" s="73"/>
      <c r="BB313" s="73"/>
      <c r="BC313" s="73"/>
      <c r="BD313" s="73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</row>
    <row r="314" ht="15.75" customHeight="1">
      <c r="A314" s="56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21"/>
      <c r="AX314" s="73"/>
      <c r="AY314" s="73"/>
      <c r="AZ314" s="73"/>
      <c r="BA314" s="73"/>
      <c r="BB314" s="73"/>
      <c r="BC314" s="73"/>
      <c r="BD314" s="73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</row>
    <row r="315" ht="15.75" customHeight="1">
      <c r="A315" s="56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21"/>
      <c r="AX315" s="73"/>
      <c r="AY315" s="73"/>
      <c r="AZ315" s="73"/>
      <c r="BA315" s="73"/>
      <c r="BB315" s="73"/>
      <c r="BC315" s="73"/>
      <c r="BD315" s="73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</row>
    <row r="316" ht="15.75" customHeight="1">
      <c r="A316" s="56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21"/>
      <c r="AX316" s="73"/>
      <c r="AY316" s="73"/>
      <c r="AZ316" s="73"/>
      <c r="BA316" s="73"/>
      <c r="BB316" s="73"/>
      <c r="BC316" s="73"/>
      <c r="BD316" s="73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</row>
    <row r="317" ht="15.75" customHeight="1">
      <c r="A317" s="56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21"/>
      <c r="AX317" s="73"/>
      <c r="AY317" s="73"/>
      <c r="AZ317" s="73"/>
      <c r="BA317" s="73"/>
      <c r="BB317" s="73"/>
      <c r="BC317" s="73"/>
      <c r="BD317" s="73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</row>
    <row r="318" ht="15.75" customHeight="1">
      <c r="A318" s="56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21"/>
      <c r="AX318" s="73"/>
      <c r="AY318" s="73"/>
      <c r="AZ318" s="73"/>
      <c r="BA318" s="73"/>
      <c r="BB318" s="73"/>
      <c r="BC318" s="73"/>
      <c r="BD318" s="73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</row>
    <row r="319" ht="15.75" customHeight="1">
      <c r="A319" s="56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  <c r="AW319" s="21"/>
      <c r="AX319" s="73"/>
      <c r="AY319" s="73"/>
      <c r="AZ319" s="73"/>
      <c r="BA319" s="73"/>
      <c r="BB319" s="73"/>
      <c r="BC319" s="73"/>
      <c r="BD319" s="73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</row>
    <row r="320" ht="15.75" customHeight="1">
      <c r="A320" s="56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21"/>
      <c r="AX320" s="73"/>
      <c r="AY320" s="73"/>
      <c r="AZ320" s="73"/>
      <c r="BA320" s="73"/>
      <c r="BB320" s="73"/>
      <c r="BC320" s="73"/>
      <c r="BD320" s="73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</row>
    <row r="321" ht="15.75" customHeight="1">
      <c r="A321" s="56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21"/>
      <c r="AX321" s="73"/>
      <c r="AY321" s="73"/>
      <c r="AZ321" s="73"/>
      <c r="BA321" s="73"/>
      <c r="BB321" s="73"/>
      <c r="BC321" s="73"/>
      <c r="BD321" s="73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</row>
    <row r="322" ht="15.75" customHeight="1">
      <c r="A322" s="56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21"/>
      <c r="AX322" s="73"/>
      <c r="AY322" s="73"/>
      <c r="AZ322" s="73"/>
      <c r="BA322" s="73"/>
      <c r="BB322" s="73"/>
      <c r="BC322" s="73"/>
      <c r="BD322" s="73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</row>
    <row r="323" ht="15.75" customHeight="1">
      <c r="A323" s="56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21"/>
      <c r="AX323" s="73"/>
      <c r="AY323" s="73"/>
      <c r="AZ323" s="73"/>
      <c r="BA323" s="73"/>
      <c r="BB323" s="73"/>
      <c r="BC323" s="73"/>
      <c r="BD323" s="73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</row>
    <row r="324" ht="15.75" customHeight="1">
      <c r="A324" s="56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21"/>
      <c r="AX324" s="73"/>
      <c r="AY324" s="73"/>
      <c r="AZ324" s="73"/>
      <c r="BA324" s="73"/>
      <c r="BB324" s="73"/>
      <c r="BC324" s="73"/>
      <c r="BD324" s="73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</row>
    <row r="325" ht="15.75" customHeight="1">
      <c r="A325" s="56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21"/>
      <c r="AX325" s="73"/>
      <c r="AY325" s="73"/>
      <c r="AZ325" s="73"/>
      <c r="BA325" s="73"/>
      <c r="BB325" s="73"/>
      <c r="BC325" s="73"/>
      <c r="BD325" s="73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</row>
    <row r="326" ht="15.75" customHeight="1">
      <c r="A326" s="56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21"/>
      <c r="AX326" s="73"/>
      <c r="AY326" s="73"/>
      <c r="AZ326" s="73"/>
      <c r="BA326" s="73"/>
      <c r="BB326" s="73"/>
      <c r="BC326" s="73"/>
      <c r="BD326" s="73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</row>
    <row r="327" ht="15.75" customHeight="1">
      <c r="A327" s="56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 s="21"/>
      <c r="AX327" s="73"/>
      <c r="AY327" s="73"/>
      <c r="AZ327" s="73"/>
      <c r="BA327" s="73"/>
      <c r="BB327" s="73"/>
      <c r="BC327" s="73"/>
      <c r="BD327" s="73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</row>
    <row r="328" ht="15.75" customHeight="1">
      <c r="A328" s="56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 s="21"/>
      <c r="AX328" s="73"/>
      <c r="AY328" s="73"/>
      <c r="AZ328" s="73"/>
      <c r="BA328" s="73"/>
      <c r="BB328" s="73"/>
      <c r="BC328" s="73"/>
      <c r="BD328" s="73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</row>
    <row r="329" ht="15.75" customHeight="1">
      <c r="A329" s="56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 s="21"/>
      <c r="AX329" s="73"/>
      <c r="AY329" s="73"/>
      <c r="AZ329" s="73"/>
      <c r="BA329" s="73"/>
      <c r="BB329" s="73"/>
      <c r="BC329" s="73"/>
      <c r="BD329" s="73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</row>
    <row r="330" ht="15.75" customHeight="1">
      <c r="A330" s="56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21"/>
      <c r="AX330" s="73"/>
      <c r="AY330" s="73"/>
      <c r="AZ330" s="73"/>
      <c r="BA330" s="73"/>
      <c r="BB330" s="73"/>
      <c r="BC330" s="73"/>
      <c r="BD330" s="73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</row>
    <row r="331" ht="15.75" customHeight="1">
      <c r="A331" s="56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  <c r="AW331" s="21"/>
      <c r="AX331" s="73"/>
      <c r="AY331" s="73"/>
      <c r="AZ331" s="73"/>
      <c r="BA331" s="73"/>
      <c r="BB331" s="73"/>
      <c r="BC331" s="73"/>
      <c r="BD331" s="73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</row>
    <row r="332" ht="15.75" customHeight="1">
      <c r="A332" s="56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21"/>
      <c r="AX332" s="73"/>
      <c r="AY332" s="73"/>
      <c r="AZ332" s="73"/>
      <c r="BA332" s="73"/>
      <c r="BB332" s="73"/>
      <c r="BC332" s="73"/>
      <c r="BD332" s="73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</row>
    <row r="333" ht="15.75" customHeight="1">
      <c r="A333" s="56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21"/>
      <c r="AX333" s="73"/>
      <c r="AY333" s="73"/>
      <c r="AZ333" s="73"/>
      <c r="BA333" s="73"/>
      <c r="BB333" s="73"/>
      <c r="BC333" s="73"/>
      <c r="BD333" s="73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</row>
    <row r="334" ht="15.75" customHeight="1">
      <c r="A334" s="56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21"/>
      <c r="AX334" s="73"/>
      <c r="AY334" s="73"/>
      <c r="AZ334" s="73"/>
      <c r="BA334" s="73"/>
      <c r="BB334" s="73"/>
      <c r="BC334" s="73"/>
      <c r="BD334" s="73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</row>
    <row r="335" ht="15.75" customHeight="1">
      <c r="A335" s="56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21"/>
      <c r="AX335" s="73"/>
      <c r="AY335" s="73"/>
      <c r="AZ335" s="73"/>
      <c r="BA335" s="73"/>
      <c r="BB335" s="73"/>
      <c r="BC335" s="73"/>
      <c r="BD335" s="73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</row>
    <row r="336" ht="15.75" customHeight="1">
      <c r="A336" s="56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21"/>
      <c r="AX336" s="73"/>
      <c r="AY336" s="73"/>
      <c r="AZ336" s="73"/>
      <c r="BA336" s="73"/>
      <c r="BB336" s="73"/>
      <c r="BC336" s="73"/>
      <c r="BD336" s="73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</row>
    <row r="337" ht="15.75" customHeight="1">
      <c r="A337" s="56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21"/>
      <c r="AX337" s="73"/>
      <c r="AY337" s="73"/>
      <c r="AZ337" s="73"/>
      <c r="BA337" s="73"/>
      <c r="BB337" s="73"/>
      <c r="BC337" s="73"/>
      <c r="BD337" s="73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</row>
    <row r="338" ht="15.75" customHeight="1">
      <c r="A338" s="56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21"/>
      <c r="AX338" s="73"/>
      <c r="AY338" s="73"/>
      <c r="AZ338" s="73"/>
      <c r="BA338" s="73"/>
      <c r="BB338" s="73"/>
      <c r="BC338" s="73"/>
      <c r="BD338" s="73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</row>
    <row r="339" ht="15.75" customHeight="1">
      <c r="A339" s="56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21"/>
      <c r="AX339" s="73"/>
      <c r="AY339" s="73"/>
      <c r="AZ339" s="73"/>
      <c r="BA339" s="73"/>
      <c r="BB339" s="73"/>
      <c r="BC339" s="73"/>
      <c r="BD339" s="73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</row>
    <row r="340" ht="15.75" customHeight="1">
      <c r="A340" s="56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21"/>
      <c r="AX340" s="73"/>
      <c r="AY340" s="73"/>
      <c r="AZ340" s="73"/>
      <c r="BA340" s="73"/>
      <c r="BB340" s="73"/>
      <c r="BC340" s="73"/>
      <c r="BD340" s="73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</row>
    <row r="341" ht="15.75" customHeight="1">
      <c r="A341" s="56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21"/>
      <c r="AX341" s="73"/>
      <c r="AY341" s="73"/>
      <c r="AZ341" s="73"/>
      <c r="BA341" s="73"/>
      <c r="BB341" s="73"/>
      <c r="BC341" s="73"/>
      <c r="BD341" s="73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</row>
    <row r="342" ht="15.75" customHeight="1">
      <c r="A342" s="56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21"/>
      <c r="AX342" s="73"/>
      <c r="AY342" s="73"/>
      <c r="AZ342" s="73"/>
      <c r="BA342" s="73"/>
      <c r="BB342" s="73"/>
      <c r="BC342" s="73"/>
      <c r="BD342" s="73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</row>
    <row r="343" ht="15.75" customHeight="1">
      <c r="A343" s="56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21"/>
      <c r="AX343" s="73"/>
      <c r="AY343" s="73"/>
      <c r="AZ343" s="73"/>
      <c r="BA343" s="73"/>
      <c r="BB343" s="73"/>
      <c r="BC343" s="73"/>
      <c r="BD343" s="73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</row>
    <row r="344" ht="15.75" customHeight="1">
      <c r="A344" s="56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21"/>
      <c r="AX344" s="73"/>
      <c r="AY344" s="73"/>
      <c r="AZ344" s="73"/>
      <c r="BA344" s="73"/>
      <c r="BB344" s="73"/>
      <c r="BC344" s="73"/>
      <c r="BD344" s="73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</row>
    <row r="345" ht="15.75" customHeight="1">
      <c r="A345" s="56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21"/>
      <c r="AX345" s="73"/>
      <c r="AY345" s="73"/>
      <c r="AZ345" s="73"/>
      <c r="BA345" s="73"/>
      <c r="BB345" s="73"/>
      <c r="BC345" s="73"/>
      <c r="BD345" s="73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</row>
    <row r="346" ht="15.75" customHeight="1">
      <c r="A346" s="56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21"/>
      <c r="AX346" s="73"/>
      <c r="AY346" s="73"/>
      <c r="AZ346" s="73"/>
      <c r="BA346" s="73"/>
      <c r="BB346" s="73"/>
      <c r="BC346" s="73"/>
      <c r="BD346" s="73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</row>
    <row r="347" ht="15.75" customHeight="1">
      <c r="A347" s="56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21"/>
      <c r="AX347" s="73"/>
      <c r="AY347" s="73"/>
      <c r="AZ347" s="73"/>
      <c r="BA347" s="73"/>
      <c r="BB347" s="73"/>
      <c r="BC347" s="73"/>
      <c r="BD347" s="73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</row>
    <row r="348" ht="15.75" customHeight="1">
      <c r="A348" s="56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21"/>
      <c r="AX348" s="73"/>
      <c r="AY348" s="73"/>
      <c r="AZ348" s="73"/>
      <c r="BA348" s="73"/>
      <c r="BB348" s="73"/>
      <c r="BC348" s="73"/>
      <c r="BD348" s="73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</row>
    <row r="349" ht="15.75" customHeight="1">
      <c r="A349" s="56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21"/>
      <c r="AX349" s="73"/>
      <c r="AY349" s="73"/>
      <c r="AZ349" s="73"/>
      <c r="BA349" s="73"/>
      <c r="BB349" s="73"/>
      <c r="BC349" s="73"/>
      <c r="BD349" s="73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</row>
    <row r="350" ht="15.75" customHeight="1">
      <c r="A350" s="56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21"/>
      <c r="AX350" s="73"/>
      <c r="AY350" s="73"/>
      <c r="AZ350" s="73"/>
      <c r="BA350" s="73"/>
      <c r="BB350" s="73"/>
      <c r="BC350" s="73"/>
      <c r="BD350" s="73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</row>
    <row r="351" ht="15.75" customHeight="1">
      <c r="A351" s="56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21"/>
      <c r="AX351" s="73"/>
      <c r="AY351" s="73"/>
      <c r="AZ351" s="73"/>
      <c r="BA351" s="73"/>
      <c r="BB351" s="73"/>
      <c r="BC351" s="73"/>
      <c r="BD351" s="73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</row>
    <row r="352" ht="15.75" customHeight="1">
      <c r="A352" s="56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21"/>
      <c r="AX352" s="73"/>
      <c r="AY352" s="73"/>
      <c r="AZ352" s="73"/>
      <c r="BA352" s="73"/>
      <c r="BB352" s="73"/>
      <c r="BC352" s="73"/>
      <c r="BD352" s="73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</row>
    <row r="353" ht="15.75" customHeight="1">
      <c r="A353" s="56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21"/>
      <c r="AX353" s="73"/>
      <c r="AY353" s="73"/>
      <c r="AZ353" s="73"/>
      <c r="BA353" s="73"/>
      <c r="BB353" s="73"/>
      <c r="BC353" s="73"/>
      <c r="BD353" s="73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</row>
    <row r="354" ht="15.75" customHeight="1">
      <c r="A354" s="56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21"/>
      <c r="AX354" s="73"/>
      <c r="AY354" s="73"/>
      <c r="AZ354" s="73"/>
      <c r="BA354" s="73"/>
      <c r="BB354" s="73"/>
      <c r="BC354" s="73"/>
      <c r="BD354" s="73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</row>
    <row r="355" ht="15.75" customHeight="1">
      <c r="A355" s="56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21"/>
      <c r="AX355" s="73"/>
      <c r="AY355" s="73"/>
      <c r="AZ355" s="73"/>
      <c r="BA355" s="73"/>
      <c r="BB355" s="73"/>
      <c r="BC355" s="73"/>
      <c r="BD355" s="73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</row>
    <row r="356" ht="15.75" customHeight="1">
      <c r="A356" s="56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21"/>
      <c r="AX356" s="73"/>
      <c r="AY356" s="73"/>
      <c r="AZ356" s="73"/>
      <c r="BA356" s="73"/>
      <c r="BB356" s="73"/>
      <c r="BC356" s="73"/>
      <c r="BD356" s="73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</row>
    <row r="357" ht="15.75" customHeight="1">
      <c r="A357" s="56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21"/>
      <c r="AX357" s="73"/>
      <c r="AY357" s="73"/>
      <c r="AZ357" s="73"/>
      <c r="BA357" s="73"/>
      <c r="BB357" s="73"/>
      <c r="BC357" s="73"/>
      <c r="BD357" s="73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</row>
    <row r="358" ht="15.75" customHeight="1">
      <c r="A358" s="56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21"/>
      <c r="AX358" s="73"/>
      <c r="AY358" s="73"/>
      <c r="AZ358" s="73"/>
      <c r="BA358" s="73"/>
      <c r="BB358" s="73"/>
      <c r="BC358" s="73"/>
      <c r="BD358" s="73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</row>
    <row r="359" ht="15.75" customHeight="1">
      <c r="A359" s="56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21"/>
      <c r="AX359" s="73"/>
      <c r="AY359" s="73"/>
      <c r="AZ359" s="73"/>
      <c r="BA359" s="73"/>
      <c r="BB359" s="73"/>
      <c r="BC359" s="73"/>
      <c r="BD359" s="73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</row>
    <row r="360" ht="15.75" customHeight="1">
      <c r="A360" s="56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21"/>
      <c r="AX360" s="73"/>
      <c r="AY360" s="73"/>
      <c r="AZ360" s="73"/>
      <c r="BA360" s="73"/>
      <c r="BB360" s="73"/>
      <c r="BC360" s="73"/>
      <c r="BD360" s="73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</row>
    <row r="361" ht="15.75" customHeight="1">
      <c r="A361" s="56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21"/>
      <c r="AX361" s="73"/>
      <c r="AY361" s="73"/>
      <c r="AZ361" s="73"/>
      <c r="BA361" s="73"/>
      <c r="BB361" s="73"/>
      <c r="BC361" s="73"/>
      <c r="BD361" s="73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</row>
    <row r="362" ht="15.75" customHeight="1">
      <c r="A362" s="56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21"/>
      <c r="AX362" s="73"/>
      <c r="AY362" s="73"/>
      <c r="AZ362" s="73"/>
      <c r="BA362" s="73"/>
      <c r="BB362" s="73"/>
      <c r="BC362" s="73"/>
      <c r="BD362" s="73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</row>
    <row r="363" ht="15.75" customHeight="1">
      <c r="A363" s="56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21"/>
      <c r="AX363" s="73"/>
      <c r="AY363" s="73"/>
      <c r="AZ363" s="73"/>
      <c r="BA363" s="73"/>
      <c r="BB363" s="73"/>
      <c r="BC363" s="73"/>
      <c r="BD363" s="73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</row>
    <row r="364" ht="15.75" customHeight="1">
      <c r="A364" s="56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 s="21"/>
      <c r="AX364" s="73"/>
      <c r="AY364" s="73"/>
      <c r="AZ364" s="73"/>
      <c r="BA364" s="73"/>
      <c r="BB364" s="73"/>
      <c r="BC364" s="73"/>
      <c r="BD364" s="73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</row>
    <row r="365" ht="15.75" customHeight="1">
      <c r="A365" s="56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21"/>
      <c r="AX365" s="73"/>
      <c r="AY365" s="73"/>
      <c r="AZ365" s="73"/>
      <c r="BA365" s="73"/>
      <c r="BB365" s="73"/>
      <c r="BC365" s="73"/>
      <c r="BD365" s="73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</row>
    <row r="366" ht="15.75" customHeight="1">
      <c r="A366" s="56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21"/>
      <c r="AX366" s="73"/>
      <c r="AY366" s="73"/>
      <c r="AZ366" s="73"/>
      <c r="BA366" s="73"/>
      <c r="BB366" s="73"/>
      <c r="BC366" s="73"/>
      <c r="BD366" s="73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</row>
    <row r="367" ht="15.75" customHeight="1">
      <c r="A367" s="56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21"/>
      <c r="AX367" s="73"/>
      <c r="AY367" s="73"/>
      <c r="AZ367" s="73"/>
      <c r="BA367" s="73"/>
      <c r="BB367" s="73"/>
      <c r="BC367" s="73"/>
      <c r="BD367" s="73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</row>
    <row r="368" ht="15.75" customHeight="1">
      <c r="A368" s="56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21"/>
      <c r="AX368" s="73"/>
      <c r="AY368" s="73"/>
      <c r="AZ368" s="73"/>
      <c r="BA368" s="73"/>
      <c r="BB368" s="73"/>
      <c r="BC368" s="73"/>
      <c r="BD368" s="73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</row>
    <row r="369" ht="15.75" customHeight="1">
      <c r="A369" s="56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21"/>
      <c r="AX369" s="73"/>
      <c r="AY369" s="73"/>
      <c r="AZ369" s="73"/>
      <c r="BA369" s="73"/>
      <c r="BB369" s="73"/>
      <c r="BC369" s="73"/>
      <c r="BD369" s="73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</row>
    <row r="370" ht="15.75" customHeight="1">
      <c r="A370" s="56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21"/>
      <c r="AX370" s="73"/>
      <c r="AY370" s="73"/>
      <c r="AZ370" s="73"/>
      <c r="BA370" s="73"/>
      <c r="BB370" s="73"/>
      <c r="BC370" s="73"/>
      <c r="BD370" s="73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</row>
    <row r="371" ht="15.75" customHeight="1">
      <c r="A371" s="56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21"/>
      <c r="AX371" s="73"/>
      <c r="AY371" s="73"/>
      <c r="AZ371" s="73"/>
      <c r="BA371" s="73"/>
      <c r="BB371" s="73"/>
      <c r="BC371" s="73"/>
      <c r="BD371" s="73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</row>
    <row r="372" ht="15.75" customHeight="1">
      <c r="A372" s="56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21"/>
      <c r="AX372" s="73"/>
      <c r="AY372" s="73"/>
      <c r="AZ372" s="73"/>
      <c r="BA372" s="73"/>
      <c r="BB372" s="73"/>
      <c r="BC372" s="73"/>
      <c r="BD372" s="73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</row>
    <row r="373" ht="15.75" customHeight="1">
      <c r="A373" s="56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21"/>
      <c r="AX373" s="73"/>
      <c r="AY373" s="73"/>
      <c r="AZ373" s="73"/>
      <c r="BA373" s="73"/>
      <c r="BB373" s="73"/>
      <c r="BC373" s="73"/>
      <c r="BD373" s="73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</row>
    <row r="374" ht="15.75" customHeight="1">
      <c r="A374" s="56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21"/>
      <c r="AX374" s="73"/>
      <c r="AY374" s="73"/>
      <c r="AZ374" s="73"/>
      <c r="BA374" s="73"/>
      <c r="BB374" s="73"/>
      <c r="BC374" s="73"/>
      <c r="BD374" s="73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</row>
    <row r="375" ht="15.75" customHeight="1">
      <c r="A375" s="56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21"/>
      <c r="AX375" s="73"/>
      <c r="AY375" s="73"/>
      <c r="AZ375" s="73"/>
      <c r="BA375" s="73"/>
      <c r="BB375" s="73"/>
      <c r="BC375" s="73"/>
      <c r="BD375" s="73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</row>
    <row r="376" ht="15.75" customHeight="1">
      <c r="A376" s="56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21"/>
      <c r="AX376" s="73"/>
      <c r="AY376" s="73"/>
      <c r="AZ376" s="73"/>
      <c r="BA376" s="73"/>
      <c r="BB376" s="73"/>
      <c r="BC376" s="73"/>
      <c r="BD376" s="73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</row>
    <row r="377" ht="15.75" customHeight="1">
      <c r="A377" s="56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21"/>
      <c r="AX377" s="73"/>
      <c r="AY377" s="73"/>
      <c r="AZ377" s="73"/>
      <c r="BA377" s="73"/>
      <c r="BB377" s="73"/>
      <c r="BC377" s="73"/>
      <c r="BD377" s="73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</row>
    <row r="378" ht="15.75" customHeight="1">
      <c r="A378" s="56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21"/>
      <c r="AX378" s="73"/>
      <c r="AY378" s="73"/>
      <c r="AZ378" s="73"/>
      <c r="BA378" s="73"/>
      <c r="BB378" s="73"/>
      <c r="BC378" s="73"/>
      <c r="BD378" s="73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</row>
    <row r="379" ht="15.75" customHeight="1">
      <c r="A379" s="56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21"/>
      <c r="AX379" s="73"/>
      <c r="AY379" s="73"/>
      <c r="AZ379" s="73"/>
      <c r="BA379" s="73"/>
      <c r="BB379" s="73"/>
      <c r="BC379" s="73"/>
      <c r="BD379" s="73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</row>
    <row r="380" ht="15.75" customHeight="1">
      <c r="A380" s="56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21"/>
      <c r="AX380" s="73"/>
      <c r="AY380" s="73"/>
      <c r="AZ380" s="73"/>
      <c r="BA380" s="73"/>
      <c r="BB380" s="73"/>
      <c r="BC380" s="73"/>
      <c r="BD380" s="73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</row>
    <row r="381" ht="15.75" customHeight="1">
      <c r="A381" s="56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21"/>
      <c r="AX381" s="73"/>
      <c r="AY381" s="73"/>
      <c r="AZ381" s="73"/>
      <c r="BA381" s="73"/>
      <c r="BB381" s="73"/>
      <c r="BC381" s="73"/>
      <c r="BD381" s="73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</row>
    <row r="382" ht="15.75" customHeight="1">
      <c r="A382" s="56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21"/>
      <c r="AX382" s="73"/>
      <c r="AY382" s="73"/>
      <c r="AZ382" s="73"/>
      <c r="BA382" s="73"/>
      <c r="BB382" s="73"/>
      <c r="BC382" s="73"/>
      <c r="BD382" s="73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</row>
    <row r="383" ht="15.75" customHeight="1">
      <c r="A383" s="56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21"/>
      <c r="AX383" s="73"/>
      <c r="AY383" s="73"/>
      <c r="AZ383" s="73"/>
      <c r="BA383" s="73"/>
      <c r="BB383" s="73"/>
      <c r="BC383" s="73"/>
      <c r="BD383" s="73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</row>
    <row r="384" ht="15.75" customHeight="1">
      <c r="A384" s="56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21"/>
      <c r="AX384" s="73"/>
      <c r="AY384" s="73"/>
      <c r="AZ384" s="73"/>
      <c r="BA384" s="73"/>
      <c r="BB384" s="73"/>
      <c r="BC384" s="73"/>
      <c r="BD384" s="73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</row>
    <row r="385" ht="15.75" customHeight="1">
      <c r="A385" s="56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21"/>
      <c r="AX385" s="73"/>
      <c r="AY385" s="73"/>
      <c r="AZ385" s="73"/>
      <c r="BA385" s="73"/>
      <c r="BB385" s="73"/>
      <c r="BC385" s="73"/>
      <c r="BD385" s="73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</row>
    <row r="386" ht="15.75" customHeight="1">
      <c r="A386" s="56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21"/>
      <c r="AX386" s="73"/>
      <c r="AY386" s="73"/>
      <c r="AZ386" s="73"/>
      <c r="BA386" s="73"/>
      <c r="BB386" s="73"/>
      <c r="BC386" s="73"/>
      <c r="BD386" s="73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</row>
    <row r="387" ht="15.75" customHeight="1">
      <c r="A387" s="56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21"/>
      <c r="AX387" s="73"/>
      <c r="AY387" s="73"/>
      <c r="AZ387" s="73"/>
      <c r="BA387" s="73"/>
      <c r="BB387" s="73"/>
      <c r="BC387" s="73"/>
      <c r="BD387" s="73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</row>
    <row r="388" ht="15.75" customHeight="1">
      <c r="A388" s="56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21"/>
      <c r="AX388" s="73"/>
      <c r="AY388" s="73"/>
      <c r="AZ388" s="73"/>
      <c r="BA388" s="73"/>
      <c r="BB388" s="73"/>
      <c r="BC388" s="73"/>
      <c r="BD388" s="73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</row>
    <row r="389" ht="15.75" customHeight="1">
      <c r="A389" s="56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21"/>
      <c r="AX389" s="73"/>
      <c r="AY389" s="73"/>
      <c r="AZ389" s="73"/>
      <c r="BA389" s="73"/>
      <c r="BB389" s="73"/>
      <c r="BC389" s="73"/>
      <c r="BD389" s="73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</row>
    <row r="390" ht="15.75" customHeight="1">
      <c r="A390" s="56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21"/>
      <c r="AX390" s="73"/>
      <c r="AY390" s="73"/>
      <c r="AZ390" s="73"/>
      <c r="BA390" s="73"/>
      <c r="BB390" s="73"/>
      <c r="BC390" s="73"/>
      <c r="BD390" s="73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</row>
    <row r="391" ht="15.75" customHeight="1">
      <c r="A391" s="56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21"/>
      <c r="AX391" s="73"/>
      <c r="AY391" s="73"/>
      <c r="AZ391" s="73"/>
      <c r="BA391" s="73"/>
      <c r="BB391" s="73"/>
      <c r="BC391" s="73"/>
      <c r="BD391" s="73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</row>
    <row r="392" ht="15.75" customHeight="1">
      <c r="A392" s="56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21"/>
      <c r="AX392" s="73"/>
      <c r="AY392" s="73"/>
      <c r="AZ392" s="73"/>
      <c r="BA392" s="73"/>
      <c r="BB392" s="73"/>
      <c r="BC392" s="73"/>
      <c r="BD392" s="73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</row>
    <row r="393" ht="15.75" customHeight="1">
      <c r="A393" s="56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21"/>
      <c r="AX393" s="73"/>
      <c r="AY393" s="73"/>
      <c r="AZ393" s="73"/>
      <c r="BA393" s="73"/>
      <c r="BB393" s="73"/>
      <c r="BC393" s="73"/>
      <c r="BD393" s="73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</row>
    <row r="394" ht="15.75" customHeight="1">
      <c r="A394" s="56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21"/>
      <c r="AX394" s="73"/>
      <c r="AY394" s="73"/>
      <c r="AZ394" s="73"/>
      <c r="BA394" s="73"/>
      <c r="BB394" s="73"/>
      <c r="BC394" s="73"/>
      <c r="BD394" s="73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</row>
    <row r="395" ht="15.75" customHeight="1">
      <c r="A395" s="56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21"/>
      <c r="AX395" s="73"/>
      <c r="AY395" s="73"/>
      <c r="AZ395" s="73"/>
      <c r="BA395" s="73"/>
      <c r="BB395" s="73"/>
      <c r="BC395" s="73"/>
      <c r="BD395" s="73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</row>
    <row r="396" ht="15.75" customHeight="1">
      <c r="A396" s="56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21"/>
      <c r="AX396" s="73"/>
      <c r="AY396" s="73"/>
      <c r="AZ396" s="73"/>
      <c r="BA396" s="73"/>
      <c r="BB396" s="73"/>
      <c r="BC396" s="73"/>
      <c r="BD396" s="73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</row>
    <row r="397" ht="15.75" customHeight="1">
      <c r="A397" s="56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21"/>
      <c r="AX397" s="73"/>
      <c r="AY397" s="73"/>
      <c r="AZ397" s="73"/>
      <c r="BA397" s="73"/>
      <c r="BB397" s="73"/>
      <c r="BC397" s="73"/>
      <c r="BD397" s="73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</row>
    <row r="398" ht="15.75" customHeight="1">
      <c r="A398" s="56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21"/>
      <c r="AX398" s="73"/>
      <c r="AY398" s="73"/>
      <c r="AZ398" s="73"/>
      <c r="BA398" s="73"/>
      <c r="BB398" s="73"/>
      <c r="BC398" s="73"/>
      <c r="BD398" s="73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</row>
    <row r="399" ht="15.75" customHeight="1">
      <c r="A399" s="56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21"/>
      <c r="AX399" s="73"/>
      <c r="AY399" s="73"/>
      <c r="AZ399" s="73"/>
      <c r="BA399" s="73"/>
      <c r="BB399" s="73"/>
      <c r="BC399" s="73"/>
      <c r="BD399" s="73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</row>
    <row r="400" ht="15.75" customHeight="1">
      <c r="A400" s="56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21"/>
      <c r="AX400" s="73"/>
      <c r="AY400" s="73"/>
      <c r="AZ400" s="73"/>
      <c r="BA400" s="73"/>
      <c r="BB400" s="73"/>
      <c r="BC400" s="73"/>
      <c r="BD400" s="73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</row>
    <row r="401" ht="15.75" customHeight="1">
      <c r="A401" s="56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21"/>
      <c r="AX401" s="73"/>
      <c r="AY401" s="73"/>
      <c r="AZ401" s="73"/>
      <c r="BA401" s="73"/>
      <c r="BB401" s="73"/>
      <c r="BC401" s="73"/>
      <c r="BD401" s="73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</row>
    <row r="402" ht="15.75" customHeight="1">
      <c r="A402" s="56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21"/>
      <c r="AX402" s="73"/>
      <c r="AY402" s="73"/>
      <c r="AZ402" s="73"/>
      <c r="BA402" s="73"/>
      <c r="BB402" s="73"/>
      <c r="BC402" s="73"/>
      <c r="BD402" s="73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</row>
    <row r="403" ht="15.75" customHeight="1">
      <c r="A403" s="56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  <c r="AR403" s="70"/>
      <c r="AS403" s="70"/>
      <c r="AT403" s="70"/>
      <c r="AU403" s="70"/>
      <c r="AV403" s="70"/>
      <c r="AW403" s="21"/>
      <c r="AX403" s="73"/>
      <c r="AY403" s="73"/>
      <c r="AZ403" s="73"/>
      <c r="BA403" s="73"/>
      <c r="BB403" s="73"/>
      <c r="BC403" s="73"/>
      <c r="BD403" s="73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</row>
    <row r="404" ht="15.75" customHeight="1">
      <c r="A404" s="56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21"/>
      <c r="AX404" s="73"/>
      <c r="AY404" s="73"/>
      <c r="AZ404" s="73"/>
      <c r="BA404" s="73"/>
      <c r="BB404" s="73"/>
      <c r="BC404" s="73"/>
      <c r="BD404" s="73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</row>
    <row r="405" ht="15.75" customHeight="1">
      <c r="A405" s="56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21"/>
      <c r="AX405" s="73"/>
      <c r="AY405" s="73"/>
      <c r="AZ405" s="73"/>
      <c r="BA405" s="73"/>
      <c r="BB405" s="73"/>
      <c r="BC405" s="73"/>
      <c r="BD405" s="73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</row>
    <row r="406" ht="15.75" customHeight="1">
      <c r="A406" s="56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21"/>
      <c r="AX406" s="73"/>
      <c r="AY406" s="73"/>
      <c r="AZ406" s="73"/>
      <c r="BA406" s="73"/>
      <c r="BB406" s="73"/>
      <c r="BC406" s="73"/>
      <c r="BD406" s="73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</row>
    <row r="407" ht="15.75" customHeight="1">
      <c r="A407" s="56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70"/>
      <c r="AQ407" s="70"/>
      <c r="AR407" s="70"/>
      <c r="AS407" s="70"/>
      <c r="AT407" s="70"/>
      <c r="AU407" s="70"/>
      <c r="AV407" s="70"/>
      <c r="AW407" s="21"/>
      <c r="AX407" s="73"/>
      <c r="AY407" s="73"/>
      <c r="AZ407" s="73"/>
      <c r="BA407" s="73"/>
      <c r="BB407" s="73"/>
      <c r="BC407" s="73"/>
      <c r="BD407" s="73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</row>
    <row r="408" ht="15.75" customHeight="1">
      <c r="A408" s="56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21"/>
      <c r="AX408" s="73"/>
      <c r="AY408" s="73"/>
      <c r="AZ408" s="73"/>
      <c r="BA408" s="73"/>
      <c r="BB408" s="73"/>
      <c r="BC408" s="73"/>
      <c r="BD408" s="73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</row>
    <row r="409" ht="15.75" customHeight="1">
      <c r="A409" s="56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21"/>
      <c r="AX409" s="73"/>
      <c r="AY409" s="73"/>
      <c r="AZ409" s="73"/>
      <c r="BA409" s="73"/>
      <c r="BB409" s="73"/>
      <c r="BC409" s="73"/>
      <c r="BD409" s="73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</row>
    <row r="410" ht="15.75" customHeight="1">
      <c r="A410" s="56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21"/>
      <c r="AX410" s="73"/>
      <c r="AY410" s="73"/>
      <c r="AZ410" s="73"/>
      <c r="BA410" s="73"/>
      <c r="BB410" s="73"/>
      <c r="BC410" s="73"/>
      <c r="BD410" s="73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</row>
    <row r="411" ht="15.75" customHeight="1">
      <c r="A411" s="56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21"/>
      <c r="AX411" s="73"/>
      <c r="AY411" s="73"/>
      <c r="AZ411" s="73"/>
      <c r="BA411" s="73"/>
      <c r="BB411" s="73"/>
      <c r="BC411" s="73"/>
      <c r="BD411" s="73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</row>
    <row r="412" ht="15.75" customHeight="1">
      <c r="A412" s="56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21"/>
      <c r="AX412" s="73"/>
      <c r="AY412" s="73"/>
      <c r="AZ412" s="73"/>
      <c r="BA412" s="73"/>
      <c r="BB412" s="73"/>
      <c r="BC412" s="73"/>
      <c r="BD412" s="73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</row>
    <row r="413" ht="15.75" customHeight="1">
      <c r="A413" s="56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21"/>
      <c r="AX413" s="73"/>
      <c r="AY413" s="73"/>
      <c r="AZ413" s="73"/>
      <c r="BA413" s="73"/>
      <c r="BB413" s="73"/>
      <c r="BC413" s="73"/>
      <c r="BD413" s="73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</row>
    <row r="414" ht="15.75" customHeight="1">
      <c r="A414" s="56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21"/>
      <c r="AX414" s="73"/>
      <c r="AY414" s="73"/>
      <c r="AZ414" s="73"/>
      <c r="BA414" s="73"/>
      <c r="BB414" s="73"/>
      <c r="BC414" s="73"/>
      <c r="BD414" s="73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</row>
    <row r="415" ht="15.75" customHeight="1">
      <c r="A415" s="56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  <c r="AW415" s="21"/>
      <c r="AX415" s="73"/>
      <c r="AY415" s="73"/>
      <c r="AZ415" s="73"/>
      <c r="BA415" s="73"/>
      <c r="BB415" s="73"/>
      <c r="BC415" s="73"/>
      <c r="BD415" s="73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</row>
    <row r="416" ht="15.75" customHeight="1">
      <c r="A416" s="56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21"/>
      <c r="AX416" s="73"/>
      <c r="AY416" s="73"/>
      <c r="AZ416" s="73"/>
      <c r="BA416" s="73"/>
      <c r="BB416" s="73"/>
      <c r="BC416" s="73"/>
      <c r="BD416" s="73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</row>
    <row r="417" ht="15.75" customHeight="1">
      <c r="A417" s="56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 s="21"/>
      <c r="AX417" s="73"/>
      <c r="AY417" s="73"/>
      <c r="AZ417" s="73"/>
      <c r="BA417" s="73"/>
      <c r="BB417" s="73"/>
      <c r="BC417" s="73"/>
      <c r="BD417" s="73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</row>
    <row r="418" ht="15.75" customHeight="1">
      <c r="A418" s="56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 s="21"/>
      <c r="AX418" s="73"/>
      <c r="AY418" s="73"/>
      <c r="AZ418" s="73"/>
      <c r="BA418" s="73"/>
      <c r="BB418" s="73"/>
      <c r="BC418" s="73"/>
      <c r="BD418" s="73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</row>
    <row r="419" ht="15.75" customHeight="1">
      <c r="A419" s="56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 s="21"/>
      <c r="AX419" s="73"/>
      <c r="AY419" s="73"/>
      <c r="AZ419" s="73"/>
      <c r="BA419" s="73"/>
      <c r="BB419" s="73"/>
      <c r="BC419" s="73"/>
      <c r="BD419" s="73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</row>
    <row r="420" ht="15.75" customHeight="1">
      <c r="A420" s="56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 s="21"/>
      <c r="AX420" s="73"/>
      <c r="AY420" s="73"/>
      <c r="AZ420" s="73"/>
      <c r="BA420" s="73"/>
      <c r="BB420" s="73"/>
      <c r="BC420" s="73"/>
      <c r="BD420" s="73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</row>
    <row r="421" ht="15.75" customHeight="1">
      <c r="A421" s="56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 s="21"/>
      <c r="AX421" s="73"/>
      <c r="AY421" s="73"/>
      <c r="AZ421" s="73"/>
      <c r="BA421" s="73"/>
      <c r="BB421" s="73"/>
      <c r="BC421" s="73"/>
      <c r="BD421" s="73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</row>
    <row r="422" ht="15.75" customHeight="1">
      <c r="A422" s="56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 s="21"/>
      <c r="AX422" s="73"/>
      <c r="AY422" s="73"/>
      <c r="AZ422" s="73"/>
      <c r="BA422" s="73"/>
      <c r="BB422" s="73"/>
      <c r="BC422" s="73"/>
      <c r="BD422" s="73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</row>
    <row r="423" ht="15.75" customHeight="1">
      <c r="A423" s="56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21"/>
      <c r="AX423" s="73"/>
      <c r="AY423" s="73"/>
      <c r="AZ423" s="73"/>
      <c r="BA423" s="73"/>
      <c r="BB423" s="73"/>
      <c r="BC423" s="73"/>
      <c r="BD423" s="73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</row>
    <row r="424" ht="15.75" customHeight="1">
      <c r="A424" s="56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21"/>
      <c r="AX424" s="73"/>
      <c r="AY424" s="73"/>
      <c r="AZ424" s="73"/>
      <c r="BA424" s="73"/>
      <c r="BB424" s="73"/>
      <c r="BC424" s="73"/>
      <c r="BD424" s="73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</row>
    <row r="425" ht="15.75" customHeight="1">
      <c r="A425" s="56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21"/>
      <c r="AX425" s="73"/>
      <c r="AY425" s="73"/>
      <c r="AZ425" s="73"/>
      <c r="BA425" s="73"/>
      <c r="BB425" s="73"/>
      <c r="BC425" s="73"/>
      <c r="BD425" s="73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</row>
    <row r="426" ht="15.75" customHeight="1">
      <c r="A426" s="56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 s="21"/>
      <c r="AX426" s="73"/>
      <c r="AY426" s="73"/>
      <c r="AZ426" s="73"/>
      <c r="BA426" s="73"/>
      <c r="BB426" s="73"/>
      <c r="BC426" s="73"/>
      <c r="BD426" s="73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</row>
    <row r="427" ht="15.75" customHeight="1">
      <c r="A427" s="56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21"/>
      <c r="AX427" s="73"/>
      <c r="AY427" s="73"/>
      <c r="AZ427" s="73"/>
      <c r="BA427" s="73"/>
      <c r="BB427" s="73"/>
      <c r="BC427" s="73"/>
      <c r="BD427" s="73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</row>
    <row r="428" ht="15.75" customHeight="1">
      <c r="A428" s="56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21"/>
      <c r="AX428" s="73"/>
      <c r="AY428" s="73"/>
      <c r="AZ428" s="73"/>
      <c r="BA428" s="73"/>
      <c r="BB428" s="73"/>
      <c r="BC428" s="73"/>
      <c r="BD428" s="73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</row>
    <row r="429" ht="15.75" customHeight="1">
      <c r="A429" s="56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21"/>
      <c r="AX429" s="73"/>
      <c r="AY429" s="73"/>
      <c r="AZ429" s="73"/>
      <c r="BA429" s="73"/>
      <c r="BB429" s="73"/>
      <c r="BC429" s="73"/>
      <c r="BD429" s="73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</row>
    <row r="430" ht="15.75" customHeight="1">
      <c r="A430" s="56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21"/>
      <c r="AX430" s="73"/>
      <c r="AY430" s="73"/>
      <c r="AZ430" s="73"/>
      <c r="BA430" s="73"/>
      <c r="BB430" s="73"/>
      <c r="BC430" s="73"/>
      <c r="BD430" s="73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</row>
    <row r="431" ht="15.75" customHeight="1">
      <c r="A431" s="56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21"/>
      <c r="AX431" s="73"/>
      <c r="AY431" s="73"/>
      <c r="AZ431" s="73"/>
      <c r="BA431" s="73"/>
      <c r="BB431" s="73"/>
      <c r="BC431" s="73"/>
      <c r="BD431" s="73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</row>
    <row r="432" ht="15.75" customHeight="1">
      <c r="A432" s="56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21"/>
      <c r="AX432" s="73"/>
      <c r="AY432" s="73"/>
      <c r="AZ432" s="73"/>
      <c r="BA432" s="73"/>
      <c r="BB432" s="73"/>
      <c r="BC432" s="73"/>
      <c r="BD432" s="73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</row>
    <row r="433" ht="15.75" customHeight="1">
      <c r="A433" s="56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21"/>
      <c r="AX433" s="73"/>
      <c r="AY433" s="73"/>
      <c r="AZ433" s="73"/>
      <c r="BA433" s="73"/>
      <c r="BB433" s="73"/>
      <c r="BC433" s="73"/>
      <c r="BD433" s="73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</row>
    <row r="434" ht="15.75" customHeight="1">
      <c r="A434" s="56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21"/>
      <c r="AX434" s="73"/>
      <c r="AY434" s="73"/>
      <c r="AZ434" s="73"/>
      <c r="BA434" s="73"/>
      <c r="BB434" s="73"/>
      <c r="BC434" s="73"/>
      <c r="BD434" s="73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</row>
    <row r="435" ht="15.75" customHeight="1">
      <c r="A435" s="56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21"/>
      <c r="AX435" s="73"/>
      <c r="AY435" s="73"/>
      <c r="AZ435" s="73"/>
      <c r="BA435" s="73"/>
      <c r="BB435" s="73"/>
      <c r="BC435" s="73"/>
      <c r="BD435" s="73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</row>
    <row r="436" ht="15.75" customHeight="1">
      <c r="A436" s="56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21"/>
      <c r="AX436" s="73"/>
      <c r="AY436" s="73"/>
      <c r="AZ436" s="73"/>
      <c r="BA436" s="73"/>
      <c r="BB436" s="73"/>
      <c r="BC436" s="73"/>
      <c r="BD436" s="73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</row>
    <row r="437" ht="15.75" customHeight="1">
      <c r="A437" s="56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21"/>
      <c r="AX437" s="73"/>
      <c r="AY437" s="73"/>
      <c r="AZ437" s="73"/>
      <c r="BA437" s="73"/>
      <c r="BB437" s="73"/>
      <c r="BC437" s="73"/>
      <c r="BD437" s="73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</row>
    <row r="438" ht="15.75" customHeight="1">
      <c r="A438" s="56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21"/>
      <c r="AX438" s="73"/>
      <c r="AY438" s="73"/>
      <c r="AZ438" s="73"/>
      <c r="BA438" s="73"/>
      <c r="BB438" s="73"/>
      <c r="BC438" s="73"/>
      <c r="BD438" s="73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</row>
    <row r="439" ht="15.75" customHeight="1">
      <c r="A439" s="56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21"/>
      <c r="AX439" s="73"/>
      <c r="AY439" s="73"/>
      <c r="AZ439" s="73"/>
      <c r="BA439" s="73"/>
      <c r="BB439" s="73"/>
      <c r="BC439" s="73"/>
      <c r="BD439" s="73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</row>
    <row r="440" ht="15.75" customHeight="1">
      <c r="A440" s="56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21"/>
      <c r="AX440" s="73"/>
      <c r="AY440" s="73"/>
      <c r="AZ440" s="73"/>
      <c r="BA440" s="73"/>
      <c r="BB440" s="73"/>
      <c r="BC440" s="73"/>
      <c r="BD440" s="73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</row>
    <row r="441" ht="15.75" customHeight="1">
      <c r="A441" s="56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21"/>
      <c r="AX441" s="73"/>
      <c r="AY441" s="73"/>
      <c r="AZ441" s="73"/>
      <c r="BA441" s="73"/>
      <c r="BB441" s="73"/>
      <c r="BC441" s="73"/>
      <c r="BD441" s="73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</row>
    <row r="442" ht="15.75" customHeight="1">
      <c r="A442" s="56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21"/>
      <c r="AX442" s="73"/>
      <c r="AY442" s="73"/>
      <c r="AZ442" s="73"/>
      <c r="BA442" s="73"/>
      <c r="BB442" s="73"/>
      <c r="BC442" s="73"/>
      <c r="BD442" s="73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</row>
    <row r="443" ht="15.75" customHeight="1">
      <c r="A443" s="56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21"/>
      <c r="AX443" s="73"/>
      <c r="AY443" s="73"/>
      <c r="AZ443" s="73"/>
      <c r="BA443" s="73"/>
      <c r="BB443" s="73"/>
      <c r="BC443" s="73"/>
      <c r="BD443" s="73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</row>
    <row r="444" ht="15.75" customHeight="1">
      <c r="A444" s="56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21"/>
      <c r="AX444" s="73"/>
      <c r="AY444" s="73"/>
      <c r="AZ444" s="73"/>
      <c r="BA444" s="73"/>
      <c r="BB444" s="73"/>
      <c r="BC444" s="73"/>
      <c r="BD444" s="73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</row>
    <row r="445" ht="15.75" customHeight="1">
      <c r="A445" s="56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21"/>
      <c r="AX445" s="73"/>
      <c r="AY445" s="73"/>
      <c r="AZ445" s="73"/>
      <c r="BA445" s="73"/>
      <c r="BB445" s="73"/>
      <c r="BC445" s="73"/>
      <c r="BD445" s="73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</row>
    <row r="446" ht="15.75" customHeight="1">
      <c r="A446" s="56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21"/>
      <c r="AX446" s="73"/>
      <c r="AY446" s="73"/>
      <c r="AZ446" s="73"/>
      <c r="BA446" s="73"/>
      <c r="BB446" s="73"/>
      <c r="BC446" s="73"/>
      <c r="BD446" s="73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</row>
    <row r="447" ht="15.75" customHeight="1">
      <c r="A447" s="56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21"/>
      <c r="AX447" s="73"/>
      <c r="AY447" s="73"/>
      <c r="AZ447" s="73"/>
      <c r="BA447" s="73"/>
      <c r="BB447" s="73"/>
      <c r="BC447" s="73"/>
      <c r="BD447" s="73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</row>
    <row r="448" ht="15.75" customHeight="1">
      <c r="A448" s="56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21"/>
      <c r="AX448" s="73"/>
      <c r="AY448" s="73"/>
      <c r="AZ448" s="73"/>
      <c r="BA448" s="73"/>
      <c r="BB448" s="73"/>
      <c r="BC448" s="73"/>
      <c r="BD448" s="73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</row>
    <row r="449" ht="15.75" customHeight="1">
      <c r="A449" s="56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21"/>
      <c r="AX449" s="73"/>
      <c r="AY449" s="73"/>
      <c r="AZ449" s="73"/>
      <c r="BA449" s="73"/>
      <c r="BB449" s="73"/>
      <c r="BC449" s="73"/>
      <c r="BD449" s="73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</row>
    <row r="450" ht="15.75" customHeight="1">
      <c r="A450" s="56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21"/>
      <c r="AX450" s="73"/>
      <c r="AY450" s="73"/>
      <c r="AZ450" s="73"/>
      <c r="BA450" s="73"/>
      <c r="BB450" s="73"/>
      <c r="BC450" s="73"/>
      <c r="BD450" s="73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</row>
    <row r="451" ht="15.75" customHeight="1">
      <c r="A451" s="56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21"/>
      <c r="AX451" s="73"/>
      <c r="AY451" s="73"/>
      <c r="AZ451" s="73"/>
      <c r="BA451" s="73"/>
      <c r="BB451" s="73"/>
      <c r="BC451" s="73"/>
      <c r="BD451" s="73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</row>
    <row r="452" ht="15.75" customHeight="1">
      <c r="A452" s="56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21"/>
      <c r="AX452" s="73"/>
      <c r="AY452" s="73"/>
      <c r="AZ452" s="73"/>
      <c r="BA452" s="73"/>
      <c r="BB452" s="73"/>
      <c r="BC452" s="73"/>
      <c r="BD452" s="73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</row>
    <row r="453" ht="15.75" customHeight="1">
      <c r="A453" s="56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21"/>
      <c r="AX453" s="73"/>
      <c r="AY453" s="73"/>
      <c r="AZ453" s="73"/>
      <c r="BA453" s="73"/>
      <c r="BB453" s="73"/>
      <c r="BC453" s="73"/>
      <c r="BD453" s="73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</row>
    <row r="454" ht="15.75" customHeight="1">
      <c r="A454" s="56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21"/>
      <c r="AX454" s="73"/>
      <c r="AY454" s="73"/>
      <c r="AZ454" s="73"/>
      <c r="BA454" s="73"/>
      <c r="BB454" s="73"/>
      <c r="BC454" s="73"/>
      <c r="BD454" s="73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</row>
    <row r="455" ht="15.75" customHeight="1">
      <c r="A455" s="56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21"/>
      <c r="AX455" s="73"/>
      <c r="AY455" s="73"/>
      <c r="AZ455" s="73"/>
      <c r="BA455" s="73"/>
      <c r="BB455" s="73"/>
      <c r="BC455" s="73"/>
      <c r="BD455" s="73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</row>
    <row r="456" ht="15.75" customHeight="1">
      <c r="A456" s="56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21"/>
      <c r="AX456" s="73"/>
      <c r="AY456" s="73"/>
      <c r="AZ456" s="73"/>
      <c r="BA456" s="73"/>
      <c r="BB456" s="73"/>
      <c r="BC456" s="73"/>
      <c r="BD456" s="73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</row>
    <row r="457" ht="15.75" customHeight="1">
      <c r="A457" s="56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21"/>
      <c r="AX457" s="73"/>
      <c r="AY457" s="73"/>
      <c r="AZ457" s="73"/>
      <c r="BA457" s="73"/>
      <c r="BB457" s="73"/>
      <c r="BC457" s="73"/>
      <c r="BD457" s="73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</row>
    <row r="458" ht="15.75" customHeight="1">
      <c r="A458" s="56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21"/>
      <c r="AX458" s="73"/>
      <c r="AY458" s="73"/>
      <c r="AZ458" s="73"/>
      <c r="BA458" s="73"/>
      <c r="BB458" s="73"/>
      <c r="BC458" s="73"/>
      <c r="BD458" s="73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</row>
    <row r="459" ht="15.75" customHeight="1">
      <c r="A459" s="56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21"/>
      <c r="AX459" s="73"/>
      <c r="AY459" s="73"/>
      <c r="AZ459" s="73"/>
      <c r="BA459" s="73"/>
      <c r="BB459" s="73"/>
      <c r="BC459" s="73"/>
      <c r="BD459" s="73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</row>
    <row r="460" ht="15.75" customHeight="1">
      <c r="A460" s="56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21"/>
      <c r="AX460" s="73"/>
      <c r="AY460" s="73"/>
      <c r="AZ460" s="73"/>
      <c r="BA460" s="73"/>
      <c r="BB460" s="73"/>
      <c r="BC460" s="73"/>
      <c r="BD460" s="73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</row>
    <row r="461" ht="15.75" customHeight="1">
      <c r="A461" s="56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21"/>
      <c r="AX461" s="73"/>
      <c r="AY461" s="73"/>
      <c r="AZ461" s="73"/>
      <c r="BA461" s="73"/>
      <c r="BB461" s="73"/>
      <c r="BC461" s="73"/>
      <c r="BD461" s="73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</row>
    <row r="462" ht="15.75" customHeight="1">
      <c r="A462" s="56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21"/>
      <c r="AX462" s="73"/>
      <c r="AY462" s="73"/>
      <c r="AZ462" s="73"/>
      <c r="BA462" s="73"/>
      <c r="BB462" s="73"/>
      <c r="BC462" s="73"/>
      <c r="BD462" s="73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</row>
    <row r="463" ht="15.75" customHeight="1">
      <c r="A463" s="56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21"/>
      <c r="AX463" s="73"/>
      <c r="AY463" s="73"/>
      <c r="AZ463" s="73"/>
      <c r="BA463" s="73"/>
      <c r="BB463" s="73"/>
      <c r="BC463" s="73"/>
      <c r="BD463" s="73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</row>
    <row r="464" ht="15.75" customHeight="1">
      <c r="A464" s="56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21"/>
      <c r="AX464" s="73"/>
      <c r="AY464" s="73"/>
      <c r="AZ464" s="73"/>
      <c r="BA464" s="73"/>
      <c r="BB464" s="73"/>
      <c r="BC464" s="73"/>
      <c r="BD464" s="73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</row>
    <row r="465" ht="15.75" customHeight="1">
      <c r="A465" s="56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21"/>
      <c r="AX465" s="73"/>
      <c r="AY465" s="73"/>
      <c r="AZ465" s="73"/>
      <c r="BA465" s="73"/>
      <c r="BB465" s="73"/>
      <c r="BC465" s="73"/>
      <c r="BD465" s="73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</row>
    <row r="466" ht="15.75" customHeight="1">
      <c r="A466" s="56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21"/>
      <c r="AX466" s="73"/>
      <c r="AY466" s="73"/>
      <c r="AZ466" s="73"/>
      <c r="BA466" s="73"/>
      <c r="BB466" s="73"/>
      <c r="BC466" s="73"/>
      <c r="BD466" s="73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</row>
    <row r="467" ht="15.75" customHeight="1">
      <c r="A467" s="56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21"/>
      <c r="AX467" s="73"/>
      <c r="AY467" s="73"/>
      <c r="AZ467" s="73"/>
      <c r="BA467" s="73"/>
      <c r="BB467" s="73"/>
      <c r="BC467" s="73"/>
      <c r="BD467" s="73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</row>
    <row r="468" ht="15.75" customHeight="1">
      <c r="A468" s="56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21"/>
      <c r="AX468" s="73"/>
      <c r="AY468" s="73"/>
      <c r="AZ468" s="73"/>
      <c r="BA468" s="73"/>
      <c r="BB468" s="73"/>
      <c r="BC468" s="73"/>
      <c r="BD468" s="73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</row>
    <row r="469" ht="15.75" customHeight="1">
      <c r="A469" s="56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21"/>
      <c r="AX469" s="73"/>
      <c r="AY469" s="73"/>
      <c r="AZ469" s="73"/>
      <c r="BA469" s="73"/>
      <c r="BB469" s="73"/>
      <c r="BC469" s="73"/>
      <c r="BD469" s="73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</row>
    <row r="470" ht="15.75" customHeight="1">
      <c r="A470" s="56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21"/>
      <c r="AX470" s="73"/>
      <c r="AY470" s="73"/>
      <c r="AZ470" s="73"/>
      <c r="BA470" s="73"/>
      <c r="BB470" s="73"/>
      <c r="BC470" s="73"/>
      <c r="BD470" s="73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</row>
    <row r="471" ht="15.75" customHeight="1">
      <c r="A471" s="56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21"/>
      <c r="AX471" s="73"/>
      <c r="AY471" s="73"/>
      <c r="AZ471" s="73"/>
      <c r="BA471" s="73"/>
      <c r="BB471" s="73"/>
      <c r="BC471" s="73"/>
      <c r="BD471" s="73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</row>
    <row r="472" ht="15.75" customHeight="1">
      <c r="A472" s="56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21"/>
      <c r="AX472" s="73"/>
      <c r="AY472" s="73"/>
      <c r="AZ472" s="73"/>
      <c r="BA472" s="73"/>
      <c r="BB472" s="73"/>
      <c r="BC472" s="73"/>
      <c r="BD472" s="73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</row>
    <row r="473" ht="15.75" customHeight="1">
      <c r="A473" s="56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21"/>
      <c r="AX473" s="73"/>
      <c r="AY473" s="73"/>
      <c r="AZ473" s="73"/>
      <c r="BA473" s="73"/>
      <c r="BB473" s="73"/>
      <c r="BC473" s="73"/>
      <c r="BD473" s="73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</row>
    <row r="474" ht="15.75" customHeight="1">
      <c r="A474" s="56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21"/>
      <c r="AX474" s="73"/>
      <c r="AY474" s="73"/>
      <c r="AZ474" s="73"/>
      <c r="BA474" s="73"/>
      <c r="BB474" s="73"/>
      <c r="BC474" s="73"/>
      <c r="BD474" s="73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</row>
    <row r="475" ht="15.75" customHeight="1">
      <c r="A475" s="56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21"/>
      <c r="AX475" s="73"/>
      <c r="AY475" s="73"/>
      <c r="AZ475" s="73"/>
      <c r="BA475" s="73"/>
      <c r="BB475" s="73"/>
      <c r="BC475" s="73"/>
      <c r="BD475" s="73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</row>
    <row r="476" ht="15.75" customHeight="1">
      <c r="A476" s="56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21"/>
      <c r="AX476" s="73"/>
      <c r="AY476" s="73"/>
      <c r="AZ476" s="73"/>
      <c r="BA476" s="73"/>
      <c r="BB476" s="73"/>
      <c r="BC476" s="73"/>
      <c r="BD476" s="73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</row>
    <row r="477" ht="15.75" customHeight="1">
      <c r="A477" s="56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21"/>
      <c r="AX477" s="73"/>
      <c r="AY477" s="73"/>
      <c r="AZ477" s="73"/>
      <c r="BA477" s="73"/>
      <c r="BB477" s="73"/>
      <c r="BC477" s="73"/>
      <c r="BD477" s="73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</row>
    <row r="478" ht="15.75" customHeight="1">
      <c r="A478" s="56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21"/>
      <c r="AX478" s="73"/>
      <c r="AY478" s="73"/>
      <c r="AZ478" s="73"/>
      <c r="BA478" s="73"/>
      <c r="BB478" s="73"/>
      <c r="BC478" s="73"/>
      <c r="BD478" s="73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</row>
    <row r="479" ht="15.75" customHeight="1">
      <c r="A479" s="56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21"/>
      <c r="AX479" s="73"/>
      <c r="AY479" s="73"/>
      <c r="AZ479" s="73"/>
      <c r="BA479" s="73"/>
      <c r="BB479" s="73"/>
      <c r="BC479" s="73"/>
      <c r="BD479" s="73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</row>
    <row r="480" ht="15.75" customHeight="1">
      <c r="A480" s="56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21"/>
      <c r="AX480" s="73"/>
      <c r="AY480" s="73"/>
      <c r="AZ480" s="73"/>
      <c r="BA480" s="73"/>
      <c r="BB480" s="73"/>
      <c r="BC480" s="73"/>
      <c r="BD480" s="73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/>
      <c r="BX480" s="21"/>
      <c r="BY480" s="21"/>
      <c r="BZ480" s="21"/>
    </row>
    <row r="481" ht="15.75" customHeight="1">
      <c r="A481" s="56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21"/>
      <c r="AX481" s="73"/>
      <c r="AY481" s="73"/>
      <c r="AZ481" s="73"/>
      <c r="BA481" s="73"/>
      <c r="BB481" s="73"/>
      <c r="BC481" s="73"/>
      <c r="BD481" s="73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</row>
    <row r="482" ht="15.75" customHeight="1">
      <c r="A482" s="56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21"/>
      <c r="AX482" s="73"/>
      <c r="AY482" s="73"/>
      <c r="AZ482" s="73"/>
      <c r="BA482" s="73"/>
      <c r="BB482" s="73"/>
      <c r="BC482" s="73"/>
      <c r="BD482" s="73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</row>
    <row r="483" ht="15.75" customHeight="1">
      <c r="A483" s="56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21"/>
      <c r="AX483" s="73"/>
      <c r="AY483" s="73"/>
      <c r="AZ483" s="73"/>
      <c r="BA483" s="73"/>
      <c r="BB483" s="73"/>
      <c r="BC483" s="73"/>
      <c r="BD483" s="73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</row>
    <row r="484" ht="15.75" customHeight="1">
      <c r="A484" s="56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21"/>
      <c r="AX484" s="73"/>
      <c r="AY484" s="73"/>
      <c r="AZ484" s="73"/>
      <c r="BA484" s="73"/>
      <c r="BB484" s="73"/>
      <c r="BC484" s="73"/>
      <c r="BD484" s="73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</row>
    <row r="485" ht="15.75" customHeight="1">
      <c r="A485" s="56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21"/>
      <c r="AX485" s="73"/>
      <c r="AY485" s="73"/>
      <c r="AZ485" s="73"/>
      <c r="BA485" s="73"/>
      <c r="BB485" s="73"/>
      <c r="BC485" s="73"/>
      <c r="BD485" s="73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</row>
    <row r="486" ht="15.75" customHeight="1">
      <c r="A486" s="56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21"/>
      <c r="AX486" s="73"/>
      <c r="AY486" s="73"/>
      <c r="AZ486" s="73"/>
      <c r="BA486" s="73"/>
      <c r="BB486" s="73"/>
      <c r="BC486" s="73"/>
      <c r="BD486" s="73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</row>
    <row r="487" ht="15.75" customHeight="1">
      <c r="A487" s="56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21"/>
      <c r="AX487" s="73"/>
      <c r="AY487" s="73"/>
      <c r="AZ487" s="73"/>
      <c r="BA487" s="73"/>
      <c r="BB487" s="73"/>
      <c r="BC487" s="73"/>
      <c r="BD487" s="73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</row>
    <row r="488" ht="15.75" customHeight="1">
      <c r="A488" s="56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21"/>
      <c r="AX488" s="73"/>
      <c r="AY488" s="73"/>
      <c r="AZ488" s="73"/>
      <c r="BA488" s="73"/>
      <c r="BB488" s="73"/>
      <c r="BC488" s="73"/>
      <c r="BD488" s="73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</row>
    <row r="489" ht="15.75" customHeight="1">
      <c r="A489" s="56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21"/>
      <c r="AX489" s="73"/>
      <c r="AY489" s="73"/>
      <c r="AZ489" s="73"/>
      <c r="BA489" s="73"/>
      <c r="BB489" s="73"/>
      <c r="BC489" s="73"/>
      <c r="BD489" s="73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</row>
    <row r="490" ht="15.75" customHeight="1">
      <c r="A490" s="56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21"/>
      <c r="AX490" s="73"/>
      <c r="AY490" s="73"/>
      <c r="AZ490" s="73"/>
      <c r="BA490" s="73"/>
      <c r="BB490" s="73"/>
      <c r="BC490" s="73"/>
      <c r="BD490" s="73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</row>
    <row r="491" ht="15.75" customHeight="1">
      <c r="A491" s="56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21"/>
      <c r="AX491" s="73"/>
      <c r="AY491" s="73"/>
      <c r="AZ491" s="73"/>
      <c r="BA491" s="73"/>
      <c r="BB491" s="73"/>
      <c r="BC491" s="73"/>
      <c r="BD491" s="73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</row>
    <row r="492" ht="15.75" customHeight="1">
      <c r="A492" s="56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21"/>
      <c r="AX492" s="73"/>
      <c r="AY492" s="73"/>
      <c r="AZ492" s="73"/>
      <c r="BA492" s="73"/>
      <c r="BB492" s="73"/>
      <c r="BC492" s="73"/>
      <c r="BD492" s="73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</row>
    <row r="493" ht="15.75" customHeight="1">
      <c r="A493" s="56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21"/>
      <c r="AX493" s="73"/>
      <c r="AY493" s="73"/>
      <c r="AZ493" s="73"/>
      <c r="BA493" s="73"/>
      <c r="BB493" s="73"/>
      <c r="BC493" s="73"/>
      <c r="BD493" s="73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</row>
    <row r="494" ht="15.75" customHeight="1">
      <c r="A494" s="56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21"/>
      <c r="AX494" s="73"/>
      <c r="AY494" s="73"/>
      <c r="AZ494" s="73"/>
      <c r="BA494" s="73"/>
      <c r="BB494" s="73"/>
      <c r="BC494" s="73"/>
      <c r="BD494" s="73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</row>
    <row r="495" ht="15.75" customHeight="1">
      <c r="A495" s="56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21"/>
      <c r="AX495" s="73"/>
      <c r="AY495" s="73"/>
      <c r="AZ495" s="73"/>
      <c r="BA495" s="73"/>
      <c r="BB495" s="73"/>
      <c r="BC495" s="73"/>
      <c r="BD495" s="73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</row>
    <row r="496" ht="15.75" customHeight="1">
      <c r="A496" s="56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21"/>
      <c r="AX496" s="73"/>
      <c r="AY496" s="73"/>
      <c r="AZ496" s="73"/>
      <c r="BA496" s="73"/>
      <c r="BB496" s="73"/>
      <c r="BC496" s="73"/>
      <c r="BD496" s="73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</row>
    <row r="497" ht="15.75" customHeight="1">
      <c r="A497" s="56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21"/>
      <c r="AX497" s="73"/>
      <c r="AY497" s="73"/>
      <c r="AZ497" s="73"/>
      <c r="BA497" s="73"/>
      <c r="BB497" s="73"/>
      <c r="BC497" s="73"/>
      <c r="BD497" s="73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</row>
    <row r="498" ht="15.75" customHeight="1">
      <c r="A498" s="56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21"/>
      <c r="AX498" s="73"/>
      <c r="AY498" s="73"/>
      <c r="AZ498" s="73"/>
      <c r="BA498" s="73"/>
      <c r="BB498" s="73"/>
      <c r="BC498" s="73"/>
      <c r="BD498" s="73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</row>
    <row r="499" ht="15.75" customHeight="1">
      <c r="A499" s="56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21"/>
      <c r="AX499" s="73"/>
      <c r="AY499" s="73"/>
      <c r="AZ499" s="73"/>
      <c r="BA499" s="73"/>
      <c r="BB499" s="73"/>
      <c r="BC499" s="73"/>
      <c r="BD499" s="73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</row>
    <row r="500" ht="15.75" customHeight="1">
      <c r="A500" s="56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21"/>
      <c r="AX500" s="73"/>
      <c r="AY500" s="73"/>
      <c r="AZ500" s="73"/>
      <c r="BA500" s="73"/>
      <c r="BB500" s="73"/>
      <c r="BC500" s="73"/>
      <c r="BD500" s="73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</row>
    <row r="501" ht="15.75" customHeight="1">
      <c r="A501" s="56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21"/>
      <c r="AX501" s="73"/>
      <c r="AY501" s="73"/>
      <c r="AZ501" s="73"/>
      <c r="BA501" s="73"/>
      <c r="BB501" s="73"/>
      <c r="BC501" s="73"/>
      <c r="BD501" s="73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</row>
    <row r="502" ht="15.75" customHeight="1">
      <c r="A502" s="56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21"/>
      <c r="AX502" s="73"/>
      <c r="AY502" s="73"/>
      <c r="AZ502" s="73"/>
      <c r="BA502" s="73"/>
      <c r="BB502" s="73"/>
      <c r="BC502" s="73"/>
      <c r="BD502" s="73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</row>
    <row r="503" ht="15.75" customHeight="1">
      <c r="A503" s="56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21"/>
      <c r="AX503" s="73"/>
      <c r="AY503" s="73"/>
      <c r="AZ503" s="73"/>
      <c r="BA503" s="73"/>
      <c r="BB503" s="73"/>
      <c r="BC503" s="73"/>
      <c r="BD503" s="73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</row>
    <row r="504" ht="15.75" customHeight="1">
      <c r="A504" s="56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21"/>
      <c r="AX504" s="73"/>
      <c r="AY504" s="73"/>
      <c r="AZ504" s="73"/>
      <c r="BA504" s="73"/>
      <c r="BB504" s="73"/>
      <c r="BC504" s="73"/>
      <c r="BD504" s="73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</row>
    <row r="505" ht="15.75" customHeight="1">
      <c r="A505" s="56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21"/>
      <c r="AX505" s="73"/>
      <c r="AY505" s="73"/>
      <c r="AZ505" s="73"/>
      <c r="BA505" s="73"/>
      <c r="BB505" s="73"/>
      <c r="BC505" s="73"/>
      <c r="BD505" s="73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</row>
    <row r="506" ht="15.75" customHeight="1">
      <c r="A506" s="56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21"/>
      <c r="AX506" s="73"/>
      <c r="AY506" s="73"/>
      <c r="AZ506" s="73"/>
      <c r="BA506" s="73"/>
      <c r="BB506" s="73"/>
      <c r="BC506" s="73"/>
      <c r="BD506" s="73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</row>
    <row r="507" ht="15.75" customHeight="1">
      <c r="A507" s="56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21"/>
      <c r="AX507" s="73"/>
      <c r="AY507" s="73"/>
      <c r="AZ507" s="73"/>
      <c r="BA507" s="73"/>
      <c r="BB507" s="73"/>
      <c r="BC507" s="73"/>
      <c r="BD507" s="73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</row>
    <row r="508" ht="15.75" customHeight="1">
      <c r="A508" s="56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21"/>
      <c r="AX508" s="73"/>
      <c r="AY508" s="73"/>
      <c r="AZ508" s="73"/>
      <c r="BA508" s="73"/>
      <c r="BB508" s="73"/>
      <c r="BC508" s="73"/>
      <c r="BD508" s="73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</row>
    <row r="509" ht="15.75" customHeight="1">
      <c r="A509" s="56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21"/>
      <c r="AX509" s="73"/>
      <c r="AY509" s="73"/>
      <c r="AZ509" s="73"/>
      <c r="BA509" s="73"/>
      <c r="BB509" s="73"/>
      <c r="BC509" s="73"/>
      <c r="BD509" s="73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</row>
    <row r="510" ht="15.75" customHeight="1">
      <c r="A510" s="56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21"/>
      <c r="AX510" s="73"/>
      <c r="AY510" s="73"/>
      <c r="AZ510" s="73"/>
      <c r="BA510" s="73"/>
      <c r="BB510" s="73"/>
      <c r="BC510" s="73"/>
      <c r="BD510" s="73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</row>
    <row r="511" ht="15.75" customHeight="1">
      <c r="A511" s="56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21"/>
      <c r="AX511" s="73"/>
      <c r="AY511" s="73"/>
      <c r="AZ511" s="73"/>
      <c r="BA511" s="73"/>
      <c r="BB511" s="73"/>
      <c r="BC511" s="73"/>
      <c r="BD511" s="73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</row>
    <row r="512" ht="15.75" customHeight="1">
      <c r="A512" s="56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21"/>
      <c r="AX512" s="73"/>
      <c r="AY512" s="73"/>
      <c r="AZ512" s="73"/>
      <c r="BA512" s="73"/>
      <c r="BB512" s="73"/>
      <c r="BC512" s="73"/>
      <c r="BD512" s="73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</row>
    <row r="513" ht="15.75" customHeight="1">
      <c r="A513" s="56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21"/>
      <c r="AX513" s="73"/>
      <c r="AY513" s="73"/>
      <c r="AZ513" s="73"/>
      <c r="BA513" s="73"/>
      <c r="BB513" s="73"/>
      <c r="BC513" s="73"/>
      <c r="BD513" s="73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</row>
    <row r="514" ht="15.75" customHeight="1">
      <c r="A514" s="56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21"/>
      <c r="AX514" s="73"/>
      <c r="AY514" s="73"/>
      <c r="AZ514" s="73"/>
      <c r="BA514" s="73"/>
      <c r="BB514" s="73"/>
      <c r="BC514" s="73"/>
      <c r="BD514" s="73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</row>
    <row r="515" ht="15.75" customHeight="1">
      <c r="A515" s="56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21"/>
      <c r="AX515" s="73"/>
      <c r="AY515" s="73"/>
      <c r="AZ515" s="73"/>
      <c r="BA515" s="73"/>
      <c r="BB515" s="73"/>
      <c r="BC515" s="73"/>
      <c r="BD515" s="73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</row>
    <row r="516" ht="15.75" customHeight="1">
      <c r="A516" s="56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21"/>
      <c r="AX516" s="73"/>
      <c r="AY516" s="73"/>
      <c r="AZ516" s="73"/>
      <c r="BA516" s="73"/>
      <c r="BB516" s="73"/>
      <c r="BC516" s="73"/>
      <c r="BD516" s="73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</row>
    <row r="517" ht="15.75" customHeight="1">
      <c r="A517" s="56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21"/>
      <c r="AX517" s="73"/>
      <c r="AY517" s="73"/>
      <c r="AZ517" s="73"/>
      <c r="BA517" s="73"/>
      <c r="BB517" s="73"/>
      <c r="BC517" s="73"/>
      <c r="BD517" s="73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</row>
    <row r="518" ht="15.75" customHeight="1">
      <c r="A518" s="56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21"/>
      <c r="AX518" s="73"/>
      <c r="AY518" s="73"/>
      <c r="AZ518" s="73"/>
      <c r="BA518" s="73"/>
      <c r="BB518" s="73"/>
      <c r="BC518" s="73"/>
      <c r="BD518" s="73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</row>
    <row r="519" ht="15.75" customHeight="1">
      <c r="A519" s="56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21"/>
      <c r="AX519" s="73"/>
      <c r="AY519" s="73"/>
      <c r="AZ519" s="73"/>
      <c r="BA519" s="73"/>
      <c r="BB519" s="73"/>
      <c r="BC519" s="73"/>
      <c r="BD519" s="73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</row>
    <row r="520" ht="15.75" customHeight="1">
      <c r="A520" s="56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21"/>
      <c r="AX520" s="73"/>
      <c r="AY520" s="73"/>
      <c r="AZ520" s="73"/>
      <c r="BA520" s="73"/>
      <c r="BB520" s="73"/>
      <c r="BC520" s="73"/>
      <c r="BD520" s="73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</row>
    <row r="521" ht="15.75" customHeight="1">
      <c r="A521" s="56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21"/>
      <c r="AX521" s="73"/>
      <c r="AY521" s="73"/>
      <c r="AZ521" s="73"/>
      <c r="BA521" s="73"/>
      <c r="BB521" s="73"/>
      <c r="BC521" s="73"/>
      <c r="BD521" s="73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</row>
    <row r="522" ht="15.75" customHeight="1">
      <c r="A522" s="56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21"/>
      <c r="AX522" s="73"/>
      <c r="AY522" s="73"/>
      <c r="AZ522" s="73"/>
      <c r="BA522" s="73"/>
      <c r="BB522" s="73"/>
      <c r="BC522" s="73"/>
      <c r="BD522" s="73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</row>
    <row r="523" ht="15.75" customHeight="1">
      <c r="A523" s="56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21"/>
      <c r="AX523" s="73"/>
      <c r="AY523" s="73"/>
      <c r="AZ523" s="73"/>
      <c r="BA523" s="73"/>
      <c r="BB523" s="73"/>
      <c r="BC523" s="73"/>
      <c r="BD523" s="73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</row>
    <row r="524" ht="15.75" customHeight="1">
      <c r="A524" s="56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21"/>
      <c r="AX524" s="73"/>
      <c r="AY524" s="73"/>
      <c r="AZ524" s="73"/>
      <c r="BA524" s="73"/>
      <c r="BB524" s="73"/>
      <c r="BC524" s="73"/>
      <c r="BD524" s="73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</row>
    <row r="525" ht="15.75" customHeight="1">
      <c r="A525" s="56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21"/>
      <c r="AX525" s="73"/>
      <c r="AY525" s="73"/>
      <c r="AZ525" s="73"/>
      <c r="BA525" s="73"/>
      <c r="BB525" s="73"/>
      <c r="BC525" s="73"/>
      <c r="BD525" s="73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</row>
    <row r="526" ht="15.75" customHeight="1">
      <c r="A526" s="56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21"/>
      <c r="AX526" s="73"/>
      <c r="AY526" s="73"/>
      <c r="AZ526" s="73"/>
      <c r="BA526" s="73"/>
      <c r="BB526" s="73"/>
      <c r="BC526" s="73"/>
      <c r="BD526" s="73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</row>
    <row r="527" ht="15.75" customHeight="1">
      <c r="A527" s="56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21"/>
      <c r="AX527" s="73"/>
      <c r="AY527" s="73"/>
      <c r="AZ527" s="73"/>
      <c r="BA527" s="73"/>
      <c r="BB527" s="73"/>
      <c r="BC527" s="73"/>
      <c r="BD527" s="73"/>
      <c r="BE527" s="21"/>
      <c r="BF527" s="21"/>
      <c r="BG527" s="21"/>
      <c r="BH527" s="21"/>
      <c r="BI527" s="21"/>
      <c r="BJ527" s="21"/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/>
      <c r="BX527" s="21"/>
      <c r="BY527" s="21"/>
      <c r="BZ527" s="21"/>
    </row>
    <row r="528" ht="15.75" customHeight="1">
      <c r="A528" s="56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21"/>
      <c r="AX528" s="73"/>
      <c r="AY528" s="73"/>
      <c r="AZ528" s="73"/>
      <c r="BA528" s="73"/>
      <c r="BB528" s="73"/>
      <c r="BC528" s="73"/>
      <c r="BD528" s="73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</row>
    <row r="529" ht="15.75" customHeight="1">
      <c r="A529" s="56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21"/>
      <c r="AX529" s="73"/>
      <c r="AY529" s="73"/>
      <c r="AZ529" s="73"/>
      <c r="BA529" s="73"/>
      <c r="BB529" s="73"/>
      <c r="BC529" s="73"/>
      <c r="BD529" s="73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</row>
    <row r="530" ht="15.75" customHeight="1">
      <c r="A530" s="56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21"/>
      <c r="AX530" s="73"/>
      <c r="AY530" s="73"/>
      <c r="AZ530" s="73"/>
      <c r="BA530" s="73"/>
      <c r="BB530" s="73"/>
      <c r="BC530" s="73"/>
      <c r="BD530" s="73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</row>
    <row r="531" ht="15.75" customHeight="1">
      <c r="A531" s="56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21"/>
      <c r="AX531" s="73"/>
      <c r="AY531" s="73"/>
      <c r="AZ531" s="73"/>
      <c r="BA531" s="73"/>
      <c r="BB531" s="73"/>
      <c r="BC531" s="73"/>
      <c r="BD531" s="73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</row>
    <row r="532" ht="15.75" customHeight="1">
      <c r="A532" s="56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21"/>
      <c r="AX532" s="73"/>
      <c r="AY532" s="73"/>
      <c r="AZ532" s="73"/>
      <c r="BA532" s="73"/>
      <c r="BB532" s="73"/>
      <c r="BC532" s="73"/>
      <c r="BD532" s="73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</row>
    <row r="533" ht="15.75" customHeight="1">
      <c r="A533" s="56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21"/>
      <c r="AX533" s="73"/>
      <c r="AY533" s="73"/>
      <c r="AZ533" s="73"/>
      <c r="BA533" s="73"/>
      <c r="BB533" s="73"/>
      <c r="BC533" s="73"/>
      <c r="BD533" s="73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</row>
    <row r="534" ht="15.75" customHeight="1">
      <c r="A534" s="56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21"/>
      <c r="AX534" s="73"/>
      <c r="AY534" s="73"/>
      <c r="AZ534" s="73"/>
      <c r="BA534" s="73"/>
      <c r="BB534" s="73"/>
      <c r="BC534" s="73"/>
      <c r="BD534" s="73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</row>
    <row r="535" ht="15.75" customHeight="1">
      <c r="A535" s="56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21"/>
      <c r="AX535" s="73"/>
      <c r="AY535" s="73"/>
      <c r="AZ535" s="73"/>
      <c r="BA535" s="73"/>
      <c r="BB535" s="73"/>
      <c r="BC535" s="73"/>
      <c r="BD535" s="73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</row>
    <row r="536" ht="15.75" customHeight="1">
      <c r="A536" s="56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21"/>
      <c r="AX536" s="73"/>
      <c r="AY536" s="73"/>
      <c r="AZ536" s="73"/>
      <c r="BA536" s="73"/>
      <c r="BB536" s="73"/>
      <c r="BC536" s="73"/>
      <c r="BD536" s="73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</row>
    <row r="537" ht="15.75" customHeight="1">
      <c r="A537" s="56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21"/>
      <c r="AX537" s="73"/>
      <c r="AY537" s="73"/>
      <c r="AZ537" s="73"/>
      <c r="BA537" s="73"/>
      <c r="BB537" s="73"/>
      <c r="BC537" s="73"/>
      <c r="BD537" s="73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</row>
    <row r="538" ht="15.75" customHeight="1">
      <c r="A538" s="56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21"/>
      <c r="AX538" s="73"/>
      <c r="AY538" s="73"/>
      <c r="AZ538" s="73"/>
      <c r="BA538" s="73"/>
      <c r="BB538" s="73"/>
      <c r="BC538" s="73"/>
      <c r="BD538" s="73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</row>
    <row r="539" ht="15.75" customHeight="1">
      <c r="A539" s="56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21"/>
      <c r="AX539" s="73"/>
      <c r="AY539" s="73"/>
      <c r="AZ539" s="73"/>
      <c r="BA539" s="73"/>
      <c r="BB539" s="73"/>
      <c r="BC539" s="73"/>
      <c r="BD539" s="73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</row>
    <row r="540" ht="15.75" customHeight="1">
      <c r="A540" s="56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21"/>
      <c r="AX540" s="73"/>
      <c r="AY540" s="73"/>
      <c r="AZ540" s="73"/>
      <c r="BA540" s="73"/>
      <c r="BB540" s="73"/>
      <c r="BC540" s="73"/>
      <c r="BD540" s="73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</row>
    <row r="541" ht="15.75" customHeight="1">
      <c r="A541" s="56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21"/>
      <c r="AX541" s="73"/>
      <c r="AY541" s="73"/>
      <c r="AZ541" s="73"/>
      <c r="BA541" s="73"/>
      <c r="BB541" s="73"/>
      <c r="BC541" s="73"/>
      <c r="BD541" s="73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</row>
    <row r="542" ht="15.75" customHeight="1">
      <c r="A542" s="56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21"/>
      <c r="AX542" s="73"/>
      <c r="AY542" s="73"/>
      <c r="AZ542" s="73"/>
      <c r="BA542" s="73"/>
      <c r="BB542" s="73"/>
      <c r="BC542" s="73"/>
      <c r="BD542" s="73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</row>
    <row r="543" ht="15.75" customHeight="1">
      <c r="A543" s="56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21"/>
      <c r="AX543" s="73"/>
      <c r="AY543" s="73"/>
      <c r="AZ543" s="73"/>
      <c r="BA543" s="73"/>
      <c r="BB543" s="73"/>
      <c r="BC543" s="73"/>
      <c r="BD543" s="73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</row>
    <row r="544" ht="15.75" customHeight="1">
      <c r="A544" s="56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21"/>
      <c r="AX544" s="73"/>
      <c r="AY544" s="73"/>
      <c r="AZ544" s="73"/>
      <c r="BA544" s="73"/>
      <c r="BB544" s="73"/>
      <c r="BC544" s="73"/>
      <c r="BD544" s="73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</row>
    <row r="545" ht="15.75" customHeight="1">
      <c r="A545" s="56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21"/>
      <c r="AX545" s="73"/>
      <c r="AY545" s="73"/>
      <c r="AZ545" s="73"/>
      <c r="BA545" s="73"/>
      <c r="BB545" s="73"/>
      <c r="BC545" s="73"/>
      <c r="BD545" s="73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</row>
    <row r="546" ht="15.75" customHeight="1">
      <c r="A546" s="56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21"/>
      <c r="AX546" s="73"/>
      <c r="AY546" s="73"/>
      <c r="AZ546" s="73"/>
      <c r="BA546" s="73"/>
      <c r="BB546" s="73"/>
      <c r="BC546" s="73"/>
      <c r="BD546" s="73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</row>
    <row r="547" ht="15.75" customHeight="1">
      <c r="A547" s="56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21"/>
      <c r="AX547" s="73"/>
      <c r="AY547" s="73"/>
      <c r="AZ547" s="73"/>
      <c r="BA547" s="73"/>
      <c r="BB547" s="73"/>
      <c r="BC547" s="73"/>
      <c r="BD547" s="73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</row>
    <row r="548" ht="15.75" customHeight="1">
      <c r="A548" s="56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21"/>
      <c r="AX548" s="73"/>
      <c r="AY548" s="73"/>
      <c r="AZ548" s="73"/>
      <c r="BA548" s="73"/>
      <c r="BB548" s="73"/>
      <c r="BC548" s="73"/>
      <c r="BD548" s="73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</row>
    <row r="549" ht="15.75" customHeight="1">
      <c r="A549" s="56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21"/>
      <c r="AX549" s="73"/>
      <c r="AY549" s="73"/>
      <c r="AZ549" s="73"/>
      <c r="BA549" s="73"/>
      <c r="BB549" s="73"/>
      <c r="BC549" s="73"/>
      <c r="BD549" s="73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</row>
    <row r="550" ht="15.75" customHeight="1">
      <c r="A550" s="56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21"/>
      <c r="AX550" s="73"/>
      <c r="AY550" s="73"/>
      <c r="AZ550" s="73"/>
      <c r="BA550" s="73"/>
      <c r="BB550" s="73"/>
      <c r="BC550" s="73"/>
      <c r="BD550" s="73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</row>
    <row r="551" ht="15.75" customHeight="1">
      <c r="A551" s="56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21"/>
      <c r="AX551" s="73"/>
      <c r="AY551" s="73"/>
      <c r="AZ551" s="73"/>
      <c r="BA551" s="73"/>
      <c r="BB551" s="73"/>
      <c r="BC551" s="73"/>
      <c r="BD551" s="73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</row>
    <row r="552" ht="15.75" customHeight="1">
      <c r="A552" s="56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21"/>
      <c r="AX552" s="73"/>
      <c r="AY552" s="73"/>
      <c r="AZ552" s="73"/>
      <c r="BA552" s="73"/>
      <c r="BB552" s="73"/>
      <c r="BC552" s="73"/>
      <c r="BD552" s="73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</row>
    <row r="553" ht="15.75" customHeight="1">
      <c r="A553" s="56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21"/>
      <c r="AX553" s="73"/>
      <c r="AY553" s="73"/>
      <c r="AZ553" s="73"/>
      <c r="BA553" s="73"/>
      <c r="BB553" s="73"/>
      <c r="BC553" s="73"/>
      <c r="BD553" s="73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</row>
    <row r="554" ht="15.75" customHeight="1">
      <c r="A554" s="56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21"/>
      <c r="AX554" s="73"/>
      <c r="AY554" s="73"/>
      <c r="AZ554" s="73"/>
      <c r="BA554" s="73"/>
      <c r="BB554" s="73"/>
      <c r="BC554" s="73"/>
      <c r="BD554" s="73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</row>
    <row r="555" ht="15.75" customHeight="1">
      <c r="A555" s="56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21"/>
      <c r="AX555" s="73"/>
      <c r="AY555" s="73"/>
      <c r="AZ555" s="73"/>
      <c r="BA555" s="73"/>
      <c r="BB555" s="73"/>
      <c r="BC555" s="73"/>
      <c r="BD555" s="73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</row>
    <row r="556" ht="15.75" customHeight="1">
      <c r="A556" s="56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21"/>
      <c r="AX556" s="73"/>
      <c r="AY556" s="73"/>
      <c r="AZ556" s="73"/>
      <c r="BA556" s="73"/>
      <c r="BB556" s="73"/>
      <c r="BC556" s="73"/>
      <c r="BD556" s="73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</row>
    <row r="557" ht="15.75" customHeight="1">
      <c r="A557" s="56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21"/>
      <c r="AX557" s="73"/>
      <c r="AY557" s="73"/>
      <c r="AZ557" s="73"/>
      <c r="BA557" s="73"/>
      <c r="BB557" s="73"/>
      <c r="BC557" s="73"/>
      <c r="BD557" s="73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</row>
    <row r="558" ht="15.75" customHeight="1">
      <c r="A558" s="56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21"/>
      <c r="AX558" s="73"/>
      <c r="AY558" s="73"/>
      <c r="AZ558" s="73"/>
      <c r="BA558" s="73"/>
      <c r="BB558" s="73"/>
      <c r="BC558" s="73"/>
      <c r="BD558" s="73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</row>
    <row r="559" ht="15.75" customHeight="1">
      <c r="A559" s="56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21"/>
      <c r="AX559" s="73"/>
      <c r="AY559" s="73"/>
      <c r="AZ559" s="73"/>
      <c r="BA559" s="73"/>
      <c r="BB559" s="73"/>
      <c r="BC559" s="73"/>
      <c r="BD559" s="73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</row>
    <row r="560" ht="15.75" customHeight="1">
      <c r="A560" s="56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21"/>
      <c r="AX560" s="73"/>
      <c r="AY560" s="73"/>
      <c r="AZ560" s="73"/>
      <c r="BA560" s="73"/>
      <c r="BB560" s="73"/>
      <c r="BC560" s="73"/>
      <c r="BD560" s="73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</row>
    <row r="561" ht="15.75" customHeight="1">
      <c r="A561" s="56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21"/>
      <c r="AX561" s="73"/>
      <c r="AY561" s="73"/>
      <c r="AZ561" s="73"/>
      <c r="BA561" s="73"/>
      <c r="BB561" s="73"/>
      <c r="BC561" s="73"/>
      <c r="BD561" s="73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</row>
    <row r="562" ht="15.75" customHeight="1">
      <c r="A562" s="56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21"/>
      <c r="AX562" s="73"/>
      <c r="AY562" s="73"/>
      <c r="AZ562" s="73"/>
      <c r="BA562" s="73"/>
      <c r="BB562" s="73"/>
      <c r="BC562" s="73"/>
      <c r="BD562" s="73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</row>
    <row r="563" ht="15.75" customHeight="1">
      <c r="A563" s="56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21"/>
      <c r="AX563" s="73"/>
      <c r="AY563" s="73"/>
      <c r="AZ563" s="73"/>
      <c r="BA563" s="73"/>
      <c r="BB563" s="73"/>
      <c r="BC563" s="73"/>
      <c r="BD563" s="73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</row>
    <row r="564" ht="15.75" customHeight="1">
      <c r="A564" s="56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21"/>
      <c r="AX564" s="73"/>
      <c r="AY564" s="73"/>
      <c r="AZ564" s="73"/>
      <c r="BA564" s="73"/>
      <c r="BB564" s="73"/>
      <c r="BC564" s="73"/>
      <c r="BD564" s="73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</row>
    <row r="565" ht="15.75" customHeight="1">
      <c r="A565" s="56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21"/>
      <c r="AX565" s="73"/>
      <c r="AY565" s="73"/>
      <c r="AZ565" s="73"/>
      <c r="BA565" s="73"/>
      <c r="BB565" s="73"/>
      <c r="BC565" s="73"/>
      <c r="BD565" s="73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</row>
    <row r="566" ht="15.75" customHeight="1">
      <c r="A566" s="56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21"/>
      <c r="AX566" s="73"/>
      <c r="AY566" s="73"/>
      <c r="AZ566" s="73"/>
      <c r="BA566" s="73"/>
      <c r="BB566" s="73"/>
      <c r="BC566" s="73"/>
      <c r="BD566" s="73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</row>
    <row r="567" ht="15.75" customHeight="1">
      <c r="A567" s="56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21"/>
      <c r="AX567" s="73"/>
      <c r="AY567" s="73"/>
      <c r="AZ567" s="73"/>
      <c r="BA567" s="73"/>
      <c r="BB567" s="73"/>
      <c r="BC567" s="73"/>
      <c r="BD567" s="73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</row>
    <row r="568" ht="15.75" customHeight="1">
      <c r="A568" s="56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21"/>
      <c r="AX568" s="73"/>
      <c r="AY568" s="73"/>
      <c r="AZ568" s="73"/>
      <c r="BA568" s="73"/>
      <c r="BB568" s="73"/>
      <c r="BC568" s="73"/>
      <c r="BD568" s="73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</row>
    <row r="569" ht="15.75" customHeight="1">
      <c r="A569" s="56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21"/>
      <c r="AX569" s="73"/>
      <c r="AY569" s="73"/>
      <c r="AZ569" s="73"/>
      <c r="BA569" s="73"/>
      <c r="BB569" s="73"/>
      <c r="BC569" s="73"/>
      <c r="BD569" s="73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</row>
    <row r="570" ht="15.75" customHeight="1">
      <c r="A570" s="56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21"/>
      <c r="AX570" s="73"/>
      <c r="AY570" s="73"/>
      <c r="AZ570" s="73"/>
      <c r="BA570" s="73"/>
      <c r="BB570" s="73"/>
      <c r="BC570" s="73"/>
      <c r="BD570" s="73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</row>
    <row r="571" ht="15.75" customHeight="1">
      <c r="A571" s="56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21"/>
      <c r="AX571" s="73"/>
      <c r="AY571" s="73"/>
      <c r="AZ571" s="73"/>
      <c r="BA571" s="73"/>
      <c r="BB571" s="73"/>
      <c r="BC571" s="73"/>
      <c r="BD571" s="73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</row>
    <row r="572" ht="15.75" customHeight="1">
      <c r="A572" s="56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21"/>
      <c r="AX572" s="73"/>
      <c r="AY572" s="73"/>
      <c r="AZ572" s="73"/>
      <c r="BA572" s="73"/>
      <c r="BB572" s="73"/>
      <c r="BC572" s="73"/>
      <c r="BD572" s="73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</row>
    <row r="573" ht="15.75" customHeight="1">
      <c r="A573" s="56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21"/>
      <c r="AX573" s="73"/>
      <c r="AY573" s="73"/>
      <c r="AZ573" s="73"/>
      <c r="BA573" s="73"/>
      <c r="BB573" s="73"/>
      <c r="BC573" s="73"/>
      <c r="BD573" s="73"/>
      <c r="BE573" s="21"/>
      <c r="BF573" s="21"/>
      <c r="BG573" s="21"/>
      <c r="BH573" s="21"/>
      <c r="BI573" s="21"/>
      <c r="BJ573" s="21"/>
      <c r="BK573" s="21"/>
      <c r="BL573" s="21"/>
      <c r="BM573" s="21"/>
      <c r="BN573" s="21"/>
      <c r="BO573" s="21"/>
      <c r="BP573" s="21"/>
      <c r="BQ573" s="21"/>
      <c r="BR573" s="21"/>
      <c r="BS573" s="21"/>
      <c r="BT573" s="21"/>
      <c r="BU573" s="21"/>
      <c r="BV573" s="21"/>
      <c r="BW573" s="21"/>
      <c r="BX573" s="21"/>
      <c r="BY573" s="21"/>
      <c r="BZ573" s="21"/>
    </row>
    <row r="574" ht="15.75" customHeight="1">
      <c r="A574" s="56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21"/>
      <c r="AX574" s="73"/>
      <c r="AY574" s="73"/>
      <c r="AZ574" s="73"/>
      <c r="BA574" s="73"/>
      <c r="BB574" s="73"/>
      <c r="BC574" s="73"/>
      <c r="BD574" s="73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</row>
    <row r="575" ht="15.75" customHeight="1">
      <c r="A575" s="56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21"/>
      <c r="AX575" s="73"/>
      <c r="AY575" s="73"/>
      <c r="AZ575" s="73"/>
      <c r="BA575" s="73"/>
      <c r="BB575" s="73"/>
      <c r="BC575" s="73"/>
      <c r="BD575" s="73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</row>
    <row r="576" ht="15.75" customHeight="1">
      <c r="A576" s="56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21"/>
      <c r="AX576" s="73"/>
      <c r="AY576" s="73"/>
      <c r="AZ576" s="73"/>
      <c r="BA576" s="73"/>
      <c r="BB576" s="73"/>
      <c r="BC576" s="73"/>
      <c r="BD576" s="73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</row>
    <row r="577" ht="15.75" customHeight="1">
      <c r="A577" s="56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21"/>
      <c r="AX577" s="73"/>
      <c r="AY577" s="73"/>
      <c r="AZ577" s="73"/>
      <c r="BA577" s="73"/>
      <c r="BB577" s="73"/>
      <c r="BC577" s="73"/>
      <c r="BD577" s="73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</row>
    <row r="578" ht="15.75" customHeight="1">
      <c r="A578" s="56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21"/>
      <c r="AX578" s="73"/>
      <c r="AY578" s="73"/>
      <c r="AZ578" s="73"/>
      <c r="BA578" s="73"/>
      <c r="BB578" s="73"/>
      <c r="BC578" s="73"/>
      <c r="BD578" s="73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</row>
    <row r="579" ht="15.75" customHeight="1">
      <c r="A579" s="56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21"/>
      <c r="AX579" s="73"/>
      <c r="AY579" s="73"/>
      <c r="AZ579" s="73"/>
      <c r="BA579" s="73"/>
      <c r="BB579" s="73"/>
      <c r="BC579" s="73"/>
      <c r="BD579" s="73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</row>
    <row r="580" ht="15.75" customHeight="1">
      <c r="A580" s="56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21"/>
      <c r="AX580" s="73"/>
      <c r="AY580" s="73"/>
      <c r="AZ580" s="73"/>
      <c r="BA580" s="73"/>
      <c r="BB580" s="73"/>
      <c r="BC580" s="73"/>
      <c r="BD580" s="73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</row>
    <row r="581" ht="15.75" customHeight="1">
      <c r="A581" s="56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21"/>
      <c r="AX581" s="73"/>
      <c r="AY581" s="73"/>
      <c r="AZ581" s="73"/>
      <c r="BA581" s="73"/>
      <c r="BB581" s="73"/>
      <c r="BC581" s="73"/>
      <c r="BD581" s="73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</row>
    <row r="582" ht="15.75" customHeight="1">
      <c r="A582" s="56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21"/>
      <c r="AX582" s="73"/>
      <c r="AY582" s="73"/>
      <c r="AZ582" s="73"/>
      <c r="BA582" s="73"/>
      <c r="BB582" s="73"/>
      <c r="BC582" s="73"/>
      <c r="BD582" s="73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</row>
    <row r="583" ht="15.75" customHeight="1">
      <c r="A583" s="56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21"/>
      <c r="AX583" s="73"/>
      <c r="AY583" s="73"/>
      <c r="AZ583" s="73"/>
      <c r="BA583" s="73"/>
      <c r="BB583" s="73"/>
      <c r="BC583" s="73"/>
      <c r="BD583" s="73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</row>
    <row r="584" ht="15.75" customHeight="1">
      <c r="A584" s="56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21"/>
      <c r="AX584" s="73"/>
      <c r="AY584" s="73"/>
      <c r="AZ584" s="73"/>
      <c r="BA584" s="73"/>
      <c r="BB584" s="73"/>
      <c r="BC584" s="73"/>
      <c r="BD584" s="73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</row>
    <row r="585" ht="15.75" customHeight="1">
      <c r="A585" s="56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21"/>
      <c r="AX585" s="73"/>
      <c r="AY585" s="73"/>
      <c r="AZ585" s="73"/>
      <c r="BA585" s="73"/>
      <c r="BB585" s="73"/>
      <c r="BC585" s="73"/>
      <c r="BD585" s="73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</row>
    <row r="586" ht="15.75" customHeight="1">
      <c r="A586" s="56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21"/>
      <c r="AX586" s="73"/>
      <c r="AY586" s="73"/>
      <c r="AZ586" s="73"/>
      <c r="BA586" s="73"/>
      <c r="BB586" s="73"/>
      <c r="BC586" s="73"/>
      <c r="BD586" s="73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</row>
    <row r="587" ht="15.75" customHeight="1">
      <c r="A587" s="56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21"/>
      <c r="AX587" s="73"/>
      <c r="AY587" s="73"/>
      <c r="AZ587" s="73"/>
      <c r="BA587" s="73"/>
      <c r="BB587" s="73"/>
      <c r="BC587" s="73"/>
      <c r="BD587" s="73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</row>
    <row r="588" ht="15.75" customHeight="1">
      <c r="A588" s="56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21"/>
      <c r="AX588" s="73"/>
      <c r="AY588" s="73"/>
      <c r="AZ588" s="73"/>
      <c r="BA588" s="73"/>
      <c r="BB588" s="73"/>
      <c r="BC588" s="73"/>
      <c r="BD588" s="73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</row>
    <row r="589" ht="15.75" customHeight="1">
      <c r="A589" s="56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21"/>
      <c r="AX589" s="73"/>
      <c r="AY589" s="73"/>
      <c r="AZ589" s="73"/>
      <c r="BA589" s="73"/>
      <c r="BB589" s="73"/>
      <c r="BC589" s="73"/>
      <c r="BD589" s="73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</row>
    <row r="590" ht="15.75" customHeight="1">
      <c r="A590" s="56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21"/>
      <c r="AX590" s="73"/>
      <c r="AY590" s="73"/>
      <c r="AZ590" s="73"/>
      <c r="BA590" s="73"/>
      <c r="BB590" s="73"/>
      <c r="BC590" s="73"/>
      <c r="BD590" s="73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</row>
    <row r="591" ht="15.75" customHeight="1">
      <c r="A591" s="56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21"/>
      <c r="AX591" s="73"/>
      <c r="AY591" s="73"/>
      <c r="AZ591" s="73"/>
      <c r="BA591" s="73"/>
      <c r="BB591" s="73"/>
      <c r="BC591" s="73"/>
      <c r="BD591" s="73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</row>
    <row r="592" ht="15.75" customHeight="1">
      <c r="A592" s="56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21"/>
      <c r="AX592" s="73"/>
      <c r="AY592" s="73"/>
      <c r="AZ592" s="73"/>
      <c r="BA592" s="73"/>
      <c r="BB592" s="73"/>
      <c r="BC592" s="73"/>
      <c r="BD592" s="73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</row>
    <row r="593" ht="15.75" customHeight="1">
      <c r="A593" s="56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21"/>
      <c r="AX593" s="73"/>
      <c r="AY593" s="73"/>
      <c r="AZ593" s="73"/>
      <c r="BA593" s="73"/>
      <c r="BB593" s="73"/>
      <c r="BC593" s="73"/>
      <c r="BD593" s="73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</row>
    <row r="594" ht="15.75" customHeight="1">
      <c r="A594" s="56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21"/>
      <c r="AX594" s="73"/>
      <c r="AY594" s="73"/>
      <c r="AZ594" s="73"/>
      <c r="BA594" s="73"/>
      <c r="BB594" s="73"/>
      <c r="BC594" s="73"/>
      <c r="BD594" s="73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</row>
    <row r="595" ht="15.75" customHeight="1">
      <c r="A595" s="56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21"/>
      <c r="AX595" s="73"/>
      <c r="AY595" s="73"/>
      <c r="AZ595" s="73"/>
      <c r="BA595" s="73"/>
      <c r="BB595" s="73"/>
      <c r="BC595" s="73"/>
      <c r="BD595" s="73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</row>
    <row r="596" ht="15.75" customHeight="1">
      <c r="A596" s="56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21"/>
      <c r="AX596" s="73"/>
      <c r="AY596" s="73"/>
      <c r="AZ596" s="73"/>
      <c r="BA596" s="73"/>
      <c r="BB596" s="73"/>
      <c r="BC596" s="73"/>
      <c r="BD596" s="73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</row>
    <row r="597" ht="15.75" customHeight="1">
      <c r="A597" s="56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21"/>
      <c r="AX597" s="73"/>
      <c r="AY597" s="73"/>
      <c r="AZ597" s="73"/>
      <c r="BA597" s="73"/>
      <c r="BB597" s="73"/>
      <c r="BC597" s="73"/>
      <c r="BD597" s="73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</row>
    <row r="598" ht="15.75" customHeight="1">
      <c r="A598" s="56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21"/>
      <c r="AX598" s="73"/>
      <c r="AY598" s="73"/>
      <c r="AZ598" s="73"/>
      <c r="BA598" s="73"/>
      <c r="BB598" s="73"/>
      <c r="BC598" s="73"/>
      <c r="BD598" s="73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/>
      <c r="BW598" s="21"/>
      <c r="BX598" s="21"/>
      <c r="BY598" s="21"/>
      <c r="BZ598" s="21"/>
    </row>
    <row r="599" ht="15.75" customHeight="1">
      <c r="A599" s="56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21"/>
      <c r="AX599" s="73"/>
      <c r="AY599" s="73"/>
      <c r="AZ599" s="73"/>
      <c r="BA599" s="73"/>
      <c r="BB599" s="73"/>
      <c r="BC599" s="73"/>
      <c r="BD599" s="73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</row>
    <row r="600" ht="15.75" customHeight="1">
      <c r="A600" s="56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21"/>
      <c r="AX600" s="73"/>
      <c r="AY600" s="73"/>
      <c r="AZ600" s="73"/>
      <c r="BA600" s="73"/>
      <c r="BB600" s="73"/>
      <c r="BC600" s="73"/>
      <c r="BD600" s="73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</row>
    <row r="601" ht="15.75" customHeight="1">
      <c r="A601" s="56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21"/>
      <c r="AX601" s="73"/>
      <c r="AY601" s="73"/>
      <c r="AZ601" s="73"/>
      <c r="BA601" s="73"/>
      <c r="BB601" s="73"/>
      <c r="BC601" s="73"/>
      <c r="BD601" s="73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</row>
    <row r="602" ht="15.75" customHeight="1">
      <c r="A602" s="56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21"/>
      <c r="AX602" s="73"/>
      <c r="AY602" s="73"/>
      <c r="AZ602" s="73"/>
      <c r="BA602" s="73"/>
      <c r="BB602" s="73"/>
      <c r="BC602" s="73"/>
      <c r="BD602" s="73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</row>
    <row r="603" ht="15.75" customHeight="1">
      <c r="A603" s="56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21"/>
      <c r="AX603" s="73"/>
      <c r="AY603" s="73"/>
      <c r="AZ603" s="73"/>
      <c r="BA603" s="73"/>
      <c r="BB603" s="73"/>
      <c r="BC603" s="73"/>
      <c r="BD603" s="73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</row>
    <row r="604" ht="15.75" customHeight="1">
      <c r="A604" s="56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21"/>
      <c r="AX604" s="73"/>
      <c r="AY604" s="73"/>
      <c r="AZ604" s="73"/>
      <c r="BA604" s="73"/>
      <c r="BB604" s="73"/>
      <c r="BC604" s="73"/>
      <c r="BD604" s="73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</row>
    <row r="605" ht="15.75" customHeight="1">
      <c r="A605" s="56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21"/>
      <c r="AX605" s="73"/>
      <c r="AY605" s="73"/>
      <c r="AZ605" s="73"/>
      <c r="BA605" s="73"/>
      <c r="BB605" s="73"/>
      <c r="BC605" s="73"/>
      <c r="BD605" s="73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</row>
    <row r="606" ht="15.75" customHeight="1">
      <c r="A606" s="56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21"/>
      <c r="AX606" s="73"/>
      <c r="AY606" s="73"/>
      <c r="AZ606" s="73"/>
      <c r="BA606" s="73"/>
      <c r="BB606" s="73"/>
      <c r="BC606" s="73"/>
      <c r="BD606" s="73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</row>
    <row r="607" ht="15.75" customHeight="1">
      <c r="A607" s="56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21"/>
      <c r="AX607" s="73"/>
      <c r="AY607" s="73"/>
      <c r="AZ607" s="73"/>
      <c r="BA607" s="73"/>
      <c r="BB607" s="73"/>
      <c r="BC607" s="73"/>
      <c r="BD607" s="73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</row>
    <row r="608" ht="15.75" customHeight="1">
      <c r="A608" s="56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21"/>
      <c r="AX608" s="73"/>
      <c r="AY608" s="73"/>
      <c r="AZ608" s="73"/>
      <c r="BA608" s="73"/>
      <c r="BB608" s="73"/>
      <c r="BC608" s="73"/>
      <c r="BD608" s="73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</row>
    <row r="609" ht="15.75" customHeight="1">
      <c r="A609" s="56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21"/>
      <c r="AX609" s="73"/>
      <c r="AY609" s="73"/>
      <c r="AZ609" s="73"/>
      <c r="BA609" s="73"/>
      <c r="BB609" s="73"/>
      <c r="BC609" s="73"/>
      <c r="BD609" s="73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</row>
    <row r="610" ht="15.75" customHeight="1">
      <c r="A610" s="56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21"/>
      <c r="AX610" s="73"/>
      <c r="AY610" s="73"/>
      <c r="AZ610" s="73"/>
      <c r="BA610" s="73"/>
      <c r="BB610" s="73"/>
      <c r="BC610" s="73"/>
      <c r="BD610" s="73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</row>
    <row r="611" ht="15.75" customHeight="1">
      <c r="A611" s="56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21"/>
      <c r="AX611" s="73"/>
      <c r="AY611" s="73"/>
      <c r="AZ611" s="73"/>
      <c r="BA611" s="73"/>
      <c r="BB611" s="73"/>
      <c r="BC611" s="73"/>
      <c r="BD611" s="73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</row>
    <row r="612" ht="15.75" customHeight="1">
      <c r="A612" s="56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21"/>
      <c r="AX612" s="73"/>
      <c r="AY612" s="73"/>
      <c r="AZ612" s="73"/>
      <c r="BA612" s="73"/>
      <c r="BB612" s="73"/>
      <c r="BC612" s="73"/>
      <c r="BD612" s="73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</row>
    <row r="613" ht="15.75" customHeight="1">
      <c r="A613" s="56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21"/>
      <c r="AX613" s="73"/>
      <c r="AY613" s="73"/>
      <c r="AZ613" s="73"/>
      <c r="BA613" s="73"/>
      <c r="BB613" s="73"/>
      <c r="BC613" s="73"/>
      <c r="BD613" s="73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</row>
    <row r="614" ht="15.75" customHeight="1">
      <c r="A614" s="56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21"/>
      <c r="AX614" s="73"/>
      <c r="AY614" s="73"/>
      <c r="AZ614" s="73"/>
      <c r="BA614" s="73"/>
      <c r="BB614" s="73"/>
      <c r="BC614" s="73"/>
      <c r="BD614" s="73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</row>
    <row r="615" ht="15.75" customHeight="1">
      <c r="A615" s="56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21"/>
      <c r="AX615" s="73"/>
      <c r="AY615" s="73"/>
      <c r="AZ615" s="73"/>
      <c r="BA615" s="73"/>
      <c r="BB615" s="73"/>
      <c r="BC615" s="73"/>
      <c r="BD615" s="73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</row>
    <row r="616" ht="15.75" customHeight="1">
      <c r="A616" s="56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21"/>
      <c r="AX616" s="73"/>
      <c r="AY616" s="73"/>
      <c r="AZ616" s="73"/>
      <c r="BA616" s="73"/>
      <c r="BB616" s="73"/>
      <c r="BC616" s="73"/>
      <c r="BD616" s="73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</row>
    <row r="617" ht="15.75" customHeight="1">
      <c r="A617" s="56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21"/>
      <c r="AX617" s="73"/>
      <c r="AY617" s="73"/>
      <c r="AZ617" s="73"/>
      <c r="BA617" s="73"/>
      <c r="BB617" s="73"/>
      <c r="BC617" s="73"/>
      <c r="BD617" s="73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</row>
    <row r="618" ht="15.75" customHeight="1">
      <c r="A618" s="56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21"/>
      <c r="AX618" s="73"/>
      <c r="AY618" s="73"/>
      <c r="AZ618" s="73"/>
      <c r="BA618" s="73"/>
      <c r="BB618" s="73"/>
      <c r="BC618" s="73"/>
      <c r="BD618" s="73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</row>
    <row r="619" ht="15.75" customHeight="1">
      <c r="A619" s="56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21"/>
      <c r="AX619" s="73"/>
      <c r="AY619" s="73"/>
      <c r="AZ619" s="73"/>
      <c r="BA619" s="73"/>
      <c r="BB619" s="73"/>
      <c r="BC619" s="73"/>
      <c r="BD619" s="73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</row>
    <row r="620" ht="15.75" customHeight="1">
      <c r="A620" s="56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21"/>
      <c r="AX620" s="73"/>
      <c r="AY620" s="73"/>
      <c r="AZ620" s="73"/>
      <c r="BA620" s="73"/>
      <c r="BB620" s="73"/>
      <c r="BC620" s="73"/>
      <c r="BD620" s="73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</row>
    <row r="621" ht="15.75" customHeight="1">
      <c r="A621" s="56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21"/>
      <c r="AX621" s="73"/>
      <c r="AY621" s="73"/>
      <c r="AZ621" s="73"/>
      <c r="BA621" s="73"/>
      <c r="BB621" s="73"/>
      <c r="BC621" s="73"/>
      <c r="BD621" s="73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</row>
    <row r="622" ht="15.75" customHeight="1">
      <c r="A622" s="56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21"/>
      <c r="AX622" s="73"/>
      <c r="AY622" s="73"/>
      <c r="AZ622" s="73"/>
      <c r="BA622" s="73"/>
      <c r="BB622" s="73"/>
      <c r="BC622" s="73"/>
      <c r="BD622" s="73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</row>
    <row r="623" ht="15.75" customHeight="1">
      <c r="A623" s="56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21"/>
      <c r="AX623" s="73"/>
      <c r="AY623" s="73"/>
      <c r="AZ623" s="73"/>
      <c r="BA623" s="73"/>
      <c r="BB623" s="73"/>
      <c r="BC623" s="73"/>
      <c r="BD623" s="73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</row>
    <row r="624" ht="15.75" customHeight="1">
      <c r="A624" s="56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21"/>
      <c r="AX624" s="73"/>
      <c r="AY624" s="73"/>
      <c r="AZ624" s="73"/>
      <c r="BA624" s="73"/>
      <c r="BB624" s="73"/>
      <c r="BC624" s="73"/>
      <c r="BD624" s="73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</row>
    <row r="625" ht="15.75" customHeight="1">
      <c r="A625" s="56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21"/>
      <c r="AX625" s="73"/>
      <c r="AY625" s="73"/>
      <c r="AZ625" s="73"/>
      <c r="BA625" s="73"/>
      <c r="BB625" s="73"/>
      <c r="BC625" s="73"/>
      <c r="BD625" s="73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</row>
    <row r="626" ht="15.75" customHeight="1">
      <c r="A626" s="56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21"/>
      <c r="AX626" s="73"/>
      <c r="AY626" s="73"/>
      <c r="AZ626" s="73"/>
      <c r="BA626" s="73"/>
      <c r="BB626" s="73"/>
      <c r="BC626" s="73"/>
      <c r="BD626" s="73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</row>
    <row r="627" ht="15.75" customHeight="1">
      <c r="A627" s="56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21"/>
      <c r="AX627" s="73"/>
      <c r="AY627" s="73"/>
      <c r="AZ627" s="73"/>
      <c r="BA627" s="73"/>
      <c r="BB627" s="73"/>
      <c r="BC627" s="73"/>
      <c r="BD627" s="73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</row>
    <row r="628" ht="15.75" customHeight="1">
      <c r="A628" s="56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21"/>
      <c r="AX628" s="73"/>
      <c r="AY628" s="73"/>
      <c r="AZ628" s="73"/>
      <c r="BA628" s="73"/>
      <c r="BB628" s="73"/>
      <c r="BC628" s="73"/>
      <c r="BD628" s="73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</row>
    <row r="629" ht="15.75" customHeight="1">
      <c r="A629" s="56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21"/>
      <c r="AX629" s="73"/>
      <c r="AY629" s="73"/>
      <c r="AZ629" s="73"/>
      <c r="BA629" s="73"/>
      <c r="BB629" s="73"/>
      <c r="BC629" s="73"/>
      <c r="BD629" s="73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</row>
    <row r="630" ht="15.75" customHeight="1">
      <c r="A630" s="56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21"/>
      <c r="AX630" s="73"/>
      <c r="AY630" s="73"/>
      <c r="AZ630" s="73"/>
      <c r="BA630" s="73"/>
      <c r="BB630" s="73"/>
      <c r="BC630" s="73"/>
      <c r="BD630" s="73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</row>
    <row r="631" ht="15.75" customHeight="1">
      <c r="A631" s="56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21"/>
      <c r="AX631" s="73"/>
      <c r="AY631" s="73"/>
      <c r="AZ631" s="73"/>
      <c r="BA631" s="73"/>
      <c r="BB631" s="73"/>
      <c r="BC631" s="73"/>
      <c r="BD631" s="73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</row>
    <row r="632" ht="15.75" customHeight="1">
      <c r="A632" s="56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21"/>
      <c r="AX632" s="73"/>
      <c r="AY632" s="73"/>
      <c r="AZ632" s="73"/>
      <c r="BA632" s="73"/>
      <c r="BB632" s="73"/>
      <c r="BC632" s="73"/>
      <c r="BD632" s="73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</row>
    <row r="633" ht="15.75" customHeight="1">
      <c r="A633" s="56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21"/>
      <c r="AX633" s="73"/>
      <c r="AY633" s="73"/>
      <c r="AZ633" s="73"/>
      <c r="BA633" s="73"/>
      <c r="BB633" s="73"/>
      <c r="BC633" s="73"/>
      <c r="BD633" s="73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</row>
    <row r="634" ht="15.75" customHeight="1">
      <c r="A634" s="56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21"/>
      <c r="AX634" s="73"/>
      <c r="AY634" s="73"/>
      <c r="AZ634" s="73"/>
      <c r="BA634" s="73"/>
      <c r="BB634" s="73"/>
      <c r="BC634" s="73"/>
      <c r="BD634" s="73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</row>
    <row r="635" ht="15.75" customHeight="1">
      <c r="A635" s="56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21"/>
      <c r="AX635" s="73"/>
      <c r="AY635" s="73"/>
      <c r="AZ635" s="73"/>
      <c r="BA635" s="73"/>
      <c r="BB635" s="73"/>
      <c r="BC635" s="73"/>
      <c r="BD635" s="73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</row>
    <row r="636" ht="15.75" customHeight="1">
      <c r="A636" s="56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21"/>
      <c r="AX636" s="73"/>
      <c r="AY636" s="73"/>
      <c r="AZ636" s="73"/>
      <c r="BA636" s="73"/>
      <c r="BB636" s="73"/>
      <c r="BC636" s="73"/>
      <c r="BD636" s="73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</row>
    <row r="637" ht="15.75" customHeight="1">
      <c r="A637" s="56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21"/>
      <c r="AX637" s="73"/>
      <c r="AY637" s="73"/>
      <c r="AZ637" s="73"/>
      <c r="BA637" s="73"/>
      <c r="BB637" s="73"/>
      <c r="BC637" s="73"/>
      <c r="BD637" s="73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</row>
    <row r="638" ht="15.75" customHeight="1">
      <c r="A638" s="56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21"/>
      <c r="AX638" s="73"/>
      <c r="AY638" s="73"/>
      <c r="AZ638" s="73"/>
      <c r="BA638" s="73"/>
      <c r="BB638" s="73"/>
      <c r="BC638" s="73"/>
      <c r="BD638" s="73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</row>
    <row r="639" ht="15.75" customHeight="1">
      <c r="A639" s="56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21"/>
      <c r="AX639" s="73"/>
      <c r="AY639" s="73"/>
      <c r="AZ639" s="73"/>
      <c r="BA639" s="73"/>
      <c r="BB639" s="73"/>
      <c r="BC639" s="73"/>
      <c r="BD639" s="73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</row>
    <row r="640" ht="15.75" customHeight="1">
      <c r="A640" s="56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21"/>
      <c r="AX640" s="73"/>
      <c r="AY640" s="73"/>
      <c r="AZ640" s="73"/>
      <c r="BA640" s="73"/>
      <c r="BB640" s="73"/>
      <c r="BC640" s="73"/>
      <c r="BD640" s="73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</row>
    <row r="641" ht="15.75" customHeight="1">
      <c r="A641" s="56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21"/>
      <c r="AX641" s="73"/>
      <c r="AY641" s="73"/>
      <c r="AZ641" s="73"/>
      <c r="BA641" s="73"/>
      <c r="BB641" s="73"/>
      <c r="BC641" s="73"/>
      <c r="BD641" s="73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</row>
    <row r="642" ht="15.75" customHeight="1">
      <c r="A642" s="56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21"/>
      <c r="AX642" s="73"/>
      <c r="AY642" s="73"/>
      <c r="AZ642" s="73"/>
      <c r="BA642" s="73"/>
      <c r="BB642" s="73"/>
      <c r="BC642" s="73"/>
      <c r="BD642" s="73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</row>
    <row r="643" ht="15.75" customHeight="1">
      <c r="A643" s="56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21"/>
      <c r="AX643" s="73"/>
      <c r="AY643" s="73"/>
      <c r="AZ643" s="73"/>
      <c r="BA643" s="73"/>
      <c r="BB643" s="73"/>
      <c r="BC643" s="73"/>
      <c r="BD643" s="73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</row>
    <row r="644" ht="15.75" customHeight="1">
      <c r="A644" s="56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21"/>
      <c r="AX644" s="73"/>
      <c r="AY644" s="73"/>
      <c r="AZ644" s="73"/>
      <c r="BA644" s="73"/>
      <c r="BB644" s="73"/>
      <c r="BC644" s="73"/>
      <c r="BD644" s="73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</row>
    <row r="645" ht="15.75" customHeight="1">
      <c r="A645" s="56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21"/>
      <c r="AX645" s="73"/>
      <c r="AY645" s="73"/>
      <c r="AZ645" s="73"/>
      <c r="BA645" s="73"/>
      <c r="BB645" s="73"/>
      <c r="BC645" s="73"/>
      <c r="BD645" s="73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</row>
    <row r="646" ht="15.75" customHeight="1">
      <c r="A646" s="56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21"/>
      <c r="AX646" s="73"/>
      <c r="AY646" s="73"/>
      <c r="AZ646" s="73"/>
      <c r="BA646" s="73"/>
      <c r="BB646" s="73"/>
      <c r="BC646" s="73"/>
      <c r="BD646" s="73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</row>
    <row r="647" ht="15.75" customHeight="1">
      <c r="A647" s="56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21"/>
      <c r="AX647" s="73"/>
      <c r="AY647" s="73"/>
      <c r="AZ647" s="73"/>
      <c r="BA647" s="73"/>
      <c r="BB647" s="73"/>
      <c r="BC647" s="73"/>
      <c r="BD647" s="73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</row>
    <row r="648" ht="15.75" customHeight="1">
      <c r="A648" s="56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21"/>
      <c r="AX648" s="73"/>
      <c r="AY648" s="73"/>
      <c r="AZ648" s="73"/>
      <c r="BA648" s="73"/>
      <c r="BB648" s="73"/>
      <c r="BC648" s="73"/>
      <c r="BD648" s="73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</row>
    <row r="649" ht="15.75" customHeight="1">
      <c r="A649" s="56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21"/>
      <c r="AX649" s="73"/>
      <c r="AY649" s="73"/>
      <c r="AZ649" s="73"/>
      <c r="BA649" s="73"/>
      <c r="BB649" s="73"/>
      <c r="BC649" s="73"/>
      <c r="BD649" s="73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</row>
    <row r="650" ht="15.75" customHeight="1">
      <c r="A650" s="56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21"/>
      <c r="AX650" s="73"/>
      <c r="AY650" s="73"/>
      <c r="AZ650" s="73"/>
      <c r="BA650" s="73"/>
      <c r="BB650" s="73"/>
      <c r="BC650" s="73"/>
      <c r="BD650" s="73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</row>
    <row r="651" ht="15.75" customHeight="1">
      <c r="A651" s="56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21"/>
      <c r="AX651" s="73"/>
      <c r="AY651" s="73"/>
      <c r="AZ651" s="73"/>
      <c r="BA651" s="73"/>
      <c r="BB651" s="73"/>
      <c r="BC651" s="73"/>
      <c r="BD651" s="73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</row>
    <row r="652" ht="15.75" customHeight="1">
      <c r="A652" s="56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21"/>
      <c r="AX652" s="73"/>
      <c r="AY652" s="73"/>
      <c r="AZ652" s="73"/>
      <c r="BA652" s="73"/>
      <c r="BB652" s="73"/>
      <c r="BC652" s="73"/>
      <c r="BD652" s="73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</row>
    <row r="653" ht="15.75" customHeight="1">
      <c r="A653" s="56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21"/>
      <c r="AX653" s="73"/>
      <c r="AY653" s="73"/>
      <c r="AZ653" s="73"/>
      <c r="BA653" s="73"/>
      <c r="BB653" s="73"/>
      <c r="BC653" s="73"/>
      <c r="BD653" s="73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</row>
    <row r="654" ht="15.75" customHeight="1">
      <c r="A654" s="56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21"/>
      <c r="AX654" s="73"/>
      <c r="AY654" s="73"/>
      <c r="AZ654" s="73"/>
      <c r="BA654" s="73"/>
      <c r="BB654" s="73"/>
      <c r="BC654" s="73"/>
      <c r="BD654" s="73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</row>
    <row r="655" ht="15.75" customHeight="1">
      <c r="A655" s="56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21"/>
      <c r="AX655" s="73"/>
      <c r="AY655" s="73"/>
      <c r="AZ655" s="73"/>
      <c r="BA655" s="73"/>
      <c r="BB655" s="73"/>
      <c r="BC655" s="73"/>
      <c r="BD655" s="73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</row>
    <row r="656" ht="15.75" customHeight="1">
      <c r="A656" s="56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21"/>
      <c r="AX656" s="73"/>
      <c r="AY656" s="73"/>
      <c r="AZ656" s="73"/>
      <c r="BA656" s="73"/>
      <c r="BB656" s="73"/>
      <c r="BC656" s="73"/>
      <c r="BD656" s="73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</row>
    <row r="657" ht="15.75" customHeight="1">
      <c r="A657" s="56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21"/>
      <c r="AX657" s="73"/>
      <c r="AY657" s="73"/>
      <c r="AZ657" s="73"/>
      <c r="BA657" s="73"/>
      <c r="BB657" s="73"/>
      <c r="BC657" s="73"/>
      <c r="BD657" s="73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</row>
    <row r="658" ht="15.75" customHeight="1">
      <c r="A658" s="56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21"/>
      <c r="AX658" s="73"/>
      <c r="AY658" s="73"/>
      <c r="AZ658" s="73"/>
      <c r="BA658" s="73"/>
      <c r="BB658" s="73"/>
      <c r="BC658" s="73"/>
      <c r="BD658" s="73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</row>
    <row r="659" ht="15.75" customHeight="1">
      <c r="A659" s="56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21"/>
      <c r="AX659" s="73"/>
      <c r="AY659" s="73"/>
      <c r="AZ659" s="73"/>
      <c r="BA659" s="73"/>
      <c r="BB659" s="73"/>
      <c r="BC659" s="73"/>
      <c r="BD659" s="73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</row>
    <row r="660" ht="15.75" customHeight="1">
      <c r="A660" s="56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21"/>
      <c r="AX660" s="73"/>
      <c r="AY660" s="73"/>
      <c r="AZ660" s="73"/>
      <c r="BA660" s="73"/>
      <c r="BB660" s="73"/>
      <c r="BC660" s="73"/>
      <c r="BD660" s="73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</row>
    <row r="661" ht="15.75" customHeight="1">
      <c r="A661" s="56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21"/>
      <c r="AX661" s="73"/>
      <c r="AY661" s="73"/>
      <c r="AZ661" s="73"/>
      <c r="BA661" s="73"/>
      <c r="BB661" s="73"/>
      <c r="BC661" s="73"/>
      <c r="BD661" s="73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</row>
    <row r="662" ht="15.75" customHeight="1">
      <c r="A662" s="56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21"/>
      <c r="AX662" s="73"/>
      <c r="AY662" s="73"/>
      <c r="AZ662" s="73"/>
      <c r="BA662" s="73"/>
      <c r="BB662" s="73"/>
      <c r="BC662" s="73"/>
      <c r="BD662" s="73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</row>
    <row r="663" ht="15.75" customHeight="1">
      <c r="A663" s="56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21"/>
      <c r="AX663" s="73"/>
      <c r="AY663" s="73"/>
      <c r="AZ663" s="73"/>
      <c r="BA663" s="73"/>
      <c r="BB663" s="73"/>
      <c r="BC663" s="73"/>
      <c r="BD663" s="73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</row>
    <row r="664" ht="15.75" customHeight="1">
      <c r="A664" s="56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21"/>
      <c r="AX664" s="73"/>
      <c r="AY664" s="73"/>
      <c r="AZ664" s="73"/>
      <c r="BA664" s="73"/>
      <c r="BB664" s="73"/>
      <c r="BC664" s="73"/>
      <c r="BD664" s="73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</row>
    <row r="665" ht="15.75" customHeight="1">
      <c r="A665" s="56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21"/>
      <c r="AX665" s="73"/>
      <c r="AY665" s="73"/>
      <c r="AZ665" s="73"/>
      <c r="BA665" s="73"/>
      <c r="BB665" s="73"/>
      <c r="BC665" s="73"/>
      <c r="BD665" s="73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</row>
    <row r="666" ht="15.75" customHeight="1">
      <c r="A666" s="56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21"/>
      <c r="AX666" s="73"/>
      <c r="AY666" s="73"/>
      <c r="AZ666" s="73"/>
      <c r="BA666" s="73"/>
      <c r="BB666" s="73"/>
      <c r="BC666" s="73"/>
      <c r="BD666" s="73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</row>
    <row r="667" ht="15.75" customHeight="1">
      <c r="A667" s="56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21"/>
      <c r="AX667" s="73"/>
      <c r="AY667" s="73"/>
      <c r="AZ667" s="73"/>
      <c r="BA667" s="73"/>
      <c r="BB667" s="73"/>
      <c r="BC667" s="73"/>
      <c r="BD667" s="73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</row>
    <row r="668" ht="15.75" customHeight="1">
      <c r="A668" s="56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21"/>
      <c r="AX668" s="73"/>
      <c r="AY668" s="73"/>
      <c r="AZ668" s="73"/>
      <c r="BA668" s="73"/>
      <c r="BB668" s="73"/>
      <c r="BC668" s="73"/>
      <c r="BD668" s="73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</row>
    <row r="669" ht="15.75" customHeight="1">
      <c r="A669" s="56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21"/>
      <c r="AX669" s="73"/>
      <c r="AY669" s="73"/>
      <c r="AZ669" s="73"/>
      <c r="BA669" s="73"/>
      <c r="BB669" s="73"/>
      <c r="BC669" s="73"/>
      <c r="BD669" s="73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</row>
    <row r="670" ht="15.75" customHeight="1">
      <c r="A670" s="56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21"/>
      <c r="AX670" s="73"/>
      <c r="AY670" s="73"/>
      <c r="AZ670" s="73"/>
      <c r="BA670" s="73"/>
      <c r="BB670" s="73"/>
      <c r="BC670" s="73"/>
      <c r="BD670" s="73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</row>
    <row r="671" ht="15.75" customHeight="1">
      <c r="A671" s="56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21"/>
      <c r="AX671" s="73"/>
      <c r="AY671" s="73"/>
      <c r="AZ671" s="73"/>
      <c r="BA671" s="73"/>
      <c r="BB671" s="73"/>
      <c r="BC671" s="73"/>
      <c r="BD671" s="73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</row>
    <row r="672" ht="15.75" customHeight="1">
      <c r="A672" s="56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21"/>
      <c r="AX672" s="73"/>
      <c r="AY672" s="73"/>
      <c r="AZ672" s="73"/>
      <c r="BA672" s="73"/>
      <c r="BB672" s="73"/>
      <c r="BC672" s="73"/>
      <c r="BD672" s="73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</row>
    <row r="673" ht="15.75" customHeight="1">
      <c r="A673" s="56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21"/>
      <c r="AX673" s="73"/>
      <c r="AY673" s="73"/>
      <c r="AZ673" s="73"/>
      <c r="BA673" s="73"/>
      <c r="BB673" s="73"/>
      <c r="BC673" s="73"/>
      <c r="BD673" s="73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</row>
    <row r="674" ht="15.75" customHeight="1">
      <c r="A674" s="56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21"/>
      <c r="AX674" s="73"/>
      <c r="AY674" s="73"/>
      <c r="AZ674" s="73"/>
      <c r="BA674" s="73"/>
      <c r="BB674" s="73"/>
      <c r="BC674" s="73"/>
      <c r="BD674" s="73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</row>
    <row r="675" ht="15.75" customHeight="1">
      <c r="A675" s="56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21"/>
      <c r="AX675" s="73"/>
      <c r="AY675" s="73"/>
      <c r="AZ675" s="73"/>
      <c r="BA675" s="73"/>
      <c r="BB675" s="73"/>
      <c r="BC675" s="73"/>
      <c r="BD675" s="73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</row>
    <row r="676" ht="15.75" customHeight="1">
      <c r="A676" s="56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21"/>
      <c r="AX676" s="73"/>
      <c r="AY676" s="73"/>
      <c r="AZ676" s="73"/>
      <c r="BA676" s="73"/>
      <c r="BB676" s="73"/>
      <c r="BC676" s="73"/>
      <c r="BD676" s="73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</row>
    <row r="677" ht="15.75" customHeight="1">
      <c r="A677" s="56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21"/>
      <c r="AX677" s="73"/>
      <c r="AY677" s="73"/>
      <c r="AZ677" s="73"/>
      <c r="BA677" s="73"/>
      <c r="BB677" s="73"/>
      <c r="BC677" s="73"/>
      <c r="BD677" s="73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</row>
    <row r="678" ht="15.75" customHeight="1">
      <c r="A678" s="56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21"/>
      <c r="AX678" s="73"/>
      <c r="AY678" s="73"/>
      <c r="AZ678" s="73"/>
      <c r="BA678" s="73"/>
      <c r="BB678" s="73"/>
      <c r="BC678" s="73"/>
      <c r="BD678" s="73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</row>
    <row r="679" ht="15.75" customHeight="1">
      <c r="A679" s="56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21"/>
      <c r="AX679" s="73"/>
      <c r="AY679" s="73"/>
      <c r="AZ679" s="73"/>
      <c r="BA679" s="73"/>
      <c r="BB679" s="73"/>
      <c r="BC679" s="73"/>
      <c r="BD679" s="73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</row>
    <row r="680" ht="15.75" customHeight="1">
      <c r="A680" s="56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21"/>
      <c r="AX680" s="73"/>
      <c r="AY680" s="73"/>
      <c r="AZ680" s="73"/>
      <c r="BA680" s="73"/>
      <c r="BB680" s="73"/>
      <c r="BC680" s="73"/>
      <c r="BD680" s="73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</row>
    <row r="681" ht="15.75" customHeight="1">
      <c r="A681" s="56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21"/>
      <c r="AX681" s="73"/>
      <c r="AY681" s="73"/>
      <c r="AZ681" s="73"/>
      <c r="BA681" s="73"/>
      <c r="BB681" s="73"/>
      <c r="BC681" s="73"/>
      <c r="BD681" s="73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</row>
    <row r="682" ht="15.75" customHeight="1">
      <c r="A682" s="56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21"/>
      <c r="AX682" s="73"/>
      <c r="AY682" s="73"/>
      <c r="AZ682" s="73"/>
      <c r="BA682" s="73"/>
      <c r="BB682" s="73"/>
      <c r="BC682" s="73"/>
      <c r="BD682" s="73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</row>
    <row r="683" ht="15.75" customHeight="1">
      <c r="A683" s="56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21"/>
      <c r="AX683" s="73"/>
      <c r="AY683" s="73"/>
      <c r="AZ683" s="73"/>
      <c r="BA683" s="73"/>
      <c r="BB683" s="73"/>
      <c r="BC683" s="73"/>
      <c r="BD683" s="73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</row>
    <row r="684" ht="15.75" customHeight="1">
      <c r="A684" s="56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21"/>
      <c r="AX684" s="73"/>
      <c r="AY684" s="73"/>
      <c r="AZ684" s="73"/>
      <c r="BA684" s="73"/>
      <c r="BB684" s="73"/>
      <c r="BC684" s="73"/>
      <c r="BD684" s="73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</row>
    <row r="685" ht="15.75" customHeight="1">
      <c r="A685" s="56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21"/>
      <c r="AX685" s="73"/>
      <c r="AY685" s="73"/>
      <c r="AZ685" s="73"/>
      <c r="BA685" s="73"/>
      <c r="BB685" s="73"/>
      <c r="BC685" s="73"/>
      <c r="BD685" s="73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</row>
    <row r="686" ht="15.75" customHeight="1">
      <c r="A686" s="56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21"/>
      <c r="AX686" s="73"/>
      <c r="AY686" s="73"/>
      <c r="AZ686" s="73"/>
      <c r="BA686" s="73"/>
      <c r="BB686" s="73"/>
      <c r="BC686" s="73"/>
      <c r="BD686" s="73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</row>
    <row r="687" ht="15.75" customHeight="1">
      <c r="A687" s="56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21"/>
      <c r="AX687" s="73"/>
      <c r="AY687" s="73"/>
      <c r="AZ687" s="73"/>
      <c r="BA687" s="73"/>
      <c r="BB687" s="73"/>
      <c r="BC687" s="73"/>
      <c r="BD687" s="73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</row>
    <row r="688" ht="15.75" customHeight="1">
      <c r="A688" s="56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21"/>
      <c r="AX688" s="73"/>
      <c r="AY688" s="73"/>
      <c r="AZ688" s="73"/>
      <c r="BA688" s="73"/>
      <c r="BB688" s="73"/>
      <c r="BC688" s="73"/>
      <c r="BD688" s="73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</row>
    <row r="689" ht="15.75" customHeight="1">
      <c r="A689" s="56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21"/>
      <c r="AX689" s="73"/>
      <c r="AY689" s="73"/>
      <c r="AZ689" s="73"/>
      <c r="BA689" s="73"/>
      <c r="BB689" s="73"/>
      <c r="BC689" s="73"/>
      <c r="BD689" s="73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</row>
    <row r="690" ht="15.75" customHeight="1">
      <c r="A690" s="56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21"/>
      <c r="AX690" s="73"/>
      <c r="AY690" s="73"/>
      <c r="AZ690" s="73"/>
      <c r="BA690" s="73"/>
      <c r="BB690" s="73"/>
      <c r="BC690" s="73"/>
      <c r="BD690" s="73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</row>
    <row r="691" ht="15.75" customHeight="1">
      <c r="A691" s="56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21"/>
      <c r="AX691" s="73"/>
      <c r="AY691" s="73"/>
      <c r="AZ691" s="73"/>
      <c r="BA691" s="73"/>
      <c r="BB691" s="73"/>
      <c r="BC691" s="73"/>
      <c r="BD691" s="73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</row>
    <row r="692" ht="15.75" customHeight="1">
      <c r="A692" s="56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21"/>
      <c r="AX692" s="73"/>
      <c r="AY692" s="73"/>
      <c r="AZ692" s="73"/>
      <c r="BA692" s="73"/>
      <c r="BB692" s="73"/>
      <c r="BC692" s="73"/>
      <c r="BD692" s="73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</row>
    <row r="693" ht="15.75" customHeight="1">
      <c r="A693" s="56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21"/>
      <c r="AX693" s="73"/>
      <c r="AY693" s="73"/>
      <c r="AZ693" s="73"/>
      <c r="BA693" s="73"/>
      <c r="BB693" s="73"/>
      <c r="BC693" s="73"/>
      <c r="BD693" s="73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</row>
    <row r="694" ht="15.75" customHeight="1">
      <c r="A694" s="56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21"/>
      <c r="AX694" s="73"/>
      <c r="AY694" s="73"/>
      <c r="AZ694" s="73"/>
      <c r="BA694" s="73"/>
      <c r="BB694" s="73"/>
      <c r="BC694" s="73"/>
      <c r="BD694" s="73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</row>
    <row r="695" ht="15.75" customHeight="1">
      <c r="A695" s="56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21"/>
      <c r="AX695" s="73"/>
      <c r="AY695" s="73"/>
      <c r="AZ695" s="73"/>
      <c r="BA695" s="73"/>
      <c r="BB695" s="73"/>
      <c r="BC695" s="73"/>
      <c r="BD695" s="73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</row>
    <row r="696" ht="15.75" customHeight="1">
      <c r="A696" s="56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21"/>
      <c r="AX696" s="73"/>
      <c r="AY696" s="73"/>
      <c r="AZ696" s="73"/>
      <c r="BA696" s="73"/>
      <c r="BB696" s="73"/>
      <c r="BC696" s="73"/>
      <c r="BD696" s="73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</row>
    <row r="697" ht="15.75" customHeight="1">
      <c r="A697" s="56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21"/>
      <c r="AX697" s="73"/>
      <c r="AY697" s="73"/>
      <c r="AZ697" s="73"/>
      <c r="BA697" s="73"/>
      <c r="BB697" s="73"/>
      <c r="BC697" s="73"/>
      <c r="BD697" s="73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</row>
    <row r="698" ht="15.75" customHeight="1">
      <c r="A698" s="56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21"/>
      <c r="AX698" s="73"/>
      <c r="AY698" s="73"/>
      <c r="AZ698" s="73"/>
      <c r="BA698" s="73"/>
      <c r="BB698" s="73"/>
      <c r="BC698" s="73"/>
      <c r="BD698" s="73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</row>
    <row r="699" ht="15.75" customHeight="1">
      <c r="A699" s="56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21"/>
      <c r="AX699" s="73"/>
      <c r="AY699" s="73"/>
      <c r="AZ699" s="73"/>
      <c r="BA699" s="73"/>
      <c r="BB699" s="73"/>
      <c r="BC699" s="73"/>
      <c r="BD699" s="73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</row>
    <row r="700" ht="15.75" customHeight="1">
      <c r="A700" s="56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21"/>
      <c r="AX700" s="73"/>
      <c r="AY700" s="73"/>
      <c r="AZ700" s="73"/>
      <c r="BA700" s="73"/>
      <c r="BB700" s="73"/>
      <c r="BC700" s="73"/>
      <c r="BD700" s="73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</row>
    <row r="701" ht="15.75" customHeight="1">
      <c r="A701" s="56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21"/>
      <c r="AX701" s="73"/>
      <c r="AY701" s="73"/>
      <c r="AZ701" s="73"/>
      <c r="BA701" s="73"/>
      <c r="BB701" s="73"/>
      <c r="BC701" s="73"/>
      <c r="BD701" s="73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</row>
    <row r="702" ht="15.75" customHeight="1">
      <c r="A702" s="56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21"/>
      <c r="AX702" s="73"/>
      <c r="AY702" s="73"/>
      <c r="AZ702" s="73"/>
      <c r="BA702" s="73"/>
      <c r="BB702" s="73"/>
      <c r="BC702" s="73"/>
      <c r="BD702" s="73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</row>
    <row r="703" ht="15.75" customHeight="1">
      <c r="A703" s="56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21"/>
      <c r="AX703" s="73"/>
      <c r="AY703" s="73"/>
      <c r="AZ703" s="73"/>
      <c r="BA703" s="73"/>
      <c r="BB703" s="73"/>
      <c r="BC703" s="73"/>
      <c r="BD703" s="73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</row>
    <row r="704" ht="15.75" customHeight="1">
      <c r="A704" s="56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21"/>
      <c r="AX704" s="73"/>
      <c r="AY704" s="73"/>
      <c r="AZ704" s="73"/>
      <c r="BA704" s="73"/>
      <c r="BB704" s="73"/>
      <c r="BC704" s="73"/>
      <c r="BD704" s="73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</row>
    <row r="705" ht="15.75" customHeight="1">
      <c r="A705" s="56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21"/>
      <c r="AX705" s="73"/>
      <c r="AY705" s="73"/>
      <c r="AZ705" s="73"/>
      <c r="BA705" s="73"/>
      <c r="BB705" s="73"/>
      <c r="BC705" s="73"/>
      <c r="BD705" s="73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</row>
    <row r="706" ht="15.75" customHeight="1">
      <c r="A706" s="56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21"/>
      <c r="AX706" s="73"/>
      <c r="AY706" s="73"/>
      <c r="AZ706" s="73"/>
      <c r="BA706" s="73"/>
      <c r="BB706" s="73"/>
      <c r="BC706" s="73"/>
      <c r="BD706" s="73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</row>
    <row r="707" ht="15.75" customHeight="1">
      <c r="A707" s="56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21"/>
      <c r="AX707" s="73"/>
      <c r="AY707" s="73"/>
      <c r="AZ707" s="73"/>
      <c r="BA707" s="73"/>
      <c r="BB707" s="73"/>
      <c r="BC707" s="73"/>
      <c r="BD707" s="73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</row>
    <row r="708" ht="15.75" customHeight="1">
      <c r="A708" s="56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21"/>
      <c r="AX708" s="73"/>
      <c r="AY708" s="73"/>
      <c r="AZ708" s="73"/>
      <c r="BA708" s="73"/>
      <c r="BB708" s="73"/>
      <c r="BC708" s="73"/>
      <c r="BD708" s="73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</row>
    <row r="709" ht="15.75" customHeight="1">
      <c r="A709" s="56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21"/>
      <c r="AX709" s="73"/>
      <c r="AY709" s="73"/>
      <c r="AZ709" s="73"/>
      <c r="BA709" s="73"/>
      <c r="BB709" s="73"/>
      <c r="BC709" s="73"/>
      <c r="BD709" s="73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</row>
    <row r="710" ht="15.75" customHeight="1">
      <c r="A710" s="56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21"/>
      <c r="AX710" s="73"/>
      <c r="AY710" s="73"/>
      <c r="AZ710" s="73"/>
      <c r="BA710" s="73"/>
      <c r="BB710" s="73"/>
      <c r="BC710" s="73"/>
      <c r="BD710" s="73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</row>
    <row r="711" ht="15.75" customHeight="1">
      <c r="A711" s="56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21"/>
      <c r="AX711" s="73"/>
      <c r="AY711" s="73"/>
      <c r="AZ711" s="73"/>
      <c r="BA711" s="73"/>
      <c r="BB711" s="73"/>
      <c r="BC711" s="73"/>
      <c r="BD711" s="73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</row>
    <row r="712" ht="15.75" customHeight="1">
      <c r="A712" s="56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21"/>
      <c r="AX712" s="73"/>
      <c r="AY712" s="73"/>
      <c r="AZ712" s="73"/>
      <c r="BA712" s="73"/>
      <c r="BB712" s="73"/>
      <c r="BC712" s="73"/>
      <c r="BD712" s="73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</row>
    <row r="713" ht="15.75" customHeight="1">
      <c r="A713" s="56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21"/>
      <c r="AX713" s="73"/>
      <c r="AY713" s="73"/>
      <c r="AZ713" s="73"/>
      <c r="BA713" s="73"/>
      <c r="BB713" s="73"/>
      <c r="BC713" s="73"/>
      <c r="BD713" s="73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</row>
    <row r="714" ht="15.75" customHeight="1">
      <c r="A714" s="56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21"/>
      <c r="AX714" s="73"/>
      <c r="AY714" s="73"/>
      <c r="AZ714" s="73"/>
      <c r="BA714" s="73"/>
      <c r="BB714" s="73"/>
      <c r="BC714" s="73"/>
      <c r="BD714" s="73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</row>
    <row r="715" ht="15.75" customHeight="1">
      <c r="A715" s="56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21"/>
      <c r="AX715" s="73"/>
      <c r="AY715" s="73"/>
      <c r="AZ715" s="73"/>
      <c r="BA715" s="73"/>
      <c r="BB715" s="73"/>
      <c r="BC715" s="73"/>
      <c r="BD715" s="73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</row>
    <row r="716" ht="15.75" customHeight="1">
      <c r="A716" s="56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21"/>
      <c r="AX716" s="73"/>
      <c r="AY716" s="73"/>
      <c r="AZ716" s="73"/>
      <c r="BA716" s="73"/>
      <c r="BB716" s="73"/>
      <c r="BC716" s="73"/>
      <c r="BD716" s="73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</row>
    <row r="717" ht="15.75" customHeight="1">
      <c r="A717" s="56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21"/>
      <c r="AX717" s="73"/>
      <c r="AY717" s="73"/>
      <c r="AZ717" s="73"/>
      <c r="BA717" s="73"/>
      <c r="BB717" s="73"/>
      <c r="BC717" s="73"/>
      <c r="BD717" s="73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</row>
    <row r="718" ht="15.75" customHeight="1">
      <c r="A718" s="56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21"/>
      <c r="AX718" s="73"/>
      <c r="AY718" s="73"/>
      <c r="AZ718" s="73"/>
      <c r="BA718" s="73"/>
      <c r="BB718" s="73"/>
      <c r="BC718" s="73"/>
      <c r="BD718" s="73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</row>
    <row r="719" ht="15.75" customHeight="1">
      <c r="A719" s="56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21"/>
      <c r="AX719" s="73"/>
      <c r="AY719" s="73"/>
      <c r="AZ719" s="73"/>
      <c r="BA719" s="73"/>
      <c r="BB719" s="73"/>
      <c r="BC719" s="73"/>
      <c r="BD719" s="73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</row>
    <row r="720" ht="15.75" customHeight="1">
      <c r="A720" s="56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21"/>
      <c r="AX720" s="73"/>
      <c r="AY720" s="73"/>
      <c r="AZ720" s="73"/>
      <c r="BA720" s="73"/>
      <c r="BB720" s="73"/>
      <c r="BC720" s="73"/>
      <c r="BD720" s="73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</row>
    <row r="721" ht="15.75" customHeight="1">
      <c r="A721" s="56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21"/>
      <c r="AX721" s="73"/>
      <c r="AY721" s="73"/>
      <c r="AZ721" s="73"/>
      <c r="BA721" s="73"/>
      <c r="BB721" s="73"/>
      <c r="BC721" s="73"/>
      <c r="BD721" s="73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</row>
    <row r="722" ht="15.75" customHeight="1">
      <c r="A722" s="56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21"/>
      <c r="AX722" s="73"/>
      <c r="AY722" s="73"/>
      <c r="AZ722" s="73"/>
      <c r="BA722" s="73"/>
      <c r="BB722" s="73"/>
      <c r="BC722" s="73"/>
      <c r="BD722" s="73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</row>
    <row r="723" ht="15.75" customHeight="1">
      <c r="A723" s="56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21"/>
      <c r="AX723" s="73"/>
      <c r="AY723" s="73"/>
      <c r="AZ723" s="73"/>
      <c r="BA723" s="73"/>
      <c r="BB723" s="73"/>
      <c r="BC723" s="73"/>
      <c r="BD723" s="73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</row>
    <row r="724" ht="15.75" customHeight="1">
      <c r="A724" s="56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21"/>
      <c r="AX724" s="73"/>
      <c r="AY724" s="73"/>
      <c r="AZ724" s="73"/>
      <c r="BA724" s="73"/>
      <c r="BB724" s="73"/>
      <c r="BC724" s="73"/>
      <c r="BD724" s="73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</row>
    <row r="725" ht="15.75" customHeight="1">
      <c r="A725" s="56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21"/>
      <c r="AX725" s="73"/>
      <c r="AY725" s="73"/>
      <c r="AZ725" s="73"/>
      <c r="BA725" s="73"/>
      <c r="BB725" s="73"/>
      <c r="BC725" s="73"/>
      <c r="BD725" s="73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</row>
    <row r="726" ht="15.75" customHeight="1">
      <c r="A726" s="56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21"/>
      <c r="AX726" s="73"/>
      <c r="AY726" s="73"/>
      <c r="AZ726" s="73"/>
      <c r="BA726" s="73"/>
      <c r="BB726" s="73"/>
      <c r="BC726" s="73"/>
      <c r="BD726" s="73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</row>
    <row r="727" ht="15.75" customHeight="1">
      <c r="A727" s="56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21"/>
      <c r="AX727" s="73"/>
      <c r="AY727" s="73"/>
      <c r="AZ727" s="73"/>
      <c r="BA727" s="73"/>
      <c r="BB727" s="73"/>
      <c r="BC727" s="73"/>
      <c r="BD727" s="73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</row>
    <row r="728" ht="15.75" customHeight="1">
      <c r="A728" s="56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21"/>
      <c r="AX728" s="73"/>
      <c r="AY728" s="73"/>
      <c r="AZ728" s="73"/>
      <c r="BA728" s="73"/>
      <c r="BB728" s="73"/>
      <c r="BC728" s="73"/>
      <c r="BD728" s="73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</row>
    <row r="729" ht="15.75" customHeight="1">
      <c r="A729" s="56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21"/>
      <c r="AX729" s="73"/>
      <c r="AY729" s="73"/>
      <c r="AZ729" s="73"/>
      <c r="BA729" s="73"/>
      <c r="BB729" s="73"/>
      <c r="BC729" s="73"/>
      <c r="BD729" s="73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</row>
    <row r="730" ht="15.75" customHeight="1">
      <c r="A730" s="56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21"/>
      <c r="AX730" s="73"/>
      <c r="AY730" s="73"/>
      <c r="AZ730" s="73"/>
      <c r="BA730" s="73"/>
      <c r="BB730" s="73"/>
      <c r="BC730" s="73"/>
      <c r="BD730" s="73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</row>
    <row r="731" ht="15.75" customHeight="1">
      <c r="A731" s="56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21"/>
      <c r="AX731" s="73"/>
      <c r="AY731" s="73"/>
      <c r="AZ731" s="73"/>
      <c r="BA731" s="73"/>
      <c r="BB731" s="73"/>
      <c r="BC731" s="73"/>
      <c r="BD731" s="73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</row>
    <row r="732" ht="15.75" customHeight="1">
      <c r="A732" s="56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21"/>
      <c r="AX732" s="73"/>
      <c r="AY732" s="73"/>
      <c r="AZ732" s="73"/>
      <c r="BA732" s="73"/>
      <c r="BB732" s="73"/>
      <c r="BC732" s="73"/>
      <c r="BD732" s="73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</row>
    <row r="733" ht="15.75" customHeight="1">
      <c r="A733" s="56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21"/>
      <c r="AX733" s="73"/>
      <c r="AY733" s="73"/>
      <c r="AZ733" s="73"/>
      <c r="BA733" s="73"/>
      <c r="BB733" s="73"/>
      <c r="BC733" s="73"/>
      <c r="BD733" s="73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</row>
    <row r="734" ht="15.75" customHeight="1">
      <c r="A734" s="56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21"/>
      <c r="AX734" s="73"/>
      <c r="AY734" s="73"/>
      <c r="AZ734" s="73"/>
      <c r="BA734" s="73"/>
      <c r="BB734" s="73"/>
      <c r="BC734" s="73"/>
      <c r="BD734" s="73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</row>
    <row r="735" ht="15.75" customHeight="1">
      <c r="A735" s="56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21"/>
      <c r="AX735" s="73"/>
      <c r="AY735" s="73"/>
      <c r="AZ735" s="73"/>
      <c r="BA735" s="73"/>
      <c r="BB735" s="73"/>
      <c r="BC735" s="73"/>
      <c r="BD735" s="73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</row>
    <row r="736" ht="15.75" customHeight="1">
      <c r="A736" s="56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21"/>
      <c r="AX736" s="73"/>
      <c r="AY736" s="73"/>
      <c r="AZ736" s="73"/>
      <c r="BA736" s="73"/>
      <c r="BB736" s="73"/>
      <c r="BC736" s="73"/>
      <c r="BD736" s="73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</row>
    <row r="737" ht="15.75" customHeight="1">
      <c r="A737" s="56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21"/>
      <c r="AX737" s="73"/>
      <c r="AY737" s="73"/>
      <c r="AZ737" s="73"/>
      <c r="BA737" s="73"/>
      <c r="BB737" s="73"/>
      <c r="BC737" s="73"/>
      <c r="BD737" s="73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</row>
    <row r="738" ht="15.75" customHeight="1">
      <c r="A738" s="56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21"/>
      <c r="AX738" s="73"/>
      <c r="AY738" s="73"/>
      <c r="AZ738" s="73"/>
      <c r="BA738" s="73"/>
      <c r="BB738" s="73"/>
      <c r="BC738" s="73"/>
      <c r="BD738" s="73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</row>
    <row r="739" ht="15.75" customHeight="1">
      <c r="A739" s="56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21"/>
      <c r="AX739" s="73"/>
      <c r="AY739" s="73"/>
      <c r="AZ739" s="73"/>
      <c r="BA739" s="73"/>
      <c r="BB739" s="73"/>
      <c r="BC739" s="73"/>
      <c r="BD739" s="73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</row>
    <row r="740" ht="15.75" customHeight="1">
      <c r="A740" s="56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21"/>
      <c r="AX740" s="73"/>
      <c r="AY740" s="73"/>
      <c r="AZ740" s="73"/>
      <c r="BA740" s="73"/>
      <c r="BB740" s="73"/>
      <c r="BC740" s="73"/>
      <c r="BD740" s="73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</row>
    <row r="741" ht="15.75" customHeight="1">
      <c r="A741" s="56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21"/>
      <c r="AX741" s="73"/>
      <c r="AY741" s="73"/>
      <c r="AZ741" s="73"/>
      <c r="BA741" s="73"/>
      <c r="BB741" s="73"/>
      <c r="BC741" s="73"/>
      <c r="BD741" s="73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</row>
    <row r="742" ht="15.75" customHeight="1">
      <c r="A742" s="56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21"/>
      <c r="AX742" s="73"/>
      <c r="AY742" s="73"/>
      <c r="AZ742" s="73"/>
      <c r="BA742" s="73"/>
      <c r="BB742" s="73"/>
      <c r="BC742" s="73"/>
      <c r="BD742" s="73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</row>
    <row r="743" ht="15.75" customHeight="1">
      <c r="A743" s="56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21"/>
      <c r="AX743" s="73"/>
      <c r="AY743" s="73"/>
      <c r="AZ743" s="73"/>
      <c r="BA743" s="73"/>
      <c r="BB743" s="73"/>
      <c r="BC743" s="73"/>
      <c r="BD743" s="73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</row>
    <row r="744" ht="15.75" customHeight="1">
      <c r="A744" s="56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21"/>
      <c r="AX744" s="73"/>
      <c r="AY744" s="73"/>
      <c r="AZ744" s="73"/>
      <c r="BA744" s="73"/>
      <c r="BB744" s="73"/>
      <c r="BC744" s="73"/>
      <c r="BD744" s="73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</row>
    <row r="745" ht="15.75" customHeight="1">
      <c r="A745" s="56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21"/>
      <c r="AX745" s="73"/>
      <c r="AY745" s="73"/>
      <c r="AZ745" s="73"/>
      <c r="BA745" s="73"/>
      <c r="BB745" s="73"/>
      <c r="BC745" s="73"/>
      <c r="BD745" s="73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</row>
    <row r="746" ht="15.75" customHeight="1">
      <c r="A746" s="56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21"/>
      <c r="AX746" s="73"/>
      <c r="AY746" s="73"/>
      <c r="AZ746" s="73"/>
      <c r="BA746" s="73"/>
      <c r="BB746" s="73"/>
      <c r="BC746" s="73"/>
      <c r="BD746" s="73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</row>
    <row r="747" ht="15.75" customHeight="1">
      <c r="A747" s="56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21"/>
      <c r="AX747" s="73"/>
      <c r="AY747" s="73"/>
      <c r="AZ747" s="73"/>
      <c r="BA747" s="73"/>
      <c r="BB747" s="73"/>
      <c r="BC747" s="73"/>
      <c r="BD747" s="73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</row>
    <row r="748" ht="15.75" customHeight="1">
      <c r="A748" s="56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21"/>
      <c r="AX748" s="73"/>
      <c r="AY748" s="73"/>
      <c r="AZ748" s="73"/>
      <c r="BA748" s="73"/>
      <c r="BB748" s="73"/>
      <c r="BC748" s="73"/>
      <c r="BD748" s="73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</row>
    <row r="749" ht="15.75" customHeight="1">
      <c r="A749" s="56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21"/>
      <c r="AX749" s="73"/>
      <c r="AY749" s="73"/>
      <c r="AZ749" s="73"/>
      <c r="BA749" s="73"/>
      <c r="BB749" s="73"/>
      <c r="BC749" s="73"/>
      <c r="BD749" s="73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</row>
    <row r="750" ht="15.75" customHeight="1">
      <c r="A750" s="56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21"/>
      <c r="AX750" s="73"/>
      <c r="AY750" s="73"/>
      <c r="AZ750" s="73"/>
      <c r="BA750" s="73"/>
      <c r="BB750" s="73"/>
      <c r="BC750" s="73"/>
      <c r="BD750" s="73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</row>
    <row r="751" ht="15.75" customHeight="1">
      <c r="A751" s="56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21"/>
      <c r="AX751" s="73"/>
      <c r="AY751" s="73"/>
      <c r="AZ751" s="73"/>
      <c r="BA751" s="73"/>
      <c r="BB751" s="73"/>
      <c r="BC751" s="73"/>
      <c r="BD751" s="73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</row>
    <row r="752" ht="15.75" customHeight="1">
      <c r="A752" s="56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21"/>
      <c r="AX752" s="73"/>
      <c r="AY752" s="73"/>
      <c r="AZ752" s="73"/>
      <c r="BA752" s="73"/>
      <c r="BB752" s="73"/>
      <c r="BC752" s="73"/>
      <c r="BD752" s="73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</row>
    <row r="753" ht="15.75" customHeight="1">
      <c r="A753" s="56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21"/>
      <c r="AX753" s="73"/>
      <c r="AY753" s="73"/>
      <c r="AZ753" s="73"/>
      <c r="BA753" s="73"/>
      <c r="BB753" s="73"/>
      <c r="BC753" s="73"/>
      <c r="BD753" s="73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</row>
    <row r="754" ht="15.75" customHeight="1">
      <c r="A754" s="56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21"/>
      <c r="AX754" s="73"/>
      <c r="AY754" s="73"/>
      <c r="AZ754" s="73"/>
      <c r="BA754" s="73"/>
      <c r="BB754" s="73"/>
      <c r="BC754" s="73"/>
      <c r="BD754" s="73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</row>
    <row r="755" ht="15.75" customHeight="1">
      <c r="A755" s="56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21"/>
      <c r="AX755" s="73"/>
      <c r="AY755" s="73"/>
      <c r="AZ755" s="73"/>
      <c r="BA755" s="73"/>
      <c r="BB755" s="73"/>
      <c r="BC755" s="73"/>
      <c r="BD755" s="73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</row>
    <row r="756" ht="15.75" customHeight="1">
      <c r="A756" s="56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21"/>
      <c r="AX756" s="73"/>
      <c r="AY756" s="73"/>
      <c r="AZ756" s="73"/>
      <c r="BA756" s="73"/>
      <c r="BB756" s="73"/>
      <c r="BC756" s="73"/>
      <c r="BD756" s="73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</row>
    <row r="757" ht="15.75" customHeight="1">
      <c r="A757" s="56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21"/>
      <c r="AX757" s="73"/>
      <c r="AY757" s="73"/>
      <c r="AZ757" s="73"/>
      <c r="BA757" s="73"/>
      <c r="BB757" s="73"/>
      <c r="BC757" s="73"/>
      <c r="BD757" s="73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</row>
    <row r="758" ht="15.75" customHeight="1">
      <c r="A758" s="56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21"/>
      <c r="AX758" s="73"/>
      <c r="AY758" s="73"/>
      <c r="AZ758" s="73"/>
      <c r="BA758" s="73"/>
      <c r="BB758" s="73"/>
      <c r="BC758" s="73"/>
      <c r="BD758" s="73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</row>
    <row r="759" ht="15.75" customHeight="1">
      <c r="A759" s="56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21"/>
      <c r="AX759" s="73"/>
      <c r="AY759" s="73"/>
      <c r="AZ759" s="73"/>
      <c r="BA759" s="73"/>
      <c r="BB759" s="73"/>
      <c r="BC759" s="73"/>
      <c r="BD759" s="73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</row>
    <row r="760" ht="15.75" customHeight="1">
      <c r="A760" s="56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21"/>
      <c r="AX760" s="73"/>
      <c r="AY760" s="73"/>
      <c r="AZ760" s="73"/>
      <c r="BA760" s="73"/>
      <c r="BB760" s="73"/>
      <c r="BC760" s="73"/>
      <c r="BD760" s="73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</row>
    <row r="761" ht="15.75" customHeight="1">
      <c r="A761" s="56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21"/>
      <c r="AX761" s="73"/>
      <c r="AY761" s="73"/>
      <c r="AZ761" s="73"/>
      <c r="BA761" s="73"/>
      <c r="BB761" s="73"/>
      <c r="BC761" s="73"/>
      <c r="BD761" s="73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</row>
    <row r="762" ht="15.75" customHeight="1">
      <c r="A762" s="56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21"/>
      <c r="AX762" s="73"/>
      <c r="AY762" s="73"/>
      <c r="AZ762" s="73"/>
      <c r="BA762" s="73"/>
      <c r="BB762" s="73"/>
      <c r="BC762" s="73"/>
      <c r="BD762" s="73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</row>
    <row r="763" ht="15.75" customHeight="1">
      <c r="A763" s="56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21"/>
      <c r="AX763" s="73"/>
      <c r="AY763" s="73"/>
      <c r="AZ763" s="73"/>
      <c r="BA763" s="73"/>
      <c r="BB763" s="73"/>
      <c r="BC763" s="73"/>
      <c r="BD763" s="73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</row>
    <row r="764" ht="15.75" customHeight="1">
      <c r="A764" s="56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21"/>
      <c r="AX764" s="73"/>
      <c r="AY764" s="73"/>
      <c r="AZ764" s="73"/>
      <c r="BA764" s="73"/>
      <c r="BB764" s="73"/>
      <c r="BC764" s="73"/>
      <c r="BD764" s="73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</row>
    <row r="765" ht="15.75" customHeight="1">
      <c r="A765" s="56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21"/>
      <c r="AX765" s="73"/>
      <c r="AY765" s="73"/>
      <c r="AZ765" s="73"/>
      <c r="BA765" s="73"/>
      <c r="BB765" s="73"/>
      <c r="BC765" s="73"/>
      <c r="BD765" s="73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</row>
    <row r="766" ht="15.75" customHeight="1">
      <c r="A766" s="56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21"/>
      <c r="AX766" s="73"/>
      <c r="AY766" s="73"/>
      <c r="AZ766" s="73"/>
      <c r="BA766" s="73"/>
      <c r="BB766" s="73"/>
      <c r="BC766" s="73"/>
      <c r="BD766" s="73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</row>
    <row r="767" ht="15.75" customHeight="1">
      <c r="A767" s="56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21"/>
      <c r="AX767" s="73"/>
      <c r="AY767" s="73"/>
      <c r="AZ767" s="73"/>
      <c r="BA767" s="73"/>
      <c r="BB767" s="73"/>
      <c r="BC767" s="73"/>
      <c r="BD767" s="73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</row>
    <row r="768" ht="15.75" customHeight="1">
      <c r="A768" s="56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21"/>
      <c r="AX768" s="73"/>
      <c r="AY768" s="73"/>
      <c r="AZ768" s="73"/>
      <c r="BA768" s="73"/>
      <c r="BB768" s="73"/>
      <c r="BC768" s="73"/>
      <c r="BD768" s="73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</row>
    <row r="769" ht="15.75" customHeight="1">
      <c r="A769" s="56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21"/>
      <c r="AX769" s="73"/>
      <c r="AY769" s="73"/>
      <c r="AZ769" s="73"/>
      <c r="BA769" s="73"/>
      <c r="BB769" s="73"/>
      <c r="BC769" s="73"/>
      <c r="BD769" s="73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</row>
    <row r="770" ht="15.75" customHeight="1">
      <c r="A770" s="56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21"/>
      <c r="AX770" s="73"/>
      <c r="AY770" s="73"/>
      <c r="AZ770" s="73"/>
      <c r="BA770" s="73"/>
      <c r="BB770" s="73"/>
      <c r="BC770" s="73"/>
      <c r="BD770" s="73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</row>
    <row r="771" ht="15.75" customHeight="1">
      <c r="A771" s="56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21"/>
      <c r="AX771" s="73"/>
      <c r="AY771" s="73"/>
      <c r="AZ771" s="73"/>
      <c r="BA771" s="73"/>
      <c r="BB771" s="73"/>
      <c r="BC771" s="73"/>
      <c r="BD771" s="73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</row>
    <row r="772" ht="15.75" customHeight="1">
      <c r="A772" s="56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21"/>
      <c r="AX772" s="73"/>
      <c r="AY772" s="73"/>
      <c r="AZ772" s="73"/>
      <c r="BA772" s="73"/>
      <c r="BB772" s="73"/>
      <c r="BC772" s="73"/>
      <c r="BD772" s="73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</row>
    <row r="773" ht="15.75" customHeight="1">
      <c r="A773" s="56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21"/>
      <c r="AX773" s="73"/>
      <c r="AY773" s="73"/>
      <c r="AZ773" s="73"/>
      <c r="BA773" s="73"/>
      <c r="BB773" s="73"/>
      <c r="BC773" s="73"/>
      <c r="BD773" s="73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</row>
    <row r="774" ht="15.75" customHeight="1">
      <c r="A774" s="56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21"/>
      <c r="AX774" s="73"/>
      <c r="AY774" s="73"/>
      <c r="AZ774" s="73"/>
      <c r="BA774" s="73"/>
      <c r="BB774" s="73"/>
      <c r="BC774" s="73"/>
      <c r="BD774" s="73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</row>
    <row r="775" ht="15.75" customHeight="1">
      <c r="A775" s="56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21"/>
      <c r="AX775" s="73"/>
      <c r="AY775" s="73"/>
      <c r="AZ775" s="73"/>
      <c r="BA775" s="73"/>
      <c r="BB775" s="73"/>
      <c r="BC775" s="73"/>
      <c r="BD775" s="73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</row>
    <row r="776" ht="15.75" customHeight="1">
      <c r="A776" s="56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21"/>
      <c r="AX776" s="73"/>
      <c r="AY776" s="73"/>
      <c r="AZ776" s="73"/>
      <c r="BA776" s="73"/>
      <c r="BB776" s="73"/>
      <c r="BC776" s="73"/>
      <c r="BD776" s="73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</row>
    <row r="777" ht="15.75" customHeight="1">
      <c r="A777" s="56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21"/>
      <c r="AX777" s="73"/>
      <c r="AY777" s="73"/>
      <c r="AZ777" s="73"/>
      <c r="BA777" s="73"/>
      <c r="BB777" s="73"/>
      <c r="BC777" s="73"/>
      <c r="BD777" s="73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</row>
    <row r="778" ht="15.75" customHeight="1">
      <c r="A778" s="56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21"/>
      <c r="AX778" s="73"/>
      <c r="AY778" s="73"/>
      <c r="AZ778" s="73"/>
      <c r="BA778" s="73"/>
      <c r="BB778" s="73"/>
      <c r="BC778" s="73"/>
      <c r="BD778" s="73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/>
      <c r="BU778" s="21"/>
      <c r="BV778" s="21"/>
      <c r="BW778" s="21"/>
      <c r="BX778" s="21"/>
      <c r="BY778" s="21"/>
      <c r="BZ778" s="21"/>
    </row>
    <row r="779" ht="15.75" customHeight="1">
      <c r="A779" s="56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21"/>
      <c r="AX779" s="73"/>
      <c r="AY779" s="73"/>
      <c r="AZ779" s="73"/>
      <c r="BA779" s="73"/>
      <c r="BB779" s="73"/>
      <c r="BC779" s="73"/>
      <c r="BD779" s="73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</row>
    <row r="780" ht="15.75" customHeight="1">
      <c r="A780" s="56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21"/>
      <c r="AX780" s="73"/>
      <c r="AY780" s="73"/>
      <c r="AZ780" s="73"/>
      <c r="BA780" s="73"/>
      <c r="BB780" s="73"/>
      <c r="BC780" s="73"/>
      <c r="BD780" s="73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</row>
    <row r="781" ht="15.75" customHeight="1">
      <c r="A781" s="56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21"/>
      <c r="AX781" s="73"/>
      <c r="AY781" s="73"/>
      <c r="AZ781" s="73"/>
      <c r="BA781" s="73"/>
      <c r="BB781" s="73"/>
      <c r="BC781" s="73"/>
      <c r="BD781" s="73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</row>
    <row r="782" ht="15.75" customHeight="1">
      <c r="A782" s="56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21"/>
      <c r="AX782" s="73"/>
      <c r="AY782" s="73"/>
      <c r="AZ782" s="73"/>
      <c r="BA782" s="73"/>
      <c r="BB782" s="73"/>
      <c r="BC782" s="73"/>
      <c r="BD782" s="73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</row>
    <row r="783" ht="15.75" customHeight="1">
      <c r="A783" s="56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21"/>
      <c r="AX783" s="73"/>
      <c r="AY783" s="73"/>
      <c r="AZ783" s="73"/>
      <c r="BA783" s="73"/>
      <c r="BB783" s="73"/>
      <c r="BC783" s="73"/>
      <c r="BD783" s="73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</row>
    <row r="784" ht="15.75" customHeight="1">
      <c r="A784" s="56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21"/>
      <c r="AX784" s="73"/>
      <c r="AY784" s="73"/>
      <c r="AZ784" s="73"/>
      <c r="BA784" s="73"/>
      <c r="BB784" s="73"/>
      <c r="BC784" s="73"/>
      <c r="BD784" s="73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</row>
    <row r="785" ht="15.75" customHeight="1">
      <c r="A785" s="56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21"/>
      <c r="AX785" s="73"/>
      <c r="AY785" s="73"/>
      <c r="AZ785" s="73"/>
      <c r="BA785" s="73"/>
      <c r="BB785" s="73"/>
      <c r="BC785" s="73"/>
      <c r="BD785" s="73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</row>
    <row r="786" ht="15.75" customHeight="1">
      <c r="A786" s="56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21"/>
      <c r="AX786" s="73"/>
      <c r="AY786" s="73"/>
      <c r="AZ786" s="73"/>
      <c r="BA786" s="73"/>
      <c r="BB786" s="73"/>
      <c r="BC786" s="73"/>
      <c r="BD786" s="73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</row>
    <row r="787" ht="15.75" customHeight="1">
      <c r="A787" s="56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21"/>
      <c r="AX787" s="73"/>
      <c r="AY787" s="73"/>
      <c r="AZ787" s="73"/>
      <c r="BA787" s="73"/>
      <c r="BB787" s="73"/>
      <c r="BC787" s="73"/>
      <c r="BD787" s="73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</row>
    <row r="788" ht="15.75" customHeight="1">
      <c r="A788" s="56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21"/>
      <c r="AX788" s="73"/>
      <c r="AY788" s="73"/>
      <c r="AZ788" s="73"/>
      <c r="BA788" s="73"/>
      <c r="BB788" s="73"/>
      <c r="BC788" s="73"/>
      <c r="BD788" s="73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</row>
    <row r="789" ht="15.75" customHeight="1">
      <c r="A789" s="56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21"/>
      <c r="AX789" s="73"/>
      <c r="AY789" s="73"/>
      <c r="AZ789" s="73"/>
      <c r="BA789" s="73"/>
      <c r="BB789" s="73"/>
      <c r="BC789" s="73"/>
      <c r="BD789" s="73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</row>
    <row r="790" ht="15.75" customHeight="1">
      <c r="A790" s="56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21"/>
      <c r="AX790" s="73"/>
      <c r="AY790" s="73"/>
      <c r="AZ790" s="73"/>
      <c r="BA790" s="73"/>
      <c r="BB790" s="73"/>
      <c r="BC790" s="73"/>
      <c r="BD790" s="73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</row>
    <row r="791" ht="15.75" customHeight="1">
      <c r="A791" s="56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21"/>
      <c r="AX791" s="73"/>
      <c r="AY791" s="73"/>
      <c r="AZ791" s="73"/>
      <c r="BA791" s="73"/>
      <c r="BB791" s="73"/>
      <c r="BC791" s="73"/>
      <c r="BD791" s="73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</row>
    <row r="792" ht="15.75" customHeight="1">
      <c r="A792" s="56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21"/>
      <c r="AX792" s="73"/>
      <c r="AY792" s="73"/>
      <c r="AZ792" s="73"/>
      <c r="BA792" s="73"/>
      <c r="BB792" s="73"/>
      <c r="BC792" s="73"/>
      <c r="BD792" s="73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</row>
    <row r="793" ht="15.75" customHeight="1">
      <c r="A793" s="56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21"/>
      <c r="AX793" s="73"/>
      <c r="AY793" s="73"/>
      <c r="AZ793" s="73"/>
      <c r="BA793" s="73"/>
      <c r="BB793" s="73"/>
      <c r="BC793" s="73"/>
      <c r="BD793" s="73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</row>
    <row r="794" ht="15.75" customHeight="1">
      <c r="A794" s="56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21"/>
      <c r="AX794" s="73"/>
      <c r="AY794" s="73"/>
      <c r="AZ794" s="73"/>
      <c r="BA794" s="73"/>
      <c r="BB794" s="73"/>
      <c r="BC794" s="73"/>
      <c r="BD794" s="73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</row>
    <row r="795" ht="15.75" customHeight="1">
      <c r="A795" s="56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21"/>
      <c r="AX795" s="73"/>
      <c r="AY795" s="73"/>
      <c r="AZ795" s="73"/>
      <c r="BA795" s="73"/>
      <c r="BB795" s="73"/>
      <c r="BC795" s="73"/>
      <c r="BD795" s="73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</row>
    <row r="796" ht="15.75" customHeight="1">
      <c r="A796" s="56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21"/>
      <c r="AX796" s="73"/>
      <c r="AY796" s="73"/>
      <c r="AZ796" s="73"/>
      <c r="BA796" s="73"/>
      <c r="BB796" s="73"/>
      <c r="BC796" s="73"/>
      <c r="BD796" s="73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</row>
    <row r="797" ht="15.75" customHeight="1">
      <c r="A797" s="56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21"/>
      <c r="AX797" s="73"/>
      <c r="AY797" s="73"/>
      <c r="AZ797" s="73"/>
      <c r="BA797" s="73"/>
      <c r="BB797" s="73"/>
      <c r="BC797" s="73"/>
      <c r="BD797" s="73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</row>
    <row r="798" ht="15.75" customHeight="1">
      <c r="A798" s="56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21"/>
      <c r="AX798" s="73"/>
      <c r="AY798" s="73"/>
      <c r="AZ798" s="73"/>
      <c r="BA798" s="73"/>
      <c r="BB798" s="73"/>
      <c r="BC798" s="73"/>
      <c r="BD798" s="73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</row>
    <row r="799" ht="15.75" customHeight="1">
      <c r="A799" s="56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21"/>
      <c r="AX799" s="73"/>
      <c r="AY799" s="73"/>
      <c r="AZ799" s="73"/>
      <c r="BA799" s="73"/>
      <c r="BB799" s="73"/>
      <c r="BC799" s="73"/>
      <c r="BD799" s="73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</row>
    <row r="800" ht="15.75" customHeight="1">
      <c r="A800" s="56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21"/>
      <c r="AX800" s="73"/>
      <c r="AY800" s="73"/>
      <c r="AZ800" s="73"/>
      <c r="BA800" s="73"/>
      <c r="BB800" s="73"/>
      <c r="BC800" s="73"/>
      <c r="BD800" s="73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</row>
    <row r="801" ht="15.75" customHeight="1">
      <c r="A801" s="56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21"/>
      <c r="AX801" s="73"/>
      <c r="AY801" s="73"/>
      <c r="AZ801" s="73"/>
      <c r="BA801" s="73"/>
      <c r="BB801" s="73"/>
      <c r="BC801" s="73"/>
      <c r="BD801" s="73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</row>
    <row r="802" ht="15.75" customHeight="1">
      <c r="A802" s="56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21"/>
      <c r="AX802" s="73"/>
      <c r="AY802" s="73"/>
      <c r="AZ802" s="73"/>
      <c r="BA802" s="73"/>
      <c r="BB802" s="73"/>
      <c r="BC802" s="73"/>
      <c r="BD802" s="73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</row>
    <row r="803" ht="15.75" customHeight="1">
      <c r="A803" s="56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21"/>
      <c r="AX803" s="73"/>
      <c r="AY803" s="73"/>
      <c r="AZ803" s="73"/>
      <c r="BA803" s="73"/>
      <c r="BB803" s="73"/>
      <c r="BC803" s="73"/>
      <c r="BD803" s="73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</row>
    <row r="804" ht="15.75" customHeight="1">
      <c r="A804" s="56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21"/>
      <c r="AX804" s="73"/>
      <c r="AY804" s="73"/>
      <c r="AZ804" s="73"/>
      <c r="BA804" s="73"/>
      <c r="BB804" s="73"/>
      <c r="BC804" s="73"/>
      <c r="BD804" s="73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</row>
    <row r="805" ht="15.75" customHeight="1">
      <c r="A805" s="56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21"/>
      <c r="AX805" s="73"/>
      <c r="AY805" s="73"/>
      <c r="AZ805" s="73"/>
      <c r="BA805" s="73"/>
      <c r="BB805" s="73"/>
      <c r="BC805" s="73"/>
      <c r="BD805" s="73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</row>
    <row r="806" ht="15.75" customHeight="1">
      <c r="A806" s="56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21"/>
      <c r="AX806" s="73"/>
      <c r="AY806" s="73"/>
      <c r="AZ806" s="73"/>
      <c r="BA806" s="73"/>
      <c r="BB806" s="73"/>
      <c r="BC806" s="73"/>
      <c r="BD806" s="73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</row>
    <row r="807" ht="15.75" customHeight="1">
      <c r="A807" s="56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21"/>
      <c r="AX807" s="73"/>
      <c r="AY807" s="73"/>
      <c r="AZ807" s="73"/>
      <c r="BA807" s="73"/>
      <c r="BB807" s="73"/>
      <c r="BC807" s="73"/>
      <c r="BD807" s="73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</row>
    <row r="808" ht="15.75" customHeight="1">
      <c r="A808" s="56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21"/>
      <c r="AX808" s="73"/>
      <c r="AY808" s="73"/>
      <c r="AZ808" s="73"/>
      <c r="BA808" s="73"/>
      <c r="BB808" s="73"/>
      <c r="BC808" s="73"/>
      <c r="BD808" s="73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</row>
    <row r="809" ht="15.75" customHeight="1">
      <c r="A809" s="56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21"/>
      <c r="AX809" s="73"/>
      <c r="AY809" s="73"/>
      <c r="AZ809" s="73"/>
      <c r="BA809" s="73"/>
      <c r="BB809" s="73"/>
      <c r="BC809" s="73"/>
      <c r="BD809" s="73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</row>
    <row r="810" ht="15.75" customHeight="1">
      <c r="A810" s="56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21"/>
      <c r="AX810" s="73"/>
      <c r="AY810" s="73"/>
      <c r="AZ810" s="73"/>
      <c r="BA810" s="73"/>
      <c r="BB810" s="73"/>
      <c r="BC810" s="73"/>
      <c r="BD810" s="73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</row>
    <row r="811" ht="15.75" customHeight="1">
      <c r="A811" s="56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21"/>
      <c r="AX811" s="73"/>
      <c r="AY811" s="73"/>
      <c r="AZ811" s="73"/>
      <c r="BA811" s="73"/>
      <c r="BB811" s="73"/>
      <c r="BC811" s="73"/>
      <c r="BD811" s="73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</row>
    <row r="812" ht="15.75" customHeight="1">
      <c r="A812" s="56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21"/>
      <c r="AX812" s="73"/>
      <c r="AY812" s="73"/>
      <c r="AZ812" s="73"/>
      <c r="BA812" s="73"/>
      <c r="BB812" s="73"/>
      <c r="BC812" s="73"/>
      <c r="BD812" s="73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</row>
    <row r="813" ht="15.75" customHeight="1">
      <c r="A813" s="56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21"/>
      <c r="AX813" s="73"/>
      <c r="AY813" s="73"/>
      <c r="AZ813" s="73"/>
      <c r="BA813" s="73"/>
      <c r="BB813" s="73"/>
      <c r="BC813" s="73"/>
      <c r="BD813" s="73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</row>
    <row r="814" ht="15.75" customHeight="1">
      <c r="A814" s="56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21"/>
      <c r="AX814" s="73"/>
      <c r="AY814" s="73"/>
      <c r="AZ814" s="73"/>
      <c r="BA814" s="73"/>
      <c r="BB814" s="73"/>
      <c r="BC814" s="73"/>
      <c r="BD814" s="73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</row>
    <row r="815" ht="15.75" customHeight="1">
      <c r="A815" s="56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21"/>
      <c r="AX815" s="73"/>
      <c r="AY815" s="73"/>
      <c r="AZ815" s="73"/>
      <c r="BA815" s="73"/>
      <c r="BB815" s="73"/>
      <c r="BC815" s="73"/>
      <c r="BD815" s="73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</row>
    <row r="816" ht="15.75" customHeight="1">
      <c r="A816" s="56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21"/>
      <c r="AX816" s="73"/>
      <c r="AY816" s="73"/>
      <c r="AZ816" s="73"/>
      <c r="BA816" s="73"/>
      <c r="BB816" s="73"/>
      <c r="BC816" s="73"/>
      <c r="BD816" s="73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</row>
    <row r="817" ht="15.75" customHeight="1">
      <c r="A817" s="56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21"/>
      <c r="AX817" s="73"/>
      <c r="AY817" s="73"/>
      <c r="AZ817" s="73"/>
      <c r="BA817" s="73"/>
      <c r="BB817" s="73"/>
      <c r="BC817" s="73"/>
      <c r="BD817" s="73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</row>
    <row r="818" ht="15.75" customHeight="1">
      <c r="A818" s="56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21"/>
      <c r="AX818" s="73"/>
      <c r="AY818" s="73"/>
      <c r="AZ818" s="73"/>
      <c r="BA818" s="73"/>
      <c r="BB818" s="73"/>
      <c r="BC818" s="73"/>
      <c r="BD818" s="73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</row>
    <row r="819" ht="15.75" customHeight="1">
      <c r="A819" s="56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21"/>
      <c r="AX819" s="73"/>
      <c r="AY819" s="73"/>
      <c r="AZ819" s="73"/>
      <c r="BA819" s="73"/>
      <c r="BB819" s="73"/>
      <c r="BC819" s="73"/>
      <c r="BD819" s="73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</row>
    <row r="820" ht="15.75" customHeight="1">
      <c r="A820" s="56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21"/>
      <c r="AX820" s="73"/>
      <c r="AY820" s="73"/>
      <c r="AZ820" s="73"/>
      <c r="BA820" s="73"/>
      <c r="BB820" s="73"/>
      <c r="BC820" s="73"/>
      <c r="BD820" s="73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</row>
    <row r="821" ht="15.75" customHeight="1">
      <c r="A821" s="56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21"/>
      <c r="AX821" s="73"/>
      <c r="AY821" s="73"/>
      <c r="AZ821" s="73"/>
      <c r="BA821" s="73"/>
      <c r="BB821" s="73"/>
      <c r="BC821" s="73"/>
      <c r="BD821" s="73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</row>
    <row r="822" ht="15.75" customHeight="1">
      <c r="A822" s="56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21"/>
      <c r="AX822" s="73"/>
      <c r="AY822" s="73"/>
      <c r="AZ822" s="73"/>
      <c r="BA822" s="73"/>
      <c r="BB822" s="73"/>
      <c r="BC822" s="73"/>
      <c r="BD822" s="73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</row>
    <row r="823" ht="15.75" customHeight="1">
      <c r="A823" s="56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21"/>
      <c r="AX823" s="73"/>
      <c r="AY823" s="73"/>
      <c r="AZ823" s="73"/>
      <c r="BA823" s="73"/>
      <c r="BB823" s="73"/>
      <c r="BC823" s="73"/>
      <c r="BD823" s="73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</row>
    <row r="824" ht="15.75" customHeight="1">
      <c r="A824" s="56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21"/>
      <c r="AX824" s="73"/>
      <c r="AY824" s="73"/>
      <c r="AZ824" s="73"/>
      <c r="BA824" s="73"/>
      <c r="BB824" s="73"/>
      <c r="BC824" s="73"/>
      <c r="BD824" s="73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</row>
    <row r="825" ht="15.75" customHeight="1">
      <c r="A825" s="56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21"/>
      <c r="AX825" s="73"/>
      <c r="AY825" s="73"/>
      <c r="AZ825" s="73"/>
      <c r="BA825" s="73"/>
      <c r="BB825" s="73"/>
      <c r="BC825" s="73"/>
      <c r="BD825" s="73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</row>
    <row r="826" ht="15.75" customHeight="1">
      <c r="A826" s="56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21"/>
      <c r="AX826" s="73"/>
      <c r="AY826" s="73"/>
      <c r="AZ826" s="73"/>
      <c r="BA826" s="73"/>
      <c r="BB826" s="73"/>
      <c r="BC826" s="73"/>
      <c r="BD826" s="73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</row>
    <row r="827" ht="15.75" customHeight="1">
      <c r="A827" s="56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21"/>
      <c r="AX827" s="73"/>
      <c r="AY827" s="73"/>
      <c r="AZ827" s="73"/>
      <c r="BA827" s="73"/>
      <c r="BB827" s="73"/>
      <c r="BC827" s="73"/>
      <c r="BD827" s="73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</row>
    <row r="828" ht="15.75" customHeight="1">
      <c r="A828" s="56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21"/>
      <c r="AX828" s="73"/>
      <c r="AY828" s="73"/>
      <c r="AZ828" s="73"/>
      <c r="BA828" s="73"/>
      <c r="BB828" s="73"/>
      <c r="BC828" s="73"/>
      <c r="BD828" s="73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</row>
    <row r="829" ht="15.75" customHeight="1">
      <c r="A829" s="56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21"/>
      <c r="AX829" s="73"/>
      <c r="AY829" s="73"/>
      <c r="AZ829" s="73"/>
      <c r="BA829" s="73"/>
      <c r="BB829" s="73"/>
      <c r="BC829" s="73"/>
      <c r="BD829" s="73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</row>
    <row r="830" ht="15.75" customHeight="1">
      <c r="A830" s="56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21"/>
      <c r="AX830" s="73"/>
      <c r="AY830" s="73"/>
      <c r="AZ830" s="73"/>
      <c r="BA830" s="73"/>
      <c r="BB830" s="73"/>
      <c r="BC830" s="73"/>
      <c r="BD830" s="73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</row>
    <row r="831" ht="15.75" customHeight="1">
      <c r="A831" s="56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21"/>
      <c r="AX831" s="73"/>
      <c r="AY831" s="73"/>
      <c r="AZ831" s="73"/>
      <c r="BA831" s="73"/>
      <c r="BB831" s="73"/>
      <c r="BC831" s="73"/>
      <c r="BD831" s="73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</row>
    <row r="832" ht="15.75" customHeight="1">
      <c r="A832" s="56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21"/>
      <c r="AX832" s="73"/>
      <c r="AY832" s="73"/>
      <c r="AZ832" s="73"/>
      <c r="BA832" s="73"/>
      <c r="BB832" s="73"/>
      <c r="BC832" s="73"/>
      <c r="BD832" s="73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</row>
    <row r="833" ht="15.75" customHeight="1">
      <c r="A833" s="56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21"/>
      <c r="AX833" s="73"/>
      <c r="AY833" s="73"/>
      <c r="AZ833" s="73"/>
      <c r="BA833" s="73"/>
      <c r="BB833" s="73"/>
      <c r="BC833" s="73"/>
      <c r="BD833" s="73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</row>
    <row r="834" ht="15.75" customHeight="1">
      <c r="A834" s="56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21"/>
      <c r="AX834" s="73"/>
      <c r="AY834" s="73"/>
      <c r="AZ834" s="73"/>
      <c r="BA834" s="73"/>
      <c r="BB834" s="73"/>
      <c r="BC834" s="73"/>
      <c r="BD834" s="73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</row>
    <row r="835" ht="15.75" customHeight="1">
      <c r="A835" s="56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21"/>
      <c r="AX835" s="73"/>
      <c r="AY835" s="73"/>
      <c r="AZ835" s="73"/>
      <c r="BA835" s="73"/>
      <c r="BB835" s="73"/>
      <c r="BC835" s="73"/>
      <c r="BD835" s="73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</row>
    <row r="836" ht="15.75" customHeight="1">
      <c r="A836" s="56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21"/>
      <c r="AX836" s="73"/>
      <c r="AY836" s="73"/>
      <c r="AZ836" s="73"/>
      <c r="BA836" s="73"/>
      <c r="BB836" s="73"/>
      <c r="BC836" s="73"/>
      <c r="BD836" s="73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</row>
    <row r="837" ht="15.75" customHeight="1">
      <c r="A837" s="56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21"/>
      <c r="AX837" s="73"/>
      <c r="AY837" s="73"/>
      <c r="AZ837" s="73"/>
      <c r="BA837" s="73"/>
      <c r="BB837" s="73"/>
      <c r="BC837" s="73"/>
      <c r="BD837" s="73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</row>
    <row r="838" ht="15.75" customHeight="1">
      <c r="A838" s="56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21"/>
      <c r="AX838" s="73"/>
      <c r="AY838" s="73"/>
      <c r="AZ838" s="73"/>
      <c r="BA838" s="73"/>
      <c r="BB838" s="73"/>
      <c r="BC838" s="73"/>
      <c r="BD838" s="73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</row>
    <row r="839" ht="15.75" customHeight="1">
      <c r="A839" s="56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21"/>
      <c r="AX839" s="73"/>
      <c r="AY839" s="73"/>
      <c r="AZ839" s="73"/>
      <c r="BA839" s="73"/>
      <c r="BB839" s="73"/>
      <c r="BC839" s="73"/>
      <c r="BD839" s="73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</row>
    <row r="840" ht="15.75" customHeight="1">
      <c r="A840" s="56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21"/>
      <c r="AX840" s="73"/>
      <c r="AY840" s="73"/>
      <c r="AZ840" s="73"/>
      <c r="BA840" s="73"/>
      <c r="BB840" s="73"/>
      <c r="BC840" s="73"/>
      <c r="BD840" s="73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</row>
    <row r="841" ht="15.75" customHeight="1">
      <c r="A841" s="56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21"/>
      <c r="AX841" s="73"/>
      <c r="AY841" s="73"/>
      <c r="AZ841" s="73"/>
      <c r="BA841" s="73"/>
      <c r="BB841" s="73"/>
      <c r="BC841" s="73"/>
      <c r="BD841" s="73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</row>
    <row r="842" ht="15.75" customHeight="1">
      <c r="A842" s="56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21"/>
      <c r="AX842" s="73"/>
      <c r="AY842" s="73"/>
      <c r="AZ842" s="73"/>
      <c r="BA842" s="73"/>
      <c r="BB842" s="73"/>
      <c r="BC842" s="73"/>
      <c r="BD842" s="73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</row>
    <row r="843" ht="15.75" customHeight="1">
      <c r="A843" s="56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21"/>
      <c r="AX843" s="73"/>
      <c r="AY843" s="73"/>
      <c r="AZ843" s="73"/>
      <c r="BA843" s="73"/>
      <c r="BB843" s="73"/>
      <c r="BC843" s="73"/>
      <c r="BD843" s="73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</row>
    <row r="844" ht="15.75" customHeight="1">
      <c r="A844" s="56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21"/>
      <c r="AX844" s="73"/>
      <c r="AY844" s="73"/>
      <c r="AZ844" s="73"/>
      <c r="BA844" s="73"/>
      <c r="BB844" s="73"/>
      <c r="BC844" s="73"/>
      <c r="BD844" s="73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</row>
    <row r="845" ht="15.75" customHeight="1">
      <c r="A845" s="56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21"/>
      <c r="AX845" s="73"/>
      <c r="AY845" s="73"/>
      <c r="AZ845" s="73"/>
      <c r="BA845" s="73"/>
      <c r="BB845" s="73"/>
      <c r="BC845" s="73"/>
      <c r="BD845" s="73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</row>
    <row r="846" ht="15.75" customHeight="1">
      <c r="A846" s="56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21"/>
      <c r="AX846" s="73"/>
      <c r="AY846" s="73"/>
      <c r="AZ846" s="73"/>
      <c r="BA846" s="73"/>
      <c r="BB846" s="73"/>
      <c r="BC846" s="73"/>
      <c r="BD846" s="73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</row>
    <row r="847" ht="15.75" customHeight="1">
      <c r="A847" s="56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21"/>
      <c r="AX847" s="73"/>
      <c r="AY847" s="73"/>
      <c r="AZ847" s="73"/>
      <c r="BA847" s="73"/>
      <c r="BB847" s="73"/>
      <c r="BC847" s="73"/>
      <c r="BD847" s="73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</row>
    <row r="848" ht="15.75" customHeight="1">
      <c r="A848" s="56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21"/>
      <c r="AX848" s="73"/>
      <c r="AY848" s="73"/>
      <c r="AZ848" s="73"/>
      <c r="BA848" s="73"/>
      <c r="BB848" s="73"/>
      <c r="BC848" s="73"/>
      <c r="BD848" s="73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</row>
    <row r="849" ht="15.75" customHeight="1">
      <c r="A849" s="56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21"/>
      <c r="AX849" s="73"/>
      <c r="AY849" s="73"/>
      <c r="AZ849" s="73"/>
      <c r="BA849" s="73"/>
      <c r="BB849" s="73"/>
      <c r="BC849" s="73"/>
      <c r="BD849" s="73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</row>
    <row r="850" ht="15.75" customHeight="1">
      <c r="A850" s="56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21"/>
      <c r="AX850" s="73"/>
      <c r="AY850" s="73"/>
      <c r="AZ850" s="73"/>
      <c r="BA850" s="73"/>
      <c r="BB850" s="73"/>
      <c r="BC850" s="73"/>
      <c r="BD850" s="73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</row>
    <row r="851" ht="15.75" customHeight="1">
      <c r="A851" s="56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21"/>
      <c r="AX851" s="73"/>
      <c r="AY851" s="73"/>
      <c r="AZ851" s="73"/>
      <c r="BA851" s="73"/>
      <c r="BB851" s="73"/>
      <c r="BC851" s="73"/>
      <c r="BD851" s="73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</row>
    <row r="852" ht="15.75" customHeight="1">
      <c r="A852" s="56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21"/>
      <c r="AX852" s="73"/>
      <c r="AY852" s="73"/>
      <c r="AZ852" s="73"/>
      <c r="BA852" s="73"/>
      <c r="BB852" s="73"/>
      <c r="BC852" s="73"/>
      <c r="BD852" s="73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</row>
    <row r="853" ht="15.75" customHeight="1">
      <c r="A853" s="56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21"/>
      <c r="AX853" s="73"/>
      <c r="AY853" s="73"/>
      <c r="AZ853" s="73"/>
      <c r="BA853" s="73"/>
      <c r="BB853" s="73"/>
      <c r="BC853" s="73"/>
      <c r="BD853" s="73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</row>
    <row r="854" ht="15.75" customHeight="1">
      <c r="A854" s="56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21"/>
      <c r="AX854" s="73"/>
      <c r="AY854" s="73"/>
      <c r="AZ854" s="73"/>
      <c r="BA854" s="73"/>
      <c r="BB854" s="73"/>
      <c r="BC854" s="73"/>
      <c r="BD854" s="73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</row>
    <row r="855" ht="15.75" customHeight="1">
      <c r="A855" s="56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21"/>
      <c r="AX855" s="73"/>
      <c r="AY855" s="73"/>
      <c r="AZ855" s="73"/>
      <c r="BA855" s="73"/>
      <c r="BB855" s="73"/>
      <c r="BC855" s="73"/>
      <c r="BD855" s="73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/>
    </row>
    <row r="856" ht="15.75" customHeight="1">
      <c r="A856" s="56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21"/>
      <c r="AX856" s="73"/>
      <c r="AY856" s="73"/>
      <c r="AZ856" s="73"/>
      <c r="BA856" s="73"/>
      <c r="BB856" s="73"/>
      <c r="BC856" s="73"/>
      <c r="BD856" s="73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</row>
    <row r="857" ht="15.75" customHeight="1">
      <c r="A857" s="56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21"/>
      <c r="AX857" s="73"/>
      <c r="AY857" s="73"/>
      <c r="AZ857" s="73"/>
      <c r="BA857" s="73"/>
      <c r="BB857" s="73"/>
      <c r="BC857" s="73"/>
      <c r="BD857" s="73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</row>
    <row r="858" ht="15.75" customHeight="1">
      <c r="A858" s="56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21"/>
      <c r="AX858" s="73"/>
      <c r="AY858" s="73"/>
      <c r="AZ858" s="73"/>
      <c r="BA858" s="73"/>
      <c r="BB858" s="73"/>
      <c r="BC858" s="73"/>
      <c r="BD858" s="73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</row>
    <row r="859" ht="15.75" customHeight="1">
      <c r="A859" s="56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21"/>
      <c r="AX859" s="73"/>
      <c r="AY859" s="73"/>
      <c r="AZ859" s="73"/>
      <c r="BA859" s="73"/>
      <c r="BB859" s="73"/>
      <c r="BC859" s="73"/>
      <c r="BD859" s="73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</row>
    <row r="860" ht="15.75" customHeight="1">
      <c r="A860" s="56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21"/>
      <c r="AX860" s="73"/>
      <c r="AY860" s="73"/>
      <c r="AZ860" s="73"/>
      <c r="BA860" s="73"/>
      <c r="BB860" s="73"/>
      <c r="BC860" s="73"/>
      <c r="BD860" s="73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</row>
    <row r="861" ht="15.75" customHeight="1">
      <c r="A861" s="56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21"/>
      <c r="AX861" s="73"/>
      <c r="AY861" s="73"/>
      <c r="AZ861" s="73"/>
      <c r="BA861" s="73"/>
      <c r="BB861" s="73"/>
      <c r="BC861" s="73"/>
      <c r="BD861" s="73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</row>
    <row r="862" ht="15.75" customHeight="1">
      <c r="A862" s="56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21"/>
      <c r="AX862" s="73"/>
      <c r="AY862" s="73"/>
      <c r="AZ862" s="73"/>
      <c r="BA862" s="73"/>
      <c r="BB862" s="73"/>
      <c r="BC862" s="73"/>
      <c r="BD862" s="73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</row>
    <row r="863" ht="15.75" customHeight="1">
      <c r="A863" s="56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21"/>
      <c r="AX863" s="73"/>
      <c r="AY863" s="73"/>
      <c r="AZ863" s="73"/>
      <c r="BA863" s="73"/>
      <c r="BB863" s="73"/>
      <c r="BC863" s="73"/>
      <c r="BD863" s="73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</row>
    <row r="864" ht="15.75" customHeight="1">
      <c r="A864" s="56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21"/>
      <c r="AX864" s="73"/>
      <c r="AY864" s="73"/>
      <c r="AZ864" s="73"/>
      <c r="BA864" s="73"/>
      <c r="BB864" s="73"/>
      <c r="BC864" s="73"/>
      <c r="BD864" s="73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</row>
    <row r="865" ht="15.75" customHeight="1">
      <c r="A865" s="56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21"/>
      <c r="AX865" s="73"/>
      <c r="AY865" s="73"/>
      <c r="AZ865" s="73"/>
      <c r="BA865" s="73"/>
      <c r="BB865" s="73"/>
      <c r="BC865" s="73"/>
      <c r="BD865" s="73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</row>
    <row r="866" ht="15.75" customHeight="1">
      <c r="A866" s="56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21"/>
      <c r="AX866" s="73"/>
      <c r="AY866" s="73"/>
      <c r="AZ866" s="73"/>
      <c r="BA866" s="73"/>
      <c r="BB866" s="73"/>
      <c r="BC866" s="73"/>
      <c r="BD866" s="73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</row>
    <row r="867" ht="15.75" customHeight="1">
      <c r="A867" s="56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21"/>
      <c r="AX867" s="73"/>
      <c r="AY867" s="73"/>
      <c r="AZ867" s="73"/>
      <c r="BA867" s="73"/>
      <c r="BB867" s="73"/>
      <c r="BC867" s="73"/>
      <c r="BD867" s="73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</row>
    <row r="868" ht="15.75" customHeight="1">
      <c r="A868" s="56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21"/>
      <c r="AX868" s="73"/>
      <c r="AY868" s="73"/>
      <c r="AZ868" s="73"/>
      <c r="BA868" s="73"/>
      <c r="BB868" s="73"/>
      <c r="BC868" s="73"/>
      <c r="BD868" s="73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</row>
    <row r="869" ht="15.75" customHeight="1">
      <c r="A869" s="56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21"/>
      <c r="AX869" s="73"/>
      <c r="AY869" s="73"/>
      <c r="AZ869" s="73"/>
      <c r="BA869" s="73"/>
      <c r="BB869" s="73"/>
      <c r="BC869" s="73"/>
      <c r="BD869" s="73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</row>
    <row r="870" ht="15.75" customHeight="1">
      <c r="A870" s="56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21"/>
      <c r="AX870" s="73"/>
      <c r="AY870" s="73"/>
      <c r="AZ870" s="73"/>
      <c r="BA870" s="73"/>
      <c r="BB870" s="73"/>
      <c r="BC870" s="73"/>
      <c r="BD870" s="73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</row>
    <row r="871" ht="15.75" customHeight="1">
      <c r="A871" s="56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21"/>
      <c r="AX871" s="73"/>
      <c r="AY871" s="73"/>
      <c r="AZ871" s="73"/>
      <c r="BA871" s="73"/>
      <c r="BB871" s="73"/>
      <c r="BC871" s="73"/>
      <c r="BD871" s="73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</row>
    <row r="872" ht="15.75" customHeight="1">
      <c r="A872" s="56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21"/>
      <c r="AX872" s="73"/>
      <c r="AY872" s="73"/>
      <c r="AZ872" s="73"/>
      <c r="BA872" s="73"/>
      <c r="BB872" s="73"/>
      <c r="BC872" s="73"/>
      <c r="BD872" s="73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</row>
    <row r="873" ht="15.75" customHeight="1">
      <c r="A873" s="56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21"/>
      <c r="AX873" s="73"/>
      <c r="AY873" s="73"/>
      <c r="AZ873" s="73"/>
      <c r="BA873" s="73"/>
      <c r="BB873" s="73"/>
      <c r="BC873" s="73"/>
      <c r="BD873" s="73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</row>
    <row r="874" ht="15.75" customHeight="1">
      <c r="A874" s="56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21"/>
      <c r="AX874" s="73"/>
      <c r="AY874" s="73"/>
      <c r="AZ874" s="73"/>
      <c r="BA874" s="73"/>
      <c r="BB874" s="73"/>
      <c r="BC874" s="73"/>
      <c r="BD874" s="73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</row>
    <row r="875" ht="15.75" customHeight="1">
      <c r="A875" s="56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21"/>
      <c r="AX875" s="73"/>
      <c r="AY875" s="73"/>
      <c r="AZ875" s="73"/>
      <c r="BA875" s="73"/>
      <c r="BB875" s="73"/>
      <c r="BC875" s="73"/>
      <c r="BD875" s="73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</row>
    <row r="876" ht="15.75" customHeight="1">
      <c r="A876" s="56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21"/>
      <c r="AX876" s="73"/>
      <c r="AY876" s="73"/>
      <c r="AZ876" s="73"/>
      <c r="BA876" s="73"/>
      <c r="BB876" s="73"/>
      <c r="BC876" s="73"/>
      <c r="BD876" s="73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</row>
    <row r="877" ht="15.75" customHeight="1">
      <c r="A877" s="56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21"/>
      <c r="AX877" s="73"/>
      <c r="AY877" s="73"/>
      <c r="AZ877" s="73"/>
      <c r="BA877" s="73"/>
      <c r="BB877" s="73"/>
      <c r="BC877" s="73"/>
      <c r="BD877" s="73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</row>
    <row r="878" ht="15.75" customHeight="1">
      <c r="A878" s="56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21"/>
      <c r="AX878" s="73"/>
      <c r="AY878" s="73"/>
      <c r="AZ878" s="73"/>
      <c r="BA878" s="73"/>
      <c r="BB878" s="73"/>
      <c r="BC878" s="73"/>
      <c r="BD878" s="73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</row>
    <row r="879" ht="15.75" customHeight="1">
      <c r="A879" s="56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21"/>
      <c r="AX879" s="73"/>
      <c r="AY879" s="73"/>
      <c r="AZ879" s="73"/>
      <c r="BA879" s="73"/>
      <c r="BB879" s="73"/>
      <c r="BC879" s="73"/>
      <c r="BD879" s="73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</row>
    <row r="880" ht="15.75" customHeight="1">
      <c r="A880" s="56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21"/>
      <c r="AX880" s="73"/>
      <c r="AY880" s="73"/>
      <c r="AZ880" s="73"/>
      <c r="BA880" s="73"/>
      <c r="BB880" s="73"/>
      <c r="BC880" s="73"/>
      <c r="BD880" s="73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</row>
    <row r="881" ht="15.75" customHeight="1">
      <c r="A881" s="56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21"/>
      <c r="AX881" s="73"/>
      <c r="AY881" s="73"/>
      <c r="AZ881" s="73"/>
      <c r="BA881" s="73"/>
      <c r="BB881" s="73"/>
      <c r="BC881" s="73"/>
      <c r="BD881" s="73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</row>
    <row r="882" ht="15.75" customHeight="1">
      <c r="A882" s="56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21"/>
      <c r="AX882" s="73"/>
      <c r="AY882" s="73"/>
      <c r="AZ882" s="73"/>
      <c r="BA882" s="73"/>
      <c r="BB882" s="73"/>
      <c r="BC882" s="73"/>
      <c r="BD882" s="73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</row>
    <row r="883" ht="15.75" customHeight="1">
      <c r="A883" s="56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21"/>
      <c r="AX883" s="73"/>
      <c r="AY883" s="73"/>
      <c r="AZ883" s="73"/>
      <c r="BA883" s="73"/>
      <c r="BB883" s="73"/>
      <c r="BC883" s="73"/>
      <c r="BD883" s="73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</row>
    <row r="884" ht="15.75" customHeight="1">
      <c r="A884" s="56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21"/>
      <c r="AX884" s="73"/>
      <c r="AY884" s="73"/>
      <c r="AZ884" s="73"/>
      <c r="BA884" s="73"/>
      <c r="BB884" s="73"/>
      <c r="BC884" s="73"/>
      <c r="BD884" s="73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</row>
    <row r="885" ht="15.75" customHeight="1">
      <c r="A885" s="56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21"/>
      <c r="AX885" s="73"/>
      <c r="AY885" s="73"/>
      <c r="AZ885" s="73"/>
      <c r="BA885" s="73"/>
      <c r="BB885" s="73"/>
      <c r="BC885" s="73"/>
      <c r="BD885" s="73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</row>
    <row r="886" ht="15.75" customHeight="1">
      <c r="A886" s="56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21"/>
      <c r="AX886" s="73"/>
      <c r="AY886" s="73"/>
      <c r="AZ886" s="73"/>
      <c r="BA886" s="73"/>
      <c r="BB886" s="73"/>
      <c r="BC886" s="73"/>
      <c r="BD886" s="73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</row>
    <row r="887" ht="15.75" customHeight="1">
      <c r="A887" s="56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21"/>
      <c r="AX887" s="73"/>
      <c r="AY887" s="73"/>
      <c r="AZ887" s="73"/>
      <c r="BA887" s="73"/>
      <c r="BB887" s="73"/>
      <c r="BC887" s="73"/>
      <c r="BD887" s="73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</row>
    <row r="888" ht="15.75" customHeight="1">
      <c r="A888" s="56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21"/>
      <c r="AX888" s="73"/>
      <c r="AY888" s="73"/>
      <c r="AZ888" s="73"/>
      <c r="BA888" s="73"/>
      <c r="BB888" s="73"/>
      <c r="BC888" s="73"/>
      <c r="BD888" s="73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</row>
    <row r="889" ht="15.75" customHeight="1">
      <c r="A889" s="56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21"/>
      <c r="AX889" s="73"/>
      <c r="AY889" s="73"/>
      <c r="AZ889" s="73"/>
      <c r="BA889" s="73"/>
      <c r="BB889" s="73"/>
      <c r="BC889" s="73"/>
      <c r="BD889" s="73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</row>
    <row r="890" ht="15.75" customHeight="1">
      <c r="A890" s="56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21"/>
      <c r="AX890" s="73"/>
      <c r="AY890" s="73"/>
      <c r="AZ890" s="73"/>
      <c r="BA890" s="73"/>
      <c r="BB890" s="73"/>
      <c r="BC890" s="73"/>
      <c r="BD890" s="73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</row>
    <row r="891" ht="15.75" customHeight="1">
      <c r="A891" s="56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21"/>
      <c r="AX891" s="73"/>
      <c r="AY891" s="73"/>
      <c r="AZ891" s="73"/>
      <c r="BA891" s="73"/>
      <c r="BB891" s="73"/>
      <c r="BC891" s="73"/>
      <c r="BD891" s="73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</row>
    <row r="892" ht="15.75" customHeight="1">
      <c r="A892" s="56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21"/>
      <c r="AX892" s="73"/>
      <c r="AY892" s="73"/>
      <c r="AZ892" s="73"/>
      <c r="BA892" s="73"/>
      <c r="BB892" s="73"/>
      <c r="BC892" s="73"/>
      <c r="BD892" s="73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</row>
    <row r="893" ht="15.75" customHeight="1">
      <c r="A893" s="56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21"/>
      <c r="AX893" s="73"/>
      <c r="AY893" s="73"/>
      <c r="AZ893" s="73"/>
      <c r="BA893" s="73"/>
      <c r="BB893" s="73"/>
      <c r="BC893" s="73"/>
      <c r="BD893" s="73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</row>
    <row r="894" ht="15.75" customHeight="1">
      <c r="A894" s="56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21"/>
      <c r="AX894" s="73"/>
      <c r="AY894" s="73"/>
      <c r="AZ894" s="73"/>
      <c r="BA894" s="73"/>
      <c r="BB894" s="73"/>
      <c r="BC894" s="73"/>
      <c r="BD894" s="73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</row>
    <row r="895" ht="15.75" customHeight="1">
      <c r="A895" s="56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21"/>
      <c r="AX895" s="73"/>
      <c r="AY895" s="73"/>
      <c r="AZ895" s="73"/>
      <c r="BA895" s="73"/>
      <c r="BB895" s="73"/>
      <c r="BC895" s="73"/>
      <c r="BD895" s="73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</row>
    <row r="896" ht="15.75" customHeight="1">
      <c r="A896" s="56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21"/>
      <c r="AX896" s="73"/>
      <c r="AY896" s="73"/>
      <c r="AZ896" s="73"/>
      <c r="BA896" s="73"/>
      <c r="BB896" s="73"/>
      <c r="BC896" s="73"/>
      <c r="BD896" s="73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</row>
    <row r="897" ht="15.75" customHeight="1">
      <c r="A897" s="56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21"/>
      <c r="AX897" s="73"/>
      <c r="AY897" s="73"/>
      <c r="AZ897" s="73"/>
      <c r="BA897" s="73"/>
      <c r="BB897" s="73"/>
      <c r="BC897" s="73"/>
      <c r="BD897" s="73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</row>
    <row r="898" ht="15.75" customHeight="1">
      <c r="A898" s="56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21"/>
      <c r="AX898" s="73"/>
      <c r="AY898" s="73"/>
      <c r="AZ898" s="73"/>
      <c r="BA898" s="73"/>
      <c r="BB898" s="73"/>
      <c r="BC898" s="73"/>
      <c r="BD898" s="73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</row>
    <row r="899" ht="15.75" customHeight="1">
      <c r="A899" s="56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21"/>
      <c r="AX899" s="73"/>
      <c r="AY899" s="73"/>
      <c r="AZ899" s="73"/>
      <c r="BA899" s="73"/>
      <c r="BB899" s="73"/>
      <c r="BC899" s="73"/>
      <c r="BD899" s="73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</row>
    <row r="900" ht="15.75" customHeight="1">
      <c r="A900" s="56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21"/>
      <c r="AX900" s="73"/>
      <c r="AY900" s="73"/>
      <c r="AZ900" s="73"/>
      <c r="BA900" s="73"/>
      <c r="BB900" s="73"/>
      <c r="BC900" s="73"/>
      <c r="BD900" s="73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</row>
    <row r="901" ht="15.75" customHeight="1">
      <c r="A901" s="56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21"/>
      <c r="AX901" s="73"/>
      <c r="AY901" s="73"/>
      <c r="AZ901" s="73"/>
      <c r="BA901" s="73"/>
      <c r="BB901" s="73"/>
      <c r="BC901" s="73"/>
      <c r="BD901" s="73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</row>
    <row r="902" ht="15.75" customHeight="1">
      <c r="A902" s="56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21"/>
      <c r="AX902" s="73"/>
      <c r="AY902" s="73"/>
      <c r="AZ902" s="73"/>
      <c r="BA902" s="73"/>
      <c r="BB902" s="73"/>
      <c r="BC902" s="73"/>
      <c r="BD902" s="73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</row>
    <row r="903" ht="15.75" customHeight="1">
      <c r="A903" s="56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21"/>
      <c r="AX903" s="73"/>
      <c r="AY903" s="73"/>
      <c r="AZ903" s="73"/>
      <c r="BA903" s="73"/>
      <c r="BB903" s="73"/>
      <c r="BC903" s="73"/>
      <c r="BD903" s="73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</row>
    <row r="904" ht="15.75" customHeight="1">
      <c r="A904" s="56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21"/>
      <c r="AX904" s="73"/>
      <c r="AY904" s="73"/>
      <c r="AZ904" s="73"/>
      <c r="BA904" s="73"/>
      <c r="BB904" s="73"/>
      <c r="BC904" s="73"/>
      <c r="BD904" s="73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</row>
    <row r="905" ht="15.75" customHeight="1">
      <c r="A905" s="56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21"/>
      <c r="AX905" s="73"/>
      <c r="AY905" s="73"/>
      <c r="AZ905" s="73"/>
      <c r="BA905" s="73"/>
      <c r="BB905" s="73"/>
      <c r="BC905" s="73"/>
      <c r="BD905" s="73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</row>
    <row r="906" ht="15.75" customHeight="1">
      <c r="A906" s="56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21"/>
      <c r="AX906" s="73"/>
      <c r="AY906" s="73"/>
      <c r="AZ906" s="73"/>
      <c r="BA906" s="73"/>
      <c r="BB906" s="73"/>
      <c r="BC906" s="73"/>
      <c r="BD906" s="73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</row>
    <row r="907" ht="15.75" customHeight="1">
      <c r="A907" s="56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21"/>
      <c r="AX907" s="73"/>
      <c r="AY907" s="73"/>
      <c r="AZ907" s="73"/>
      <c r="BA907" s="73"/>
      <c r="BB907" s="73"/>
      <c r="BC907" s="73"/>
      <c r="BD907" s="73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</row>
    <row r="908" ht="15.75" customHeight="1">
      <c r="A908" s="56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21"/>
      <c r="AX908" s="73"/>
      <c r="AY908" s="73"/>
      <c r="AZ908" s="73"/>
      <c r="BA908" s="73"/>
      <c r="BB908" s="73"/>
      <c r="BC908" s="73"/>
      <c r="BD908" s="73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</row>
    <row r="909" ht="15.75" customHeight="1">
      <c r="A909" s="56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21"/>
      <c r="AX909" s="73"/>
      <c r="AY909" s="73"/>
      <c r="AZ909" s="73"/>
      <c r="BA909" s="73"/>
      <c r="BB909" s="73"/>
      <c r="BC909" s="73"/>
      <c r="BD909" s="73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</row>
    <row r="910" ht="15.75" customHeight="1">
      <c r="A910" s="56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21"/>
      <c r="AX910" s="73"/>
      <c r="AY910" s="73"/>
      <c r="AZ910" s="73"/>
      <c r="BA910" s="73"/>
      <c r="BB910" s="73"/>
      <c r="BC910" s="73"/>
      <c r="BD910" s="73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</row>
    <row r="911" ht="15.75" customHeight="1">
      <c r="A911" s="56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21"/>
      <c r="AX911" s="73"/>
      <c r="AY911" s="73"/>
      <c r="AZ911" s="73"/>
      <c r="BA911" s="73"/>
      <c r="BB911" s="73"/>
      <c r="BC911" s="73"/>
      <c r="BD911" s="73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</row>
    <row r="912" ht="15.75" customHeight="1">
      <c r="A912" s="56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21"/>
      <c r="AX912" s="73"/>
      <c r="AY912" s="73"/>
      <c r="AZ912" s="73"/>
      <c r="BA912" s="73"/>
      <c r="BB912" s="73"/>
      <c r="BC912" s="73"/>
      <c r="BD912" s="73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</row>
    <row r="913" ht="15.75" customHeight="1">
      <c r="A913" s="56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21"/>
      <c r="AX913" s="73"/>
      <c r="AY913" s="73"/>
      <c r="AZ913" s="73"/>
      <c r="BA913" s="73"/>
      <c r="BB913" s="73"/>
      <c r="BC913" s="73"/>
      <c r="BD913" s="73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</row>
    <row r="914" ht="15.75" customHeight="1">
      <c r="A914" s="56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21"/>
      <c r="AX914" s="73"/>
      <c r="AY914" s="73"/>
      <c r="AZ914" s="73"/>
      <c r="BA914" s="73"/>
      <c r="BB914" s="73"/>
      <c r="BC914" s="73"/>
      <c r="BD914" s="73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</row>
    <row r="915" ht="15.75" customHeight="1">
      <c r="A915" s="56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21"/>
      <c r="AX915" s="73"/>
      <c r="AY915" s="73"/>
      <c r="AZ915" s="73"/>
      <c r="BA915" s="73"/>
      <c r="BB915" s="73"/>
      <c r="BC915" s="73"/>
      <c r="BD915" s="73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</row>
    <row r="916" ht="15.75" customHeight="1">
      <c r="A916" s="56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21"/>
      <c r="AX916" s="73"/>
      <c r="AY916" s="73"/>
      <c r="AZ916" s="73"/>
      <c r="BA916" s="73"/>
      <c r="BB916" s="73"/>
      <c r="BC916" s="73"/>
      <c r="BD916" s="73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</row>
    <row r="917" ht="15.75" customHeight="1">
      <c r="A917" s="56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21"/>
      <c r="AX917" s="73"/>
      <c r="AY917" s="73"/>
      <c r="AZ917" s="73"/>
      <c r="BA917" s="73"/>
      <c r="BB917" s="73"/>
      <c r="BC917" s="73"/>
      <c r="BD917" s="73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</row>
    <row r="918" ht="15.75" customHeight="1">
      <c r="A918" s="56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  <c r="AD918" s="70"/>
      <c r="AE918" s="70"/>
      <c r="AF918" s="70"/>
      <c r="AG918" s="70"/>
      <c r="AH918" s="70"/>
      <c r="AI918" s="70"/>
      <c r="AJ918" s="70"/>
      <c r="AK918" s="70"/>
      <c r="AL918" s="70"/>
      <c r="AM918" s="70"/>
      <c r="AN918" s="70"/>
      <c r="AO918" s="70"/>
      <c r="AP918" s="70"/>
      <c r="AQ918" s="70"/>
      <c r="AR918" s="70"/>
      <c r="AS918" s="70"/>
      <c r="AT918" s="70"/>
      <c r="AU918" s="70"/>
      <c r="AV918" s="70"/>
      <c r="AW918" s="21"/>
      <c r="AX918" s="73"/>
      <c r="AY918" s="73"/>
      <c r="AZ918" s="73"/>
      <c r="BA918" s="73"/>
      <c r="BB918" s="73"/>
      <c r="BC918" s="73"/>
      <c r="BD918" s="73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</row>
    <row r="919" ht="15.75" customHeight="1">
      <c r="A919" s="56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  <c r="AD919" s="70"/>
      <c r="AE919" s="70"/>
      <c r="AF919" s="70"/>
      <c r="AG919" s="70"/>
      <c r="AH919" s="70"/>
      <c r="AI919" s="70"/>
      <c r="AJ919" s="70"/>
      <c r="AK919" s="70"/>
      <c r="AL919" s="70"/>
      <c r="AM919" s="70"/>
      <c r="AN919" s="70"/>
      <c r="AO919" s="70"/>
      <c r="AP919" s="70"/>
      <c r="AQ919" s="70"/>
      <c r="AR919" s="70"/>
      <c r="AS919" s="70"/>
      <c r="AT919" s="70"/>
      <c r="AU919" s="70"/>
      <c r="AV919" s="70"/>
      <c r="AW919" s="21"/>
      <c r="AX919" s="73"/>
      <c r="AY919" s="73"/>
      <c r="AZ919" s="73"/>
      <c r="BA919" s="73"/>
      <c r="BB919" s="73"/>
      <c r="BC919" s="73"/>
      <c r="BD919" s="73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</row>
    <row r="920" ht="15.75" customHeight="1">
      <c r="A920" s="56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  <c r="AD920" s="70"/>
      <c r="AE920" s="70"/>
      <c r="AF920" s="70"/>
      <c r="AG920" s="70"/>
      <c r="AH920" s="70"/>
      <c r="AI920" s="70"/>
      <c r="AJ920" s="70"/>
      <c r="AK920" s="70"/>
      <c r="AL920" s="70"/>
      <c r="AM920" s="70"/>
      <c r="AN920" s="70"/>
      <c r="AO920" s="70"/>
      <c r="AP920" s="70"/>
      <c r="AQ920" s="70"/>
      <c r="AR920" s="70"/>
      <c r="AS920" s="70"/>
      <c r="AT920" s="70"/>
      <c r="AU920" s="70"/>
      <c r="AV920" s="70"/>
      <c r="AW920" s="21"/>
      <c r="AX920" s="73"/>
      <c r="AY920" s="73"/>
      <c r="AZ920" s="73"/>
      <c r="BA920" s="73"/>
      <c r="BB920" s="73"/>
      <c r="BC920" s="73"/>
      <c r="BD920" s="73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</row>
    <row r="921" ht="15.75" customHeight="1">
      <c r="A921" s="56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  <c r="AD921" s="70"/>
      <c r="AE921" s="70"/>
      <c r="AF921" s="70"/>
      <c r="AG921" s="70"/>
      <c r="AH921" s="70"/>
      <c r="AI921" s="70"/>
      <c r="AJ921" s="70"/>
      <c r="AK921" s="70"/>
      <c r="AL921" s="70"/>
      <c r="AM921" s="70"/>
      <c r="AN921" s="70"/>
      <c r="AO921" s="70"/>
      <c r="AP921" s="70"/>
      <c r="AQ921" s="70"/>
      <c r="AR921" s="70"/>
      <c r="AS921" s="70"/>
      <c r="AT921" s="70"/>
      <c r="AU921" s="70"/>
      <c r="AV921" s="70"/>
      <c r="AW921" s="21"/>
      <c r="AX921" s="73"/>
      <c r="AY921" s="73"/>
      <c r="AZ921" s="73"/>
      <c r="BA921" s="73"/>
      <c r="BB921" s="73"/>
      <c r="BC921" s="73"/>
      <c r="BD921" s="73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</row>
    <row r="922" ht="15.75" customHeight="1">
      <c r="A922" s="56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  <c r="AD922" s="70"/>
      <c r="AE922" s="70"/>
      <c r="AF922" s="70"/>
      <c r="AG922" s="70"/>
      <c r="AH922" s="70"/>
      <c r="AI922" s="70"/>
      <c r="AJ922" s="70"/>
      <c r="AK922" s="70"/>
      <c r="AL922" s="70"/>
      <c r="AM922" s="70"/>
      <c r="AN922" s="70"/>
      <c r="AO922" s="70"/>
      <c r="AP922" s="70"/>
      <c r="AQ922" s="70"/>
      <c r="AR922" s="70"/>
      <c r="AS922" s="70"/>
      <c r="AT922" s="70"/>
      <c r="AU922" s="70"/>
      <c r="AV922" s="70"/>
      <c r="AW922" s="21"/>
      <c r="AX922" s="73"/>
      <c r="AY922" s="73"/>
      <c r="AZ922" s="73"/>
      <c r="BA922" s="73"/>
      <c r="BB922" s="73"/>
      <c r="BC922" s="73"/>
      <c r="BD922" s="73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</row>
    <row r="923" ht="15.75" customHeight="1">
      <c r="A923" s="56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  <c r="AD923" s="70"/>
      <c r="AE923" s="70"/>
      <c r="AF923" s="70"/>
      <c r="AG923" s="70"/>
      <c r="AH923" s="70"/>
      <c r="AI923" s="70"/>
      <c r="AJ923" s="70"/>
      <c r="AK923" s="70"/>
      <c r="AL923" s="70"/>
      <c r="AM923" s="70"/>
      <c r="AN923" s="70"/>
      <c r="AO923" s="70"/>
      <c r="AP923" s="70"/>
      <c r="AQ923" s="70"/>
      <c r="AR923" s="70"/>
      <c r="AS923" s="70"/>
      <c r="AT923" s="70"/>
      <c r="AU923" s="70"/>
      <c r="AV923" s="70"/>
      <c r="AW923" s="21"/>
      <c r="AX923" s="73"/>
      <c r="AY923" s="73"/>
      <c r="AZ923" s="73"/>
      <c r="BA923" s="73"/>
      <c r="BB923" s="73"/>
      <c r="BC923" s="73"/>
      <c r="BD923" s="73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</row>
    <row r="924" ht="15.75" customHeight="1">
      <c r="A924" s="56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  <c r="AD924" s="70"/>
      <c r="AE924" s="70"/>
      <c r="AF924" s="70"/>
      <c r="AG924" s="70"/>
      <c r="AH924" s="70"/>
      <c r="AI924" s="70"/>
      <c r="AJ924" s="70"/>
      <c r="AK924" s="70"/>
      <c r="AL924" s="70"/>
      <c r="AM924" s="70"/>
      <c r="AN924" s="70"/>
      <c r="AO924" s="70"/>
      <c r="AP924" s="70"/>
      <c r="AQ924" s="70"/>
      <c r="AR924" s="70"/>
      <c r="AS924" s="70"/>
      <c r="AT924" s="70"/>
      <c r="AU924" s="70"/>
      <c r="AV924" s="70"/>
      <c r="AW924" s="21"/>
      <c r="AX924" s="73"/>
      <c r="AY924" s="73"/>
      <c r="AZ924" s="73"/>
      <c r="BA924" s="73"/>
      <c r="BB924" s="73"/>
      <c r="BC924" s="73"/>
      <c r="BD924" s="73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</row>
    <row r="925" ht="15.75" customHeight="1">
      <c r="A925" s="56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  <c r="AD925" s="70"/>
      <c r="AE925" s="70"/>
      <c r="AF925" s="70"/>
      <c r="AG925" s="70"/>
      <c r="AH925" s="70"/>
      <c r="AI925" s="70"/>
      <c r="AJ925" s="70"/>
      <c r="AK925" s="70"/>
      <c r="AL925" s="70"/>
      <c r="AM925" s="70"/>
      <c r="AN925" s="70"/>
      <c r="AO925" s="70"/>
      <c r="AP925" s="70"/>
      <c r="AQ925" s="70"/>
      <c r="AR925" s="70"/>
      <c r="AS925" s="70"/>
      <c r="AT925" s="70"/>
      <c r="AU925" s="70"/>
      <c r="AV925" s="70"/>
      <c r="AW925" s="21"/>
      <c r="AX925" s="73"/>
      <c r="AY925" s="73"/>
      <c r="AZ925" s="73"/>
      <c r="BA925" s="73"/>
      <c r="BB925" s="73"/>
      <c r="BC925" s="73"/>
      <c r="BD925" s="73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</row>
    <row r="926" ht="15.75" customHeight="1">
      <c r="A926" s="56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  <c r="AD926" s="70"/>
      <c r="AE926" s="70"/>
      <c r="AF926" s="70"/>
      <c r="AG926" s="70"/>
      <c r="AH926" s="70"/>
      <c r="AI926" s="70"/>
      <c r="AJ926" s="70"/>
      <c r="AK926" s="70"/>
      <c r="AL926" s="70"/>
      <c r="AM926" s="70"/>
      <c r="AN926" s="70"/>
      <c r="AO926" s="70"/>
      <c r="AP926" s="70"/>
      <c r="AQ926" s="70"/>
      <c r="AR926" s="70"/>
      <c r="AS926" s="70"/>
      <c r="AT926" s="70"/>
      <c r="AU926" s="70"/>
      <c r="AV926" s="70"/>
      <c r="AW926" s="21"/>
      <c r="AX926" s="73"/>
      <c r="AY926" s="73"/>
      <c r="AZ926" s="73"/>
      <c r="BA926" s="73"/>
      <c r="BB926" s="73"/>
      <c r="BC926" s="73"/>
      <c r="BD926" s="73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</row>
    <row r="927" ht="15.75" customHeight="1">
      <c r="A927" s="56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  <c r="AD927" s="70"/>
      <c r="AE927" s="70"/>
      <c r="AF927" s="70"/>
      <c r="AG927" s="70"/>
      <c r="AH927" s="70"/>
      <c r="AI927" s="70"/>
      <c r="AJ927" s="70"/>
      <c r="AK927" s="70"/>
      <c r="AL927" s="70"/>
      <c r="AM927" s="70"/>
      <c r="AN927" s="70"/>
      <c r="AO927" s="70"/>
      <c r="AP927" s="70"/>
      <c r="AQ927" s="70"/>
      <c r="AR927" s="70"/>
      <c r="AS927" s="70"/>
      <c r="AT927" s="70"/>
      <c r="AU927" s="70"/>
      <c r="AV927" s="70"/>
      <c r="AW927" s="21"/>
      <c r="AX927" s="73"/>
      <c r="AY927" s="73"/>
      <c r="AZ927" s="73"/>
      <c r="BA927" s="73"/>
      <c r="BB927" s="73"/>
      <c r="BC927" s="73"/>
      <c r="BD927" s="73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</row>
    <row r="928" ht="15.75" customHeight="1">
      <c r="A928" s="56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  <c r="AD928" s="70"/>
      <c r="AE928" s="70"/>
      <c r="AF928" s="70"/>
      <c r="AG928" s="70"/>
      <c r="AH928" s="70"/>
      <c r="AI928" s="70"/>
      <c r="AJ928" s="70"/>
      <c r="AK928" s="70"/>
      <c r="AL928" s="70"/>
      <c r="AM928" s="70"/>
      <c r="AN928" s="70"/>
      <c r="AO928" s="70"/>
      <c r="AP928" s="70"/>
      <c r="AQ928" s="70"/>
      <c r="AR928" s="70"/>
      <c r="AS928" s="70"/>
      <c r="AT928" s="70"/>
      <c r="AU928" s="70"/>
      <c r="AV928" s="70"/>
      <c r="AW928" s="21"/>
      <c r="AX928" s="73"/>
      <c r="AY928" s="73"/>
      <c r="AZ928" s="73"/>
      <c r="BA928" s="73"/>
      <c r="BB928" s="73"/>
      <c r="BC928" s="73"/>
      <c r="BD928" s="73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</row>
    <row r="929" ht="15.75" customHeight="1">
      <c r="A929" s="56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  <c r="AD929" s="70"/>
      <c r="AE929" s="70"/>
      <c r="AF929" s="70"/>
      <c r="AG929" s="70"/>
      <c r="AH929" s="70"/>
      <c r="AI929" s="70"/>
      <c r="AJ929" s="70"/>
      <c r="AK929" s="70"/>
      <c r="AL929" s="70"/>
      <c r="AM929" s="70"/>
      <c r="AN929" s="70"/>
      <c r="AO929" s="70"/>
      <c r="AP929" s="70"/>
      <c r="AQ929" s="70"/>
      <c r="AR929" s="70"/>
      <c r="AS929" s="70"/>
      <c r="AT929" s="70"/>
      <c r="AU929" s="70"/>
      <c r="AV929" s="70"/>
      <c r="AW929" s="21"/>
      <c r="AX929" s="73"/>
      <c r="AY929" s="73"/>
      <c r="AZ929" s="73"/>
      <c r="BA929" s="73"/>
      <c r="BB929" s="73"/>
      <c r="BC929" s="73"/>
      <c r="BD929" s="73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</row>
    <row r="930" ht="15.75" customHeight="1">
      <c r="A930" s="56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  <c r="AD930" s="70"/>
      <c r="AE930" s="70"/>
      <c r="AF930" s="70"/>
      <c r="AG930" s="70"/>
      <c r="AH930" s="70"/>
      <c r="AI930" s="70"/>
      <c r="AJ930" s="70"/>
      <c r="AK930" s="70"/>
      <c r="AL930" s="70"/>
      <c r="AM930" s="70"/>
      <c r="AN930" s="70"/>
      <c r="AO930" s="70"/>
      <c r="AP930" s="70"/>
      <c r="AQ930" s="70"/>
      <c r="AR930" s="70"/>
      <c r="AS930" s="70"/>
      <c r="AT930" s="70"/>
      <c r="AU930" s="70"/>
      <c r="AV930" s="70"/>
      <c r="AW930" s="21"/>
      <c r="AX930" s="73"/>
      <c r="AY930" s="73"/>
      <c r="AZ930" s="73"/>
      <c r="BA930" s="73"/>
      <c r="BB930" s="73"/>
      <c r="BC930" s="73"/>
      <c r="BD930" s="73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</row>
    <row r="931" ht="15.75" customHeight="1">
      <c r="A931" s="56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  <c r="AD931" s="70"/>
      <c r="AE931" s="70"/>
      <c r="AF931" s="70"/>
      <c r="AG931" s="70"/>
      <c r="AH931" s="70"/>
      <c r="AI931" s="70"/>
      <c r="AJ931" s="70"/>
      <c r="AK931" s="70"/>
      <c r="AL931" s="70"/>
      <c r="AM931" s="70"/>
      <c r="AN931" s="70"/>
      <c r="AO931" s="70"/>
      <c r="AP931" s="70"/>
      <c r="AQ931" s="70"/>
      <c r="AR931" s="70"/>
      <c r="AS931" s="70"/>
      <c r="AT931" s="70"/>
      <c r="AU931" s="70"/>
      <c r="AV931" s="70"/>
      <c r="AW931" s="21"/>
      <c r="AX931" s="73"/>
      <c r="AY931" s="73"/>
      <c r="AZ931" s="73"/>
      <c r="BA931" s="73"/>
      <c r="BB931" s="73"/>
      <c r="BC931" s="73"/>
      <c r="BD931" s="73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</row>
    <row r="932" ht="15.75" customHeight="1">
      <c r="A932" s="56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  <c r="AD932" s="70"/>
      <c r="AE932" s="70"/>
      <c r="AF932" s="70"/>
      <c r="AG932" s="70"/>
      <c r="AH932" s="70"/>
      <c r="AI932" s="70"/>
      <c r="AJ932" s="70"/>
      <c r="AK932" s="70"/>
      <c r="AL932" s="70"/>
      <c r="AM932" s="70"/>
      <c r="AN932" s="70"/>
      <c r="AO932" s="70"/>
      <c r="AP932" s="70"/>
      <c r="AQ932" s="70"/>
      <c r="AR932" s="70"/>
      <c r="AS932" s="70"/>
      <c r="AT932" s="70"/>
      <c r="AU932" s="70"/>
      <c r="AV932" s="70"/>
      <c r="AW932" s="21"/>
      <c r="AX932" s="73"/>
      <c r="AY932" s="73"/>
      <c r="AZ932" s="73"/>
      <c r="BA932" s="73"/>
      <c r="BB932" s="73"/>
      <c r="BC932" s="73"/>
      <c r="BD932" s="73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</row>
    <row r="933" ht="15.75" customHeight="1">
      <c r="A933" s="56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  <c r="AD933" s="70"/>
      <c r="AE933" s="70"/>
      <c r="AF933" s="70"/>
      <c r="AG933" s="70"/>
      <c r="AH933" s="70"/>
      <c r="AI933" s="70"/>
      <c r="AJ933" s="70"/>
      <c r="AK933" s="70"/>
      <c r="AL933" s="70"/>
      <c r="AM933" s="70"/>
      <c r="AN933" s="70"/>
      <c r="AO933" s="70"/>
      <c r="AP933" s="70"/>
      <c r="AQ933" s="70"/>
      <c r="AR933" s="70"/>
      <c r="AS933" s="70"/>
      <c r="AT933" s="70"/>
      <c r="AU933" s="70"/>
      <c r="AV933" s="70"/>
      <c r="AW933" s="21"/>
      <c r="AX933" s="73"/>
      <c r="AY933" s="73"/>
      <c r="AZ933" s="73"/>
      <c r="BA933" s="73"/>
      <c r="BB933" s="73"/>
      <c r="BC933" s="73"/>
      <c r="BD933" s="73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</row>
    <row r="934" ht="15.75" customHeight="1">
      <c r="A934" s="56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  <c r="AD934" s="70"/>
      <c r="AE934" s="70"/>
      <c r="AF934" s="70"/>
      <c r="AG934" s="70"/>
      <c r="AH934" s="70"/>
      <c r="AI934" s="70"/>
      <c r="AJ934" s="70"/>
      <c r="AK934" s="70"/>
      <c r="AL934" s="70"/>
      <c r="AM934" s="70"/>
      <c r="AN934" s="70"/>
      <c r="AO934" s="70"/>
      <c r="AP934" s="70"/>
      <c r="AQ934" s="70"/>
      <c r="AR934" s="70"/>
      <c r="AS934" s="70"/>
      <c r="AT934" s="70"/>
      <c r="AU934" s="70"/>
      <c r="AV934" s="70"/>
      <c r="AW934" s="21"/>
      <c r="AX934" s="73"/>
      <c r="AY934" s="73"/>
      <c r="AZ934" s="73"/>
      <c r="BA934" s="73"/>
      <c r="BB934" s="73"/>
      <c r="BC934" s="73"/>
      <c r="BD934" s="73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</row>
    <row r="935" ht="15.75" customHeight="1">
      <c r="A935" s="56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  <c r="AD935" s="70"/>
      <c r="AE935" s="70"/>
      <c r="AF935" s="70"/>
      <c r="AG935" s="70"/>
      <c r="AH935" s="70"/>
      <c r="AI935" s="70"/>
      <c r="AJ935" s="70"/>
      <c r="AK935" s="70"/>
      <c r="AL935" s="70"/>
      <c r="AM935" s="70"/>
      <c r="AN935" s="70"/>
      <c r="AO935" s="70"/>
      <c r="AP935" s="70"/>
      <c r="AQ935" s="70"/>
      <c r="AR935" s="70"/>
      <c r="AS935" s="70"/>
      <c r="AT935" s="70"/>
      <c r="AU935" s="70"/>
      <c r="AV935" s="70"/>
      <c r="AW935" s="21"/>
      <c r="AX935" s="73"/>
      <c r="AY935" s="73"/>
      <c r="AZ935" s="73"/>
      <c r="BA935" s="73"/>
      <c r="BB935" s="73"/>
      <c r="BC935" s="73"/>
      <c r="BD935" s="73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</row>
    <row r="936" ht="15.75" customHeight="1">
      <c r="A936" s="56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  <c r="AD936" s="70"/>
      <c r="AE936" s="70"/>
      <c r="AF936" s="70"/>
      <c r="AG936" s="70"/>
      <c r="AH936" s="70"/>
      <c r="AI936" s="70"/>
      <c r="AJ936" s="70"/>
      <c r="AK936" s="70"/>
      <c r="AL936" s="70"/>
      <c r="AM936" s="70"/>
      <c r="AN936" s="70"/>
      <c r="AO936" s="70"/>
      <c r="AP936" s="70"/>
      <c r="AQ936" s="70"/>
      <c r="AR936" s="70"/>
      <c r="AS936" s="70"/>
      <c r="AT936" s="70"/>
      <c r="AU936" s="70"/>
      <c r="AV936" s="70"/>
      <c r="AW936" s="21"/>
      <c r="AX936" s="73"/>
      <c r="AY936" s="73"/>
      <c r="AZ936" s="73"/>
      <c r="BA936" s="73"/>
      <c r="BB936" s="73"/>
      <c r="BC936" s="73"/>
      <c r="BD936" s="73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</row>
    <row r="937" ht="15.75" customHeight="1">
      <c r="A937" s="56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  <c r="AD937" s="70"/>
      <c r="AE937" s="70"/>
      <c r="AF937" s="70"/>
      <c r="AG937" s="70"/>
      <c r="AH937" s="70"/>
      <c r="AI937" s="70"/>
      <c r="AJ937" s="70"/>
      <c r="AK937" s="70"/>
      <c r="AL937" s="70"/>
      <c r="AM937" s="70"/>
      <c r="AN937" s="70"/>
      <c r="AO937" s="70"/>
      <c r="AP937" s="70"/>
      <c r="AQ937" s="70"/>
      <c r="AR937" s="70"/>
      <c r="AS937" s="70"/>
      <c r="AT937" s="70"/>
      <c r="AU937" s="70"/>
      <c r="AV937" s="70"/>
      <c r="AW937" s="21"/>
      <c r="AX937" s="73"/>
      <c r="AY937" s="73"/>
      <c r="AZ937" s="73"/>
      <c r="BA937" s="73"/>
      <c r="BB937" s="73"/>
      <c r="BC937" s="73"/>
      <c r="BD937" s="73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</row>
    <row r="938" ht="15.75" customHeight="1">
      <c r="A938" s="56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  <c r="AD938" s="70"/>
      <c r="AE938" s="70"/>
      <c r="AF938" s="70"/>
      <c r="AG938" s="70"/>
      <c r="AH938" s="70"/>
      <c r="AI938" s="70"/>
      <c r="AJ938" s="70"/>
      <c r="AK938" s="70"/>
      <c r="AL938" s="70"/>
      <c r="AM938" s="70"/>
      <c r="AN938" s="70"/>
      <c r="AO938" s="70"/>
      <c r="AP938" s="70"/>
      <c r="AQ938" s="70"/>
      <c r="AR938" s="70"/>
      <c r="AS938" s="70"/>
      <c r="AT938" s="70"/>
      <c r="AU938" s="70"/>
      <c r="AV938" s="70"/>
      <c r="AW938" s="21"/>
      <c r="AX938" s="73"/>
      <c r="AY938" s="73"/>
      <c r="AZ938" s="73"/>
      <c r="BA938" s="73"/>
      <c r="BB938" s="73"/>
      <c r="BC938" s="73"/>
      <c r="BD938" s="73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</row>
    <row r="939" ht="15.75" customHeight="1">
      <c r="A939" s="56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  <c r="AD939" s="70"/>
      <c r="AE939" s="70"/>
      <c r="AF939" s="70"/>
      <c r="AG939" s="70"/>
      <c r="AH939" s="70"/>
      <c r="AI939" s="70"/>
      <c r="AJ939" s="70"/>
      <c r="AK939" s="70"/>
      <c r="AL939" s="70"/>
      <c r="AM939" s="70"/>
      <c r="AN939" s="70"/>
      <c r="AO939" s="70"/>
      <c r="AP939" s="70"/>
      <c r="AQ939" s="70"/>
      <c r="AR939" s="70"/>
      <c r="AS939" s="70"/>
      <c r="AT939" s="70"/>
      <c r="AU939" s="70"/>
      <c r="AV939" s="70"/>
      <c r="AW939" s="21"/>
      <c r="AX939" s="73"/>
      <c r="AY939" s="73"/>
      <c r="AZ939" s="73"/>
      <c r="BA939" s="73"/>
      <c r="BB939" s="73"/>
      <c r="BC939" s="73"/>
      <c r="BD939" s="73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</row>
    <row r="940" ht="15.75" customHeight="1">
      <c r="A940" s="56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  <c r="AD940" s="70"/>
      <c r="AE940" s="70"/>
      <c r="AF940" s="70"/>
      <c r="AG940" s="70"/>
      <c r="AH940" s="70"/>
      <c r="AI940" s="70"/>
      <c r="AJ940" s="70"/>
      <c r="AK940" s="70"/>
      <c r="AL940" s="70"/>
      <c r="AM940" s="70"/>
      <c r="AN940" s="70"/>
      <c r="AO940" s="70"/>
      <c r="AP940" s="70"/>
      <c r="AQ940" s="70"/>
      <c r="AR940" s="70"/>
      <c r="AS940" s="70"/>
      <c r="AT940" s="70"/>
      <c r="AU940" s="70"/>
      <c r="AV940" s="70"/>
      <c r="AW940" s="21"/>
      <c r="AX940" s="73"/>
      <c r="AY940" s="73"/>
      <c r="AZ940" s="73"/>
      <c r="BA940" s="73"/>
      <c r="BB940" s="73"/>
      <c r="BC940" s="73"/>
      <c r="BD940" s="73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</row>
    <row r="941" ht="15.75" customHeight="1">
      <c r="A941" s="56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  <c r="AD941" s="70"/>
      <c r="AE941" s="70"/>
      <c r="AF941" s="70"/>
      <c r="AG941" s="70"/>
      <c r="AH941" s="70"/>
      <c r="AI941" s="70"/>
      <c r="AJ941" s="70"/>
      <c r="AK941" s="70"/>
      <c r="AL941" s="70"/>
      <c r="AM941" s="70"/>
      <c r="AN941" s="70"/>
      <c r="AO941" s="70"/>
      <c r="AP941" s="70"/>
      <c r="AQ941" s="70"/>
      <c r="AR941" s="70"/>
      <c r="AS941" s="70"/>
      <c r="AT941" s="70"/>
      <c r="AU941" s="70"/>
      <c r="AV941" s="70"/>
      <c r="AW941" s="21"/>
      <c r="AX941" s="73"/>
      <c r="AY941" s="73"/>
      <c r="AZ941" s="73"/>
      <c r="BA941" s="73"/>
      <c r="BB941" s="73"/>
      <c r="BC941" s="73"/>
      <c r="BD941" s="73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</row>
    <row r="942" ht="15.75" customHeight="1">
      <c r="A942" s="56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  <c r="AD942" s="70"/>
      <c r="AE942" s="70"/>
      <c r="AF942" s="70"/>
      <c r="AG942" s="70"/>
      <c r="AH942" s="70"/>
      <c r="AI942" s="70"/>
      <c r="AJ942" s="70"/>
      <c r="AK942" s="70"/>
      <c r="AL942" s="70"/>
      <c r="AM942" s="70"/>
      <c r="AN942" s="70"/>
      <c r="AO942" s="70"/>
      <c r="AP942" s="70"/>
      <c r="AQ942" s="70"/>
      <c r="AR942" s="70"/>
      <c r="AS942" s="70"/>
      <c r="AT942" s="70"/>
      <c r="AU942" s="70"/>
      <c r="AV942" s="70"/>
      <c r="AW942" s="21"/>
      <c r="AX942" s="73"/>
      <c r="AY942" s="73"/>
      <c r="AZ942" s="73"/>
      <c r="BA942" s="73"/>
      <c r="BB942" s="73"/>
      <c r="BC942" s="73"/>
      <c r="BD942" s="73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</row>
    <row r="943" ht="15.75" customHeight="1">
      <c r="A943" s="56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  <c r="AD943" s="70"/>
      <c r="AE943" s="70"/>
      <c r="AF943" s="70"/>
      <c r="AG943" s="70"/>
      <c r="AH943" s="70"/>
      <c r="AI943" s="70"/>
      <c r="AJ943" s="70"/>
      <c r="AK943" s="70"/>
      <c r="AL943" s="70"/>
      <c r="AM943" s="70"/>
      <c r="AN943" s="70"/>
      <c r="AO943" s="70"/>
      <c r="AP943" s="70"/>
      <c r="AQ943" s="70"/>
      <c r="AR943" s="70"/>
      <c r="AS943" s="70"/>
      <c r="AT943" s="70"/>
      <c r="AU943" s="70"/>
      <c r="AV943" s="70"/>
      <c r="AW943" s="21"/>
      <c r="AX943" s="73"/>
      <c r="AY943" s="73"/>
      <c r="AZ943" s="73"/>
      <c r="BA943" s="73"/>
      <c r="BB943" s="73"/>
      <c r="BC943" s="73"/>
      <c r="BD943" s="73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</row>
    <row r="944" ht="15.75" customHeight="1">
      <c r="A944" s="56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  <c r="AD944" s="70"/>
      <c r="AE944" s="70"/>
      <c r="AF944" s="70"/>
      <c r="AG944" s="70"/>
      <c r="AH944" s="70"/>
      <c r="AI944" s="70"/>
      <c r="AJ944" s="70"/>
      <c r="AK944" s="70"/>
      <c r="AL944" s="70"/>
      <c r="AM944" s="70"/>
      <c r="AN944" s="70"/>
      <c r="AO944" s="70"/>
      <c r="AP944" s="70"/>
      <c r="AQ944" s="70"/>
      <c r="AR944" s="70"/>
      <c r="AS944" s="70"/>
      <c r="AT944" s="70"/>
      <c r="AU944" s="70"/>
      <c r="AV944" s="70"/>
      <c r="AW944" s="21"/>
      <c r="AX944" s="73"/>
      <c r="AY944" s="73"/>
      <c r="AZ944" s="73"/>
      <c r="BA944" s="73"/>
      <c r="BB944" s="73"/>
      <c r="BC944" s="73"/>
      <c r="BD944" s="73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</row>
    <row r="945" ht="15.75" customHeight="1">
      <c r="A945" s="56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  <c r="AD945" s="70"/>
      <c r="AE945" s="70"/>
      <c r="AF945" s="70"/>
      <c r="AG945" s="70"/>
      <c r="AH945" s="70"/>
      <c r="AI945" s="70"/>
      <c r="AJ945" s="70"/>
      <c r="AK945" s="70"/>
      <c r="AL945" s="70"/>
      <c r="AM945" s="70"/>
      <c r="AN945" s="70"/>
      <c r="AO945" s="70"/>
      <c r="AP945" s="70"/>
      <c r="AQ945" s="70"/>
      <c r="AR945" s="70"/>
      <c r="AS945" s="70"/>
      <c r="AT945" s="70"/>
      <c r="AU945" s="70"/>
      <c r="AV945" s="70"/>
      <c r="AW945" s="21"/>
      <c r="AX945" s="73"/>
      <c r="AY945" s="73"/>
      <c r="AZ945" s="73"/>
      <c r="BA945" s="73"/>
      <c r="BB945" s="73"/>
      <c r="BC945" s="73"/>
      <c r="BD945" s="73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</row>
    <row r="946" ht="15.75" customHeight="1">
      <c r="A946" s="56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  <c r="AD946" s="70"/>
      <c r="AE946" s="70"/>
      <c r="AF946" s="70"/>
      <c r="AG946" s="70"/>
      <c r="AH946" s="70"/>
      <c r="AI946" s="70"/>
      <c r="AJ946" s="70"/>
      <c r="AK946" s="70"/>
      <c r="AL946" s="70"/>
      <c r="AM946" s="70"/>
      <c r="AN946" s="70"/>
      <c r="AO946" s="70"/>
      <c r="AP946" s="70"/>
      <c r="AQ946" s="70"/>
      <c r="AR946" s="70"/>
      <c r="AS946" s="70"/>
      <c r="AT946" s="70"/>
      <c r="AU946" s="70"/>
      <c r="AV946" s="70"/>
      <c r="AW946" s="21"/>
      <c r="AX946" s="73"/>
      <c r="AY946" s="73"/>
      <c r="AZ946" s="73"/>
      <c r="BA946" s="73"/>
      <c r="BB946" s="73"/>
      <c r="BC946" s="73"/>
      <c r="BD946" s="73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</row>
    <row r="947" ht="15.75" customHeight="1">
      <c r="A947" s="56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  <c r="AD947" s="70"/>
      <c r="AE947" s="70"/>
      <c r="AF947" s="70"/>
      <c r="AG947" s="70"/>
      <c r="AH947" s="70"/>
      <c r="AI947" s="70"/>
      <c r="AJ947" s="70"/>
      <c r="AK947" s="70"/>
      <c r="AL947" s="70"/>
      <c r="AM947" s="70"/>
      <c r="AN947" s="70"/>
      <c r="AO947" s="70"/>
      <c r="AP947" s="70"/>
      <c r="AQ947" s="70"/>
      <c r="AR947" s="70"/>
      <c r="AS947" s="70"/>
      <c r="AT947" s="70"/>
      <c r="AU947" s="70"/>
      <c r="AV947" s="70"/>
      <c r="AW947" s="21"/>
      <c r="AX947" s="73"/>
      <c r="AY947" s="73"/>
      <c r="AZ947" s="73"/>
      <c r="BA947" s="73"/>
      <c r="BB947" s="73"/>
      <c r="BC947" s="73"/>
      <c r="BD947" s="73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</row>
    <row r="948" ht="15.75" customHeight="1">
      <c r="A948" s="56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  <c r="AD948" s="70"/>
      <c r="AE948" s="70"/>
      <c r="AF948" s="70"/>
      <c r="AG948" s="70"/>
      <c r="AH948" s="70"/>
      <c r="AI948" s="70"/>
      <c r="AJ948" s="70"/>
      <c r="AK948" s="70"/>
      <c r="AL948" s="70"/>
      <c r="AM948" s="70"/>
      <c r="AN948" s="70"/>
      <c r="AO948" s="70"/>
      <c r="AP948" s="70"/>
      <c r="AQ948" s="70"/>
      <c r="AR948" s="70"/>
      <c r="AS948" s="70"/>
      <c r="AT948" s="70"/>
      <c r="AU948" s="70"/>
      <c r="AV948" s="70"/>
      <c r="AW948" s="21"/>
      <c r="AX948" s="73"/>
      <c r="AY948" s="73"/>
      <c r="AZ948" s="73"/>
      <c r="BA948" s="73"/>
      <c r="BB948" s="73"/>
      <c r="BC948" s="73"/>
      <c r="BD948" s="73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</row>
    <row r="949" ht="15.75" customHeight="1">
      <c r="A949" s="56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  <c r="AD949" s="70"/>
      <c r="AE949" s="70"/>
      <c r="AF949" s="70"/>
      <c r="AG949" s="70"/>
      <c r="AH949" s="70"/>
      <c r="AI949" s="70"/>
      <c r="AJ949" s="70"/>
      <c r="AK949" s="70"/>
      <c r="AL949" s="70"/>
      <c r="AM949" s="70"/>
      <c r="AN949" s="70"/>
      <c r="AO949" s="70"/>
      <c r="AP949" s="70"/>
      <c r="AQ949" s="70"/>
      <c r="AR949" s="70"/>
      <c r="AS949" s="70"/>
      <c r="AT949" s="70"/>
      <c r="AU949" s="70"/>
      <c r="AV949" s="70"/>
      <c r="AW949" s="21"/>
      <c r="AX949" s="73"/>
      <c r="AY949" s="73"/>
      <c r="AZ949" s="73"/>
      <c r="BA949" s="73"/>
      <c r="BB949" s="73"/>
      <c r="BC949" s="73"/>
      <c r="BD949" s="73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</row>
    <row r="950" ht="15.75" customHeight="1">
      <c r="A950" s="56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  <c r="AD950" s="70"/>
      <c r="AE950" s="70"/>
      <c r="AF950" s="70"/>
      <c r="AG950" s="70"/>
      <c r="AH950" s="70"/>
      <c r="AI950" s="70"/>
      <c r="AJ950" s="70"/>
      <c r="AK950" s="70"/>
      <c r="AL950" s="70"/>
      <c r="AM950" s="70"/>
      <c r="AN950" s="70"/>
      <c r="AO950" s="70"/>
      <c r="AP950" s="70"/>
      <c r="AQ950" s="70"/>
      <c r="AR950" s="70"/>
      <c r="AS950" s="70"/>
      <c r="AT950" s="70"/>
      <c r="AU950" s="70"/>
      <c r="AV950" s="70"/>
      <c r="AW950" s="21"/>
      <c r="AX950" s="73"/>
      <c r="AY950" s="73"/>
      <c r="AZ950" s="73"/>
      <c r="BA950" s="73"/>
      <c r="BB950" s="73"/>
      <c r="BC950" s="73"/>
      <c r="BD950" s="73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</row>
    <row r="951" ht="15.75" customHeight="1">
      <c r="A951" s="56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  <c r="AD951" s="70"/>
      <c r="AE951" s="70"/>
      <c r="AF951" s="70"/>
      <c r="AG951" s="70"/>
      <c r="AH951" s="70"/>
      <c r="AI951" s="70"/>
      <c r="AJ951" s="70"/>
      <c r="AK951" s="70"/>
      <c r="AL951" s="70"/>
      <c r="AM951" s="70"/>
      <c r="AN951" s="70"/>
      <c r="AO951" s="70"/>
      <c r="AP951" s="70"/>
      <c r="AQ951" s="70"/>
      <c r="AR951" s="70"/>
      <c r="AS951" s="70"/>
      <c r="AT951" s="70"/>
      <c r="AU951" s="70"/>
      <c r="AV951" s="70"/>
      <c r="AW951" s="21"/>
      <c r="AX951" s="73"/>
      <c r="AY951" s="73"/>
      <c r="AZ951" s="73"/>
      <c r="BA951" s="73"/>
      <c r="BB951" s="73"/>
      <c r="BC951" s="73"/>
      <c r="BD951" s="73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</row>
    <row r="952" ht="15.75" customHeight="1">
      <c r="A952" s="56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  <c r="AD952" s="70"/>
      <c r="AE952" s="70"/>
      <c r="AF952" s="70"/>
      <c r="AG952" s="70"/>
      <c r="AH952" s="70"/>
      <c r="AI952" s="70"/>
      <c r="AJ952" s="70"/>
      <c r="AK952" s="70"/>
      <c r="AL952" s="70"/>
      <c r="AM952" s="70"/>
      <c r="AN952" s="70"/>
      <c r="AO952" s="70"/>
      <c r="AP952" s="70"/>
      <c r="AQ952" s="70"/>
      <c r="AR952" s="70"/>
      <c r="AS952" s="70"/>
      <c r="AT952" s="70"/>
      <c r="AU952" s="70"/>
      <c r="AV952" s="70"/>
      <c r="AW952" s="21"/>
      <c r="AX952" s="73"/>
      <c r="AY952" s="73"/>
      <c r="AZ952" s="73"/>
      <c r="BA952" s="73"/>
      <c r="BB952" s="73"/>
      <c r="BC952" s="73"/>
      <c r="BD952" s="73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</row>
    <row r="953" ht="15.75" customHeight="1">
      <c r="A953" s="56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  <c r="AD953" s="70"/>
      <c r="AE953" s="70"/>
      <c r="AF953" s="70"/>
      <c r="AG953" s="70"/>
      <c r="AH953" s="70"/>
      <c r="AI953" s="70"/>
      <c r="AJ953" s="70"/>
      <c r="AK953" s="70"/>
      <c r="AL953" s="70"/>
      <c r="AM953" s="70"/>
      <c r="AN953" s="70"/>
      <c r="AO953" s="70"/>
      <c r="AP953" s="70"/>
      <c r="AQ953" s="70"/>
      <c r="AR953" s="70"/>
      <c r="AS953" s="70"/>
      <c r="AT953" s="70"/>
      <c r="AU953" s="70"/>
      <c r="AV953" s="70"/>
      <c r="AW953" s="21"/>
      <c r="AX953" s="73"/>
      <c r="AY953" s="73"/>
      <c r="AZ953" s="73"/>
      <c r="BA953" s="73"/>
      <c r="BB953" s="73"/>
      <c r="BC953" s="73"/>
      <c r="BD953" s="73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</row>
    <row r="954" ht="15.75" customHeight="1">
      <c r="A954" s="56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  <c r="AD954" s="70"/>
      <c r="AE954" s="70"/>
      <c r="AF954" s="70"/>
      <c r="AG954" s="70"/>
      <c r="AH954" s="70"/>
      <c r="AI954" s="70"/>
      <c r="AJ954" s="70"/>
      <c r="AK954" s="70"/>
      <c r="AL954" s="70"/>
      <c r="AM954" s="70"/>
      <c r="AN954" s="70"/>
      <c r="AO954" s="70"/>
      <c r="AP954" s="70"/>
      <c r="AQ954" s="70"/>
      <c r="AR954" s="70"/>
      <c r="AS954" s="70"/>
      <c r="AT954" s="70"/>
      <c r="AU954" s="70"/>
      <c r="AV954" s="70"/>
      <c r="AW954" s="21"/>
      <c r="AX954" s="73"/>
      <c r="AY954" s="73"/>
      <c r="AZ954" s="73"/>
      <c r="BA954" s="73"/>
      <c r="BB954" s="73"/>
      <c r="BC954" s="73"/>
      <c r="BD954" s="73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</row>
    <row r="955" ht="15.75" customHeight="1">
      <c r="A955" s="56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  <c r="AD955" s="70"/>
      <c r="AE955" s="70"/>
      <c r="AF955" s="70"/>
      <c r="AG955" s="70"/>
      <c r="AH955" s="70"/>
      <c r="AI955" s="70"/>
      <c r="AJ955" s="70"/>
      <c r="AK955" s="70"/>
      <c r="AL955" s="70"/>
      <c r="AM955" s="70"/>
      <c r="AN955" s="70"/>
      <c r="AO955" s="70"/>
      <c r="AP955" s="70"/>
      <c r="AQ955" s="70"/>
      <c r="AR955" s="70"/>
      <c r="AS955" s="70"/>
      <c r="AT955" s="70"/>
      <c r="AU955" s="70"/>
      <c r="AV955" s="70"/>
      <c r="AW955" s="21"/>
      <c r="AX955" s="73"/>
      <c r="AY955" s="73"/>
      <c r="AZ955" s="73"/>
      <c r="BA955" s="73"/>
      <c r="BB955" s="73"/>
      <c r="BC955" s="73"/>
      <c r="BD955" s="73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</row>
    <row r="956" ht="15.75" customHeight="1">
      <c r="A956" s="56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  <c r="AD956" s="70"/>
      <c r="AE956" s="70"/>
      <c r="AF956" s="70"/>
      <c r="AG956" s="70"/>
      <c r="AH956" s="70"/>
      <c r="AI956" s="70"/>
      <c r="AJ956" s="70"/>
      <c r="AK956" s="70"/>
      <c r="AL956" s="70"/>
      <c r="AM956" s="70"/>
      <c r="AN956" s="70"/>
      <c r="AO956" s="70"/>
      <c r="AP956" s="70"/>
      <c r="AQ956" s="70"/>
      <c r="AR956" s="70"/>
      <c r="AS956" s="70"/>
      <c r="AT956" s="70"/>
      <c r="AU956" s="70"/>
      <c r="AV956" s="70"/>
      <c r="AW956" s="21"/>
      <c r="AX956" s="73"/>
      <c r="AY956" s="73"/>
      <c r="AZ956" s="73"/>
      <c r="BA956" s="73"/>
      <c r="BB956" s="73"/>
      <c r="BC956" s="73"/>
      <c r="BD956" s="73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</row>
    <row r="957" ht="15.75" customHeight="1">
      <c r="A957" s="56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  <c r="AD957" s="70"/>
      <c r="AE957" s="70"/>
      <c r="AF957" s="70"/>
      <c r="AG957" s="70"/>
      <c r="AH957" s="70"/>
      <c r="AI957" s="70"/>
      <c r="AJ957" s="70"/>
      <c r="AK957" s="70"/>
      <c r="AL957" s="70"/>
      <c r="AM957" s="70"/>
      <c r="AN957" s="70"/>
      <c r="AO957" s="70"/>
      <c r="AP957" s="70"/>
      <c r="AQ957" s="70"/>
      <c r="AR957" s="70"/>
      <c r="AS957" s="70"/>
      <c r="AT957" s="70"/>
      <c r="AU957" s="70"/>
      <c r="AV957" s="70"/>
      <c r="AW957" s="21"/>
      <c r="AX957" s="73"/>
      <c r="AY957" s="73"/>
      <c r="AZ957" s="73"/>
      <c r="BA957" s="73"/>
      <c r="BB957" s="73"/>
      <c r="BC957" s="73"/>
      <c r="BD957" s="73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</row>
    <row r="958" ht="15.75" customHeight="1">
      <c r="A958" s="56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  <c r="AD958" s="70"/>
      <c r="AE958" s="70"/>
      <c r="AF958" s="70"/>
      <c r="AG958" s="70"/>
      <c r="AH958" s="70"/>
      <c r="AI958" s="70"/>
      <c r="AJ958" s="70"/>
      <c r="AK958" s="70"/>
      <c r="AL958" s="70"/>
      <c r="AM958" s="70"/>
      <c r="AN958" s="70"/>
      <c r="AO958" s="70"/>
      <c r="AP958" s="70"/>
      <c r="AQ958" s="70"/>
      <c r="AR958" s="70"/>
      <c r="AS958" s="70"/>
      <c r="AT958" s="70"/>
      <c r="AU958" s="70"/>
      <c r="AV958" s="70"/>
      <c r="AW958" s="21"/>
      <c r="AX958" s="73"/>
      <c r="AY958" s="73"/>
      <c r="AZ958" s="73"/>
      <c r="BA958" s="73"/>
      <c r="BB958" s="73"/>
      <c r="BC958" s="73"/>
      <c r="BD958" s="73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</row>
    <row r="959" ht="15.75" customHeight="1">
      <c r="A959" s="56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  <c r="AD959" s="70"/>
      <c r="AE959" s="70"/>
      <c r="AF959" s="70"/>
      <c r="AG959" s="70"/>
      <c r="AH959" s="70"/>
      <c r="AI959" s="70"/>
      <c r="AJ959" s="70"/>
      <c r="AK959" s="70"/>
      <c r="AL959" s="70"/>
      <c r="AM959" s="70"/>
      <c r="AN959" s="70"/>
      <c r="AO959" s="70"/>
      <c r="AP959" s="70"/>
      <c r="AQ959" s="70"/>
      <c r="AR959" s="70"/>
      <c r="AS959" s="70"/>
      <c r="AT959" s="70"/>
      <c r="AU959" s="70"/>
      <c r="AV959" s="70"/>
      <c r="AW959" s="21"/>
      <c r="AX959" s="73"/>
      <c r="AY959" s="73"/>
      <c r="AZ959" s="73"/>
      <c r="BA959" s="73"/>
      <c r="BB959" s="73"/>
      <c r="BC959" s="73"/>
      <c r="BD959" s="73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</row>
    <row r="960" ht="15.75" customHeight="1">
      <c r="A960" s="56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  <c r="AD960" s="70"/>
      <c r="AE960" s="70"/>
      <c r="AF960" s="70"/>
      <c r="AG960" s="70"/>
      <c r="AH960" s="70"/>
      <c r="AI960" s="70"/>
      <c r="AJ960" s="70"/>
      <c r="AK960" s="70"/>
      <c r="AL960" s="70"/>
      <c r="AM960" s="70"/>
      <c r="AN960" s="70"/>
      <c r="AO960" s="70"/>
      <c r="AP960" s="70"/>
      <c r="AQ960" s="70"/>
      <c r="AR960" s="70"/>
      <c r="AS960" s="70"/>
      <c r="AT960" s="70"/>
      <c r="AU960" s="70"/>
      <c r="AV960" s="70"/>
      <c r="AW960" s="21"/>
      <c r="AX960" s="73"/>
      <c r="AY960" s="73"/>
      <c r="AZ960" s="73"/>
      <c r="BA960" s="73"/>
      <c r="BB960" s="73"/>
      <c r="BC960" s="73"/>
      <c r="BD960" s="73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</row>
    <row r="961" ht="15.75" customHeight="1">
      <c r="A961" s="56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  <c r="AD961" s="70"/>
      <c r="AE961" s="70"/>
      <c r="AF961" s="70"/>
      <c r="AG961" s="70"/>
      <c r="AH961" s="70"/>
      <c r="AI961" s="70"/>
      <c r="AJ961" s="70"/>
      <c r="AK961" s="70"/>
      <c r="AL961" s="70"/>
      <c r="AM961" s="70"/>
      <c r="AN961" s="70"/>
      <c r="AO961" s="70"/>
      <c r="AP961" s="70"/>
      <c r="AQ961" s="70"/>
      <c r="AR961" s="70"/>
      <c r="AS961" s="70"/>
      <c r="AT961" s="70"/>
      <c r="AU961" s="70"/>
      <c r="AV961" s="70"/>
      <c r="AW961" s="21"/>
      <c r="AX961" s="73"/>
      <c r="AY961" s="73"/>
      <c r="AZ961" s="73"/>
      <c r="BA961" s="73"/>
      <c r="BB961" s="73"/>
      <c r="BC961" s="73"/>
      <c r="BD961" s="73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</row>
    <row r="962" ht="15.75" customHeight="1">
      <c r="A962" s="56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  <c r="AD962" s="70"/>
      <c r="AE962" s="70"/>
      <c r="AF962" s="70"/>
      <c r="AG962" s="70"/>
      <c r="AH962" s="70"/>
      <c r="AI962" s="70"/>
      <c r="AJ962" s="70"/>
      <c r="AK962" s="70"/>
      <c r="AL962" s="70"/>
      <c r="AM962" s="70"/>
      <c r="AN962" s="70"/>
      <c r="AO962" s="70"/>
      <c r="AP962" s="70"/>
      <c r="AQ962" s="70"/>
      <c r="AR962" s="70"/>
      <c r="AS962" s="70"/>
      <c r="AT962" s="70"/>
      <c r="AU962" s="70"/>
      <c r="AV962" s="70"/>
      <c r="AW962" s="21"/>
      <c r="AX962" s="73"/>
      <c r="AY962" s="73"/>
      <c r="AZ962" s="73"/>
      <c r="BA962" s="73"/>
      <c r="BB962" s="73"/>
      <c r="BC962" s="73"/>
      <c r="BD962" s="73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/>
    </row>
    <row r="963" ht="15.75" customHeight="1">
      <c r="A963" s="56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  <c r="AD963" s="70"/>
      <c r="AE963" s="70"/>
      <c r="AF963" s="70"/>
      <c r="AG963" s="70"/>
      <c r="AH963" s="70"/>
      <c r="AI963" s="70"/>
      <c r="AJ963" s="70"/>
      <c r="AK963" s="70"/>
      <c r="AL963" s="70"/>
      <c r="AM963" s="70"/>
      <c r="AN963" s="70"/>
      <c r="AO963" s="70"/>
      <c r="AP963" s="70"/>
      <c r="AQ963" s="70"/>
      <c r="AR963" s="70"/>
      <c r="AS963" s="70"/>
      <c r="AT963" s="70"/>
      <c r="AU963" s="70"/>
      <c r="AV963" s="70"/>
      <c r="AW963" s="21"/>
      <c r="AX963" s="73"/>
      <c r="AY963" s="73"/>
      <c r="AZ963" s="73"/>
      <c r="BA963" s="73"/>
      <c r="BB963" s="73"/>
      <c r="BC963" s="73"/>
      <c r="BD963" s="73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</row>
    <row r="964" ht="15.75" customHeight="1">
      <c r="A964" s="56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  <c r="AD964" s="70"/>
      <c r="AE964" s="70"/>
      <c r="AF964" s="70"/>
      <c r="AG964" s="70"/>
      <c r="AH964" s="70"/>
      <c r="AI964" s="70"/>
      <c r="AJ964" s="70"/>
      <c r="AK964" s="70"/>
      <c r="AL964" s="70"/>
      <c r="AM964" s="70"/>
      <c r="AN964" s="70"/>
      <c r="AO964" s="70"/>
      <c r="AP964" s="70"/>
      <c r="AQ964" s="70"/>
      <c r="AR964" s="70"/>
      <c r="AS964" s="70"/>
      <c r="AT964" s="70"/>
      <c r="AU964" s="70"/>
      <c r="AV964" s="70"/>
      <c r="AW964" s="21"/>
      <c r="AX964" s="73"/>
      <c r="AY964" s="73"/>
      <c r="AZ964" s="73"/>
      <c r="BA964" s="73"/>
      <c r="BB964" s="73"/>
      <c r="BC964" s="73"/>
      <c r="BD964" s="73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</row>
    <row r="965" ht="15.75" customHeight="1">
      <c r="A965" s="56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  <c r="AD965" s="70"/>
      <c r="AE965" s="70"/>
      <c r="AF965" s="70"/>
      <c r="AG965" s="70"/>
      <c r="AH965" s="70"/>
      <c r="AI965" s="70"/>
      <c r="AJ965" s="70"/>
      <c r="AK965" s="70"/>
      <c r="AL965" s="70"/>
      <c r="AM965" s="70"/>
      <c r="AN965" s="70"/>
      <c r="AO965" s="70"/>
      <c r="AP965" s="70"/>
      <c r="AQ965" s="70"/>
      <c r="AR965" s="70"/>
      <c r="AS965" s="70"/>
      <c r="AT965" s="70"/>
      <c r="AU965" s="70"/>
      <c r="AV965" s="70"/>
      <c r="AW965" s="21"/>
      <c r="AX965" s="73"/>
      <c r="AY965" s="73"/>
      <c r="AZ965" s="73"/>
      <c r="BA965" s="73"/>
      <c r="BB965" s="73"/>
      <c r="BC965" s="73"/>
      <c r="BD965" s="73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</row>
    <row r="966" ht="15.75" customHeight="1">
      <c r="A966" s="56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  <c r="AD966" s="70"/>
      <c r="AE966" s="70"/>
      <c r="AF966" s="70"/>
      <c r="AG966" s="70"/>
      <c r="AH966" s="70"/>
      <c r="AI966" s="70"/>
      <c r="AJ966" s="70"/>
      <c r="AK966" s="70"/>
      <c r="AL966" s="70"/>
      <c r="AM966" s="70"/>
      <c r="AN966" s="70"/>
      <c r="AO966" s="70"/>
      <c r="AP966" s="70"/>
      <c r="AQ966" s="70"/>
      <c r="AR966" s="70"/>
      <c r="AS966" s="70"/>
      <c r="AT966" s="70"/>
      <c r="AU966" s="70"/>
      <c r="AV966" s="70"/>
      <c r="AW966" s="21"/>
      <c r="AX966" s="73"/>
      <c r="AY966" s="73"/>
      <c r="AZ966" s="73"/>
      <c r="BA966" s="73"/>
      <c r="BB966" s="73"/>
      <c r="BC966" s="73"/>
      <c r="BD966" s="73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</row>
    <row r="967" ht="15.75" customHeight="1">
      <c r="A967" s="56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  <c r="AD967" s="70"/>
      <c r="AE967" s="70"/>
      <c r="AF967" s="70"/>
      <c r="AG967" s="70"/>
      <c r="AH967" s="70"/>
      <c r="AI967" s="70"/>
      <c r="AJ967" s="70"/>
      <c r="AK967" s="70"/>
      <c r="AL967" s="70"/>
      <c r="AM967" s="70"/>
      <c r="AN967" s="70"/>
      <c r="AO967" s="70"/>
      <c r="AP967" s="70"/>
      <c r="AQ967" s="70"/>
      <c r="AR967" s="70"/>
      <c r="AS967" s="70"/>
      <c r="AT967" s="70"/>
      <c r="AU967" s="70"/>
      <c r="AV967" s="70"/>
      <c r="AW967" s="21"/>
      <c r="AX967" s="73"/>
      <c r="AY967" s="73"/>
      <c r="AZ967" s="73"/>
      <c r="BA967" s="73"/>
      <c r="BB967" s="73"/>
      <c r="BC967" s="73"/>
      <c r="BD967" s="73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</row>
    <row r="968" ht="15.75" customHeight="1">
      <c r="A968" s="56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  <c r="AD968" s="70"/>
      <c r="AE968" s="70"/>
      <c r="AF968" s="70"/>
      <c r="AG968" s="70"/>
      <c r="AH968" s="70"/>
      <c r="AI968" s="70"/>
      <c r="AJ968" s="70"/>
      <c r="AK968" s="70"/>
      <c r="AL968" s="70"/>
      <c r="AM968" s="70"/>
      <c r="AN968" s="70"/>
      <c r="AO968" s="70"/>
      <c r="AP968" s="70"/>
      <c r="AQ968" s="70"/>
      <c r="AR968" s="70"/>
      <c r="AS968" s="70"/>
      <c r="AT968" s="70"/>
      <c r="AU968" s="70"/>
      <c r="AV968" s="70"/>
      <c r="AW968" s="21"/>
      <c r="AX968" s="73"/>
      <c r="AY968" s="73"/>
      <c r="AZ968" s="73"/>
      <c r="BA968" s="73"/>
      <c r="BB968" s="73"/>
      <c r="BC968" s="73"/>
      <c r="BD968" s="73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</row>
    <row r="969" ht="15.75" customHeight="1">
      <c r="A969" s="56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  <c r="AD969" s="70"/>
      <c r="AE969" s="70"/>
      <c r="AF969" s="70"/>
      <c r="AG969" s="70"/>
      <c r="AH969" s="70"/>
      <c r="AI969" s="70"/>
      <c r="AJ969" s="70"/>
      <c r="AK969" s="70"/>
      <c r="AL969" s="70"/>
      <c r="AM969" s="70"/>
      <c r="AN969" s="70"/>
      <c r="AO969" s="70"/>
      <c r="AP969" s="70"/>
      <c r="AQ969" s="70"/>
      <c r="AR969" s="70"/>
      <c r="AS969" s="70"/>
      <c r="AT969" s="70"/>
      <c r="AU969" s="70"/>
      <c r="AV969" s="70"/>
      <c r="AW969" s="21"/>
      <c r="AX969" s="73"/>
      <c r="AY969" s="73"/>
      <c r="AZ969" s="73"/>
      <c r="BA969" s="73"/>
      <c r="BB969" s="73"/>
      <c r="BC969" s="73"/>
      <c r="BD969" s="73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</row>
    <row r="970" ht="15.75" customHeight="1">
      <c r="A970" s="56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  <c r="AD970" s="70"/>
      <c r="AE970" s="70"/>
      <c r="AF970" s="70"/>
      <c r="AG970" s="70"/>
      <c r="AH970" s="70"/>
      <c r="AI970" s="70"/>
      <c r="AJ970" s="70"/>
      <c r="AK970" s="70"/>
      <c r="AL970" s="70"/>
      <c r="AM970" s="70"/>
      <c r="AN970" s="70"/>
      <c r="AO970" s="70"/>
      <c r="AP970" s="70"/>
      <c r="AQ970" s="70"/>
      <c r="AR970" s="70"/>
      <c r="AS970" s="70"/>
      <c r="AT970" s="70"/>
      <c r="AU970" s="70"/>
      <c r="AV970" s="70"/>
      <c r="AW970" s="21"/>
      <c r="AX970" s="73"/>
      <c r="AY970" s="73"/>
      <c r="AZ970" s="73"/>
      <c r="BA970" s="73"/>
      <c r="BB970" s="73"/>
      <c r="BC970" s="73"/>
      <c r="BD970" s="73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</row>
    <row r="971" ht="15.75" customHeight="1">
      <c r="A971" s="56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  <c r="AD971" s="70"/>
      <c r="AE971" s="70"/>
      <c r="AF971" s="70"/>
      <c r="AG971" s="70"/>
      <c r="AH971" s="70"/>
      <c r="AI971" s="70"/>
      <c r="AJ971" s="70"/>
      <c r="AK971" s="70"/>
      <c r="AL971" s="70"/>
      <c r="AM971" s="70"/>
      <c r="AN971" s="70"/>
      <c r="AO971" s="70"/>
      <c r="AP971" s="70"/>
      <c r="AQ971" s="70"/>
      <c r="AR971" s="70"/>
      <c r="AS971" s="70"/>
      <c r="AT971" s="70"/>
      <c r="AU971" s="70"/>
      <c r="AV971" s="70"/>
      <c r="AW971" s="21"/>
      <c r="AX971" s="73"/>
      <c r="AY971" s="73"/>
      <c r="AZ971" s="73"/>
      <c r="BA971" s="73"/>
      <c r="BB971" s="73"/>
      <c r="BC971" s="73"/>
      <c r="BD971" s="73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</row>
    <row r="972" ht="15.75" customHeight="1">
      <c r="A972" s="56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  <c r="AD972" s="70"/>
      <c r="AE972" s="70"/>
      <c r="AF972" s="70"/>
      <c r="AG972" s="70"/>
      <c r="AH972" s="70"/>
      <c r="AI972" s="70"/>
      <c r="AJ972" s="70"/>
      <c r="AK972" s="70"/>
      <c r="AL972" s="70"/>
      <c r="AM972" s="70"/>
      <c r="AN972" s="70"/>
      <c r="AO972" s="70"/>
      <c r="AP972" s="70"/>
      <c r="AQ972" s="70"/>
      <c r="AR972" s="70"/>
      <c r="AS972" s="70"/>
      <c r="AT972" s="70"/>
      <c r="AU972" s="70"/>
      <c r="AV972" s="70"/>
      <c r="AW972" s="21"/>
      <c r="AX972" s="73"/>
      <c r="AY972" s="73"/>
      <c r="AZ972" s="73"/>
      <c r="BA972" s="73"/>
      <c r="BB972" s="73"/>
      <c r="BC972" s="73"/>
      <c r="BD972" s="73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</row>
    <row r="973" ht="15.75" customHeight="1">
      <c r="A973" s="56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  <c r="AD973" s="70"/>
      <c r="AE973" s="70"/>
      <c r="AF973" s="70"/>
      <c r="AG973" s="70"/>
      <c r="AH973" s="70"/>
      <c r="AI973" s="70"/>
      <c r="AJ973" s="70"/>
      <c r="AK973" s="70"/>
      <c r="AL973" s="70"/>
      <c r="AM973" s="70"/>
      <c r="AN973" s="70"/>
      <c r="AO973" s="70"/>
      <c r="AP973" s="70"/>
      <c r="AQ973" s="70"/>
      <c r="AR973" s="70"/>
      <c r="AS973" s="70"/>
      <c r="AT973" s="70"/>
      <c r="AU973" s="70"/>
      <c r="AV973" s="70"/>
      <c r="AW973" s="21"/>
      <c r="AX973" s="73"/>
      <c r="AY973" s="73"/>
      <c r="AZ973" s="73"/>
      <c r="BA973" s="73"/>
      <c r="BB973" s="73"/>
      <c r="BC973" s="73"/>
      <c r="BD973" s="73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</row>
    <row r="974" ht="15.75" customHeight="1">
      <c r="A974" s="56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  <c r="AD974" s="70"/>
      <c r="AE974" s="70"/>
      <c r="AF974" s="70"/>
      <c r="AG974" s="70"/>
      <c r="AH974" s="70"/>
      <c r="AI974" s="70"/>
      <c r="AJ974" s="70"/>
      <c r="AK974" s="70"/>
      <c r="AL974" s="70"/>
      <c r="AM974" s="70"/>
      <c r="AN974" s="70"/>
      <c r="AO974" s="70"/>
      <c r="AP974" s="70"/>
      <c r="AQ974" s="70"/>
      <c r="AR974" s="70"/>
      <c r="AS974" s="70"/>
      <c r="AT974" s="70"/>
      <c r="AU974" s="70"/>
      <c r="AV974" s="70"/>
      <c r="AW974" s="21"/>
      <c r="AX974" s="73"/>
      <c r="AY974" s="73"/>
      <c r="AZ974" s="73"/>
      <c r="BA974" s="73"/>
      <c r="BB974" s="73"/>
      <c r="BC974" s="73"/>
      <c r="BD974" s="73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</row>
    <row r="975" ht="15.75" customHeight="1">
      <c r="A975" s="56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  <c r="AD975" s="70"/>
      <c r="AE975" s="70"/>
      <c r="AF975" s="70"/>
      <c r="AG975" s="70"/>
      <c r="AH975" s="70"/>
      <c r="AI975" s="70"/>
      <c r="AJ975" s="70"/>
      <c r="AK975" s="70"/>
      <c r="AL975" s="70"/>
      <c r="AM975" s="70"/>
      <c r="AN975" s="70"/>
      <c r="AO975" s="70"/>
      <c r="AP975" s="70"/>
      <c r="AQ975" s="70"/>
      <c r="AR975" s="70"/>
      <c r="AS975" s="70"/>
      <c r="AT975" s="70"/>
      <c r="AU975" s="70"/>
      <c r="AV975" s="70"/>
      <c r="AW975" s="21"/>
      <c r="AX975" s="73"/>
      <c r="AY975" s="73"/>
      <c r="AZ975" s="73"/>
      <c r="BA975" s="73"/>
      <c r="BB975" s="73"/>
      <c r="BC975" s="73"/>
      <c r="BD975" s="73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</row>
    <row r="976" ht="15.75" customHeight="1">
      <c r="A976" s="56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  <c r="AD976" s="70"/>
      <c r="AE976" s="70"/>
      <c r="AF976" s="70"/>
      <c r="AG976" s="70"/>
      <c r="AH976" s="70"/>
      <c r="AI976" s="70"/>
      <c r="AJ976" s="70"/>
      <c r="AK976" s="70"/>
      <c r="AL976" s="70"/>
      <c r="AM976" s="70"/>
      <c r="AN976" s="70"/>
      <c r="AO976" s="70"/>
      <c r="AP976" s="70"/>
      <c r="AQ976" s="70"/>
      <c r="AR976" s="70"/>
      <c r="AS976" s="70"/>
      <c r="AT976" s="70"/>
      <c r="AU976" s="70"/>
      <c r="AV976" s="70"/>
      <c r="AW976" s="21"/>
      <c r="AX976" s="73"/>
      <c r="AY976" s="73"/>
      <c r="AZ976" s="73"/>
      <c r="BA976" s="73"/>
      <c r="BB976" s="73"/>
      <c r="BC976" s="73"/>
      <c r="BD976" s="73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</row>
    <row r="977" ht="15.75" customHeight="1">
      <c r="A977" s="56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  <c r="AD977" s="70"/>
      <c r="AE977" s="70"/>
      <c r="AF977" s="70"/>
      <c r="AG977" s="70"/>
      <c r="AH977" s="70"/>
      <c r="AI977" s="70"/>
      <c r="AJ977" s="70"/>
      <c r="AK977" s="70"/>
      <c r="AL977" s="70"/>
      <c r="AM977" s="70"/>
      <c r="AN977" s="70"/>
      <c r="AO977" s="70"/>
      <c r="AP977" s="70"/>
      <c r="AQ977" s="70"/>
      <c r="AR977" s="70"/>
      <c r="AS977" s="70"/>
      <c r="AT977" s="70"/>
      <c r="AU977" s="70"/>
      <c r="AV977" s="70"/>
      <c r="AW977" s="21"/>
      <c r="AX977" s="73"/>
      <c r="AY977" s="73"/>
      <c r="AZ977" s="73"/>
      <c r="BA977" s="73"/>
      <c r="BB977" s="73"/>
      <c r="BC977" s="73"/>
      <c r="BD977" s="73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</row>
    <row r="978" ht="15.75" customHeight="1">
      <c r="A978" s="56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  <c r="AD978" s="70"/>
      <c r="AE978" s="70"/>
      <c r="AF978" s="70"/>
      <c r="AG978" s="70"/>
      <c r="AH978" s="70"/>
      <c r="AI978" s="70"/>
      <c r="AJ978" s="70"/>
      <c r="AK978" s="70"/>
      <c r="AL978" s="70"/>
      <c r="AM978" s="70"/>
      <c r="AN978" s="70"/>
      <c r="AO978" s="70"/>
      <c r="AP978" s="70"/>
      <c r="AQ978" s="70"/>
      <c r="AR978" s="70"/>
      <c r="AS978" s="70"/>
      <c r="AT978" s="70"/>
      <c r="AU978" s="70"/>
      <c r="AV978" s="70"/>
      <c r="AW978" s="21"/>
      <c r="AX978" s="73"/>
      <c r="AY978" s="73"/>
      <c r="AZ978" s="73"/>
      <c r="BA978" s="73"/>
      <c r="BB978" s="73"/>
      <c r="BC978" s="73"/>
      <c r="BD978" s="73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</row>
    <row r="979" ht="15.75" customHeight="1">
      <c r="A979" s="56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  <c r="AD979" s="70"/>
      <c r="AE979" s="70"/>
      <c r="AF979" s="70"/>
      <c r="AG979" s="70"/>
      <c r="AH979" s="70"/>
      <c r="AI979" s="70"/>
      <c r="AJ979" s="70"/>
      <c r="AK979" s="70"/>
      <c r="AL979" s="70"/>
      <c r="AM979" s="70"/>
      <c r="AN979" s="70"/>
      <c r="AO979" s="70"/>
      <c r="AP979" s="70"/>
      <c r="AQ979" s="70"/>
      <c r="AR979" s="70"/>
      <c r="AS979" s="70"/>
      <c r="AT979" s="70"/>
      <c r="AU979" s="70"/>
      <c r="AV979" s="70"/>
      <c r="AW979" s="21"/>
      <c r="AX979" s="73"/>
      <c r="AY979" s="73"/>
      <c r="AZ979" s="73"/>
      <c r="BA979" s="73"/>
      <c r="BB979" s="73"/>
      <c r="BC979" s="73"/>
      <c r="BD979" s="73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</row>
    <row r="980" ht="15.75" customHeight="1">
      <c r="A980" s="56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  <c r="AD980" s="70"/>
      <c r="AE980" s="70"/>
      <c r="AF980" s="70"/>
      <c r="AG980" s="70"/>
      <c r="AH980" s="70"/>
      <c r="AI980" s="70"/>
      <c r="AJ980" s="70"/>
      <c r="AK980" s="70"/>
      <c r="AL980" s="70"/>
      <c r="AM980" s="70"/>
      <c r="AN980" s="70"/>
      <c r="AO980" s="70"/>
      <c r="AP980" s="70"/>
      <c r="AQ980" s="70"/>
      <c r="AR980" s="70"/>
      <c r="AS980" s="70"/>
      <c r="AT980" s="70"/>
      <c r="AU980" s="70"/>
      <c r="AV980" s="70"/>
      <c r="AW980" s="21"/>
      <c r="AX980" s="73"/>
      <c r="AY980" s="73"/>
      <c r="AZ980" s="73"/>
      <c r="BA980" s="73"/>
      <c r="BB980" s="73"/>
      <c r="BC980" s="73"/>
      <c r="BD980" s="73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</row>
    <row r="981" ht="15.75" customHeight="1">
      <c r="A981" s="56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  <c r="AD981" s="70"/>
      <c r="AE981" s="70"/>
      <c r="AF981" s="70"/>
      <c r="AG981" s="70"/>
      <c r="AH981" s="70"/>
      <c r="AI981" s="70"/>
      <c r="AJ981" s="70"/>
      <c r="AK981" s="70"/>
      <c r="AL981" s="70"/>
      <c r="AM981" s="70"/>
      <c r="AN981" s="70"/>
      <c r="AO981" s="70"/>
      <c r="AP981" s="70"/>
      <c r="AQ981" s="70"/>
      <c r="AR981" s="70"/>
      <c r="AS981" s="70"/>
      <c r="AT981" s="70"/>
      <c r="AU981" s="70"/>
      <c r="AV981" s="70"/>
      <c r="AW981" s="21"/>
      <c r="AX981" s="73"/>
      <c r="AY981" s="73"/>
      <c r="AZ981" s="73"/>
      <c r="BA981" s="73"/>
      <c r="BB981" s="73"/>
      <c r="BC981" s="73"/>
      <c r="BD981" s="73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</row>
    <row r="982" ht="15.75" customHeight="1">
      <c r="A982" s="56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  <c r="AD982" s="70"/>
      <c r="AE982" s="70"/>
      <c r="AF982" s="70"/>
      <c r="AG982" s="70"/>
      <c r="AH982" s="70"/>
      <c r="AI982" s="70"/>
      <c r="AJ982" s="70"/>
      <c r="AK982" s="70"/>
      <c r="AL982" s="70"/>
      <c r="AM982" s="70"/>
      <c r="AN982" s="70"/>
      <c r="AO982" s="70"/>
      <c r="AP982" s="70"/>
      <c r="AQ982" s="70"/>
      <c r="AR982" s="70"/>
      <c r="AS982" s="70"/>
      <c r="AT982" s="70"/>
      <c r="AU982" s="70"/>
      <c r="AV982" s="70"/>
      <c r="AW982" s="21"/>
      <c r="AX982" s="73"/>
      <c r="AY982" s="73"/>
      <c r="AZ982" s="73"/>
      <c r="BA982" s="73"/>
      <c r="BB982" s="73"/>
      <c r="BC982" s="73"/>
      <c r="BD982" s="73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</row>
    <row r="983" ht="15.75" customHeight="1">
      <c r="A983" s="56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  <c r="AD983" s="70"/>
      <c r="AE983" s="70"/>
      <c r="AF983" s="70"/>
      <c r="AG983" s="70"/>
      <c r="AH983" s="70"/>
      <c r="AI983" s="70"/>
      <c r="AJ983" s="70"/>
      <c r="AK983" s="70"/>
      <c r="AL983" s="70"/>
      <c r="AM983" s="70"/>
      <c r="AN983" s="70"/>
      <c r="AO983" s="70"/>
      <c r="AP983" s="70"/>
      <c r="AQ983" s="70"/>
      <c r="AR983" s="70"/>
      <c r="AS983" s="70"/>
      <c r="AT983" s="70"/>
      <c r="AU983" s="70"/>
      <c r="AV983" s="70"/>
      <c r="AW983" s="21"/>
      <c r="AX983" s="73"/>
      <c r="AY983" s="73"/>
      <c r="AZ983" s="73"/>
      <c r="BA983" s="73"/>
      <c r="BB983" s="73"/>
      <c r="BC983" s="73"/>
      <c r="BD983" s="73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</row>
    <row r="984" ht="15.75" customHeight="1">
      <c r="A984" s="56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  <c r="AD984" s="70"/>
      <c r="AE984" s="70"/>
      <c r="AF984" s="70"/>
      <c r="AG984" s="70"/>
      <c r="AH984" s="70"/>
      <c r="AI984" s="70"/>
      <c r="AJ984" s="70"/>
      <c r="AK984" s="70"/>
      <c r="AL984" s="70"/>
      <c r="AM984" s="70"/>
      <c r="AN984" s="70"/>
      <c r="AO984" s="70"/>
      <c r="AP984" s="70"/>
      <c r="AQ984" s="70"/>
      <c r="AR984" s="70"/>
      <c r="AS984" s="70"/>
      <c r="AT984" s="70"/>
      <c r="AU984" s="70"/>
      <c r="AV984" s="70"/>
      <c r="AW984" s="21"/>
      <c r="AX984" s="73"/>
      <c r="AY984" s="73"/>
      <c r="AZ984" s="73"/>
      <c r="BA984" s="73"/>
      <c r="BB984" s="73"/>
      <c r="BC984" s="73"/>
      <c r="BD984" s="73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</row>
    <row r="985" ht="15.75" customHeight="1">
      <c r="A985" s="56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  <c r="AD985" s="70"/>
      <c r="AE985" s="70"/>
      <c r="AF985" s="70"/>
      <c r="AG985" s="70"/>
      <c r="AH985" s="70"/>
      <c r="AI985" s="70"/>
      <c r="AJ985" s="70"/>
      <c r="AK985" s="70"/>
      <c r="AL985" s="70"/>
      <c r="AM985" s="70"/>
      <c r="AN985" s="70"/>
      <c r="AO985" s="70"/>
      <c r="AP985" s="70"/>
      <c r="AQ985" s="70"/>
      <c r="AR985" s="70"/>
      <c r="AS985" s="70"/>
      <c r="AT985" s="70"/>
      <c r="AU985" s="70"/>
      <c r="AV985" s="70"/>
      <c r="AW985" s="21"/>
      <c r="AX985" s="73"/>
      <c r="AY985" s="73"/>
      <c r="AZ985" s="73"/>
      <c r="BA985" s="73"/>
      <c r="BB985" s="73"/>
      <c r="BC985" s="73"/>
      <c r="BD985" s="73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</row>
    <row r="986" ht="15.75" customHeight="1">
      <c r="A986" s="56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  <c r="AD986" s="70"/>
      <c r="AE986" s="70"/>
      <c r="AF986" s="70"/>
      <c r="AG986" s="70"/>
      <c r="AH986" s="70"/>
      <c r="AI986" s="70"/>
      <c r="AJ986" s="70"/>
      <c r="AK986" s="70"/>
      <c r="AL986" s="70"/>
      <c r="AM986" s="70"/>
      <c r="AN986" s="70"/>
      <c r="AO986" s="70"/>
      <c r="AP986" s="70"/>
      <c r="AQ986" s="70"/>
      <c r="AR986" s="70"/>
      <c r="AS986" s="70"/>
      <c r="AT986" s="70"/>
      <c r="AU986" s="70"/>
      <c r="AV986" s="70"/>
      <c r="AW986" s="21"/>
      <c r="AX986" s="73"/>
      <c r="AY986" s="73"/>
      <c r="AZ986" s="73"/>
      <c r="BA986" s="73"/>
      <c r="BB986" s="73"/>
      <c r="BC986" s="73"/>
      <c r="BD986" s="73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</row>
    <row r="987" ht="15.75" customHeight="1">
      <c r="A987" s="56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  <c r="AD987" s="70"/>
      <c r="AE987" s="70"/>
      <c r="AF987" s="70"/>
      <c r="AG987" s="70"/>
      <c r="AH987" s="70"/>
      <c r="AI987" s="70"/>
      <c r="AJ987" s="70"/>
      <c r="AK987" s="70"/>
      <c r="AL987" s="70"/>
      <c r="AM987" s="70"/>
      <c r="AN987" s="70"/>
      <c r="AO987" s="70"/>
      <c r="AP987" s="70"/>
      <c r="AQ987" s="70"/>
      <c r="AR987" s="70"/>
      <c r="AS987" s="70"/>
      <c r="AT987" s="70"/>
      <c r="AU987" s="70"/>
      <c r="AV987" s="70"/>
      <c r="AW987" s="21"/>
      <c r="AX987" s="73"/>
      <c r="AY987" s="73"/>
      <c r="AZ987" s="73"/>
      <c r="BA987" s="73"/>
      <c r="BB987" s="73"/>
      <c r="BC987" s="73"/>
      <c r="BD987" s="73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</row>
    <row r="988" ht="15.75" customHeight="1">
      <c r="A988" s="56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  <c r="AD988" s="70"/>
      <c r="AE988" s="70"/>
      <c r="AF988" s="70"/>
      <c r="AG988" s="70"/>
      <c r="AH988" s="70"/>
      <c r="AI988" s="70"/>
      <c r="AJ988" s="70"/>
      <c r="AK988" s="70"/>
      <c r="AL988" s="70"/>
      <c r="AM988" s="70"/>
      <c r="AN988" s="70"/>
      <c r="AO988" s="70"/>
      <c r="AP988" s="70"/>
      <c r="AQ988" s="70"/>
      <c r="AR988" s="70"/>
      <c r="AS988" s="70"/>
      <c r="AT988" s="70"/>
      <c r="AU988" s="70"/>
      <c r="AV988" s="70"/>
      <c r="AW988" s="21"/>
      <c r="AX988" s="73"/>
      <c r="AY988" s="73"/>
      <c r="AZ988" s="73"/>
      <c r="BA988" s="73"/>
      <c r="BB988" s="73"/>
      <c r="BC988" s="73"/>
      <c r="BD988" s="73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</row>
    <row r="989" ht="15.75" customHeight="1">
      <c r="A989" s="56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  <c r="AD989" s="70"/>
      <c r="AE989" s="70"/>
      <c r="AF989" s="70"/>
      <c r="AG989" s="70"/>
      <c r="AH989" s="70"/>
      <c r="AI989" s="70"/>
      <c r="AJ989" s="70"/>
      <c r="AK989" s="70"/>
      <c r="AL989" s="70"/>
      <c r="AM989" s="70"/>
      <c r="AN989" s="70"/>
      <c r="AO989" s="70"/>
      <c r="AP989" s="70"/>
      <c r="AQ989" s="70"/>
      <c r="AR989" s="70"/>
      <c r="AS989" s="70"/>
      <c r="AT989" s="70"/>
      <c r="AU989" s="70"/>
      <c r="AV989" s="70"/>
      <c r="AW989" s="21"/>
      <c r="AX989" s="73"/>
      <c r="AY989" s="73"/>
      <c r="AZ989" s="73"/>
      <c r="BA989" s="73"/>
      <c r="BB989" s="73"/>
      <c r="BC989" s="73"/>
      <c r="BD989" s="73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</row>
    <row r="990" ht="15.75" customHeight="1">
      <c r="A990" s="56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  <c r="AD990" s="70"/>
      <c r="AE990" s="70"/>
      <c r="AF990" s="70"/>
      <c r="AG990" s="70"/>
      <c r="AH990" s="70"/>
      <c r="AI990" s="70"/>
      <c r="AJ990" s="70"/>
      <c r="AK990" s="70"/>
      <c r="AL990" s="70"/>
      <c r="AM990" s="70"/>
      <c r="AN990" s="70"/>
      <c r="AO990" s="70"/>
      <c r="AP990" s="70"/>
      <c r="AQ990" s="70"/>
      <c r="AR990" s="70"/>
      <c r="AS990" s="70"/>
      <c r="AT990" s="70"/>
      <c r="AU990" s="70"/>
      <c r="AV990" s="70"/>
      <c r="AW990" s="21"/>
      <c r="AX990" s="73"/>
      <c r="AY990" s="73"/>
      <c r="AZ990" s="73"/>
      <c r="BA990" s="73"/>
      <c r="BB990" s="73"/>
      <c r="BC990" s="73"/>
      <c r="BD990" s="73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</row>
    <row r="991" ht="15.75" customHeight="1">
      <c r="A991" s="56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  <c r="AD991" s="70"/>
      <c r="AE991" s="70"/>
      <c r="AF991" s="70"/>
      <c r="AG991" s="70"/>
      <c r="AH991" s="70"/>
      <c r="AI991" s="70"/>
      <c r="AJ991" s="70"/>
      <c r="AK991" s="70"/>
      <c r="AL991" s="70"/>
      <c r="AM991" s="70"/>
      <c r="AN991" s="70"/>
      <c r="AO991" s="70"/>
      <c r="AP991" s="70"/>
      <c r="AQ991" s="70"/>
      <c r="AR991" s="70"/>
      <c r="AS991" s="70"/>
      <c r="AT991" s="70"/>
      <c r="AU991" s="70"/>
      <c r="AV991" s="70"/>
      <c r="AW991" s="21"/>
      <c r="AX991" s="73"/>
      <c r="AY991" s="73"/>
      <c r="AZ991" s="73"/>
      <c r="BA991" s="73"/>
      <c r="BB991" s="73"/>
      <c r="BC991" s="73"/>
      <c r="BD991" s="73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</row>
    <row r="992" ht="15.75" customHeight="1">
      <c r="A992" s="56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  <c r="AD992" s="70"/>
      <c r="AE992" s="70"/>
      <c r="AF992" s="70"/>
      <c r="AG992" s="70"/>
      <c r="AH992" s="70"/>
      <c r="AI992" s="70"/>
      <c r="AJ992" s="70"/>
      <c r="AK992" s="70"/>
      <c r="AL992" s="70"/>
      <c r="AM992" s="70"/>
      <c r="AN992" s="70"/>
      <c r="AO992" s="70"/>
      <c r="AP992" s="70"/>
      <c r="AQ992" s="70"/>
      <c r="AR992" s="70"/>
      <c r="AS992" s="70"/>
      <c r="AT992" s="70"/>
      <c r="AU992" s="70"/>
      <c r="AV992" s="70"/>
      <c r="AW992" s="21"/>
      <c r="AX992" s="73"/>
      <c r="AY992" s="73"/>
      <c r="AZ992" s="73"/>
      <c r="BA992" s="73"/>
      <c r="BB992" s="73"/>
      <c r="BC992" s="73"/>
      <c r="BD992" s="73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</row>
    <row r="993" ht="15.75" customHeight="1">
      <c r="A993" s="56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  <c r="AD993" s="70"/>
      <c r="AE993" s="70"/>
      <c r="AF993" s="70"/>
      <c r="AG993" s="70"/>
      <c r="AH993" s="70"/>
      <c r="AI993" s="70"/>
      <c r="AJ993" s="70"/>
      <c r="AK993" s="70"/>
      <c r="AL993" s="70"/>
      <c r="AM993" s="70"/>
      <c r="AN993" s="70"/>
      <c r="AO993" s="70"/>
      <c r="AP993" s="70"/>
      <c r="AQ993" s="70"/>
      <c r="AR993" s="70"/>
      <c r="AS993" s="70"/>
      <c r="AT993" s="70"/>
      <c r="AU993" s="70"/>
      <c r="AV993" s="70"/>
      <c r="AW993" s="21"/>
      <c r="AX993" s="73"/>
      <c r="AY993" s="73"/>
      <c r="AZ993" s="73"/>
      <c r="BA993" s="73"/>
      <c r="BB993" s="73"/>
      <c r="BC993" s="73"/>
      <c r="BD993" s="73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</row>
    <row r="994" ht="15.75" customHeight="1">
      <c r="A994" s="56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  <c r="AD994" s="70"/>
      <c r="AE994" s="70"/>
      <c r="AF994" s="70"/>
      <c r="AG994" s="70"/>
      <c r="AH994" s="70"/>
      <c r="AI994" s="70"/>
      <c r="AJ994" s="70"/>
      <c r="AK994" s="70"/>
      <c r="AL994" s="70"/>
      <c r="AM994" s="70"/>
      <c r="AN994" s="70"/>
      <c r="AO994" s="70"/>
      <c r="AP994" s="70"/>
      <c r="AQ994" s="70"/>
      <c r="AR994" s="70"/>
      <c r="AS994" s="70"/>
      <c r="AT994" s="70"/>
      <c r="AU994" s="70"/>
      <c r="AV994" s="70"/>
      <c r="AW994" s="21"/>
      <c r="AX994" s="73"/>
      <c r="AY994" s="73"/>
      <c r="AZ994" s="73"/>
      <c r="BA994" s="73"/>
      <c r="BB994" s="73"/>
      <c r="BC994" s="73"/>
      <c r="BD994" s="73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</row>
    <row r="995" ht="15.75" customHeight="1">
      <c r="A995" s="56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  <c r="AD995" s="70"/>
      <c r="AE995" s="70"/>
      <c r="AF995" s="70"/>
      <c r="AG995" s="70"/>
      <c r="AH995" s="70"/>
      <c r="AI995" s="70"/>
      <c r="AJ995" s="70"/>
      <c r="AK995" s="70"/>
      <c r="AL995" s="70"/>
      <c r="AM995" s="70"/>
      <c r="AN995" s="70"/>
      <c r="AO995" s="70"/>
      <c r="AP995" s="70"/>
      <c r="AQ995" s="70"/>
      <c r="AR995" s="70"/>
      <c r="AS995" s="70"/>
      <c r="AT995" s="70"/>
      <c r="AU995" s="70"/>
      <c r="AV995" s="70"/>
      <c r="AW995" s="21"/>
      <c r="AX995" s="73"/>
      <c r="AY995" s="73"/>
      <c r="AZ995" s="73"/>
      <c r="BA995" s="73"/>
      <c r="BB995" s="73"/>
      <c r="BC995" s="73"/>
      <c r="BD995" s="73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</row>
    <row r="996" ht="15.75" customHeight="1">
      <c r="A996" s="56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  <c r="AD996" s="70"/>
      <c r="AE996" s="70"/>
      <c r="AF996" s="70"/>
      <c r="AG996" s="70"/>
      <c r="AH996" s="70"/>
      <c r="AI996" s="70"/>
      <c r="AJ996" s="70"/>
      <c r="AK996" s="70"/>
      <c r="AL996" s="70"/>
      <c r="AM996" s="70"/>
      <c r="AN996" s="70"/>
      <c r="AO996" s="70"/>
      <c r="AP996" s="70"/>
      <c r="AQ996" s="70"/>
      <c r="AR996" s="70"/>
      <c r="AS996" s="70"/>
      <c r="AT996" s="70"/>
      <c r="AU996" s="70"/>
      <c r="AV996" s="70"/>
      <c r="AW996" s="21"/>
      <c r="AX996" s="73"/>
      <c r="AY996" s="73"/>
      <c r="AZ996" s="73"/>
      <c r="BA996" s="73"/>
      <c r="BB996" s="73"/>
      <c r="BC996" s="73"/>
      <c r="BD996" s="73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</row>
    <row r="997" ht="15.75" customHeight="1">
      <c r="A997" s="56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0"/>
      <c r="AR997" s="70"/>
      <c r="AS997" s="70"/>
      <c r="AT997" s="70"/>
      <c r="AU997" s="70"/>
      <c r="AV997" s="70"/>
      <c r="AW997" s="21"/>
      <c r="AX997" s="73"/>
      <c r="AY997" s="73"/>
      <c r="AZ997" s="73"/>
      <c r="BA997" s="73"/>
      <c r="BB997" s="73"/>
      <c r="BC997" s="73"/>
      <c r="BD997" s="73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</row>
    <row r="998" ht="15.75" customHeight="1">
      <c r="A998" s="56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  <c r="AD998" s="70"/>
      <c r="AE998" s="70"/>
      <c r="AF998" s="70"/>
      <c r="AG998" s="70"/>
      <c r="AH998" s="70"/>
      <c r="AI998" s="70"/>
      <c r="AJ998" s="70"/>
      <c r="AK998" s="70"/>
      <c r="AL998" s="70"/>
      <c r="AM998" s="70"/>
      <c r="AN998" s="70"/>
      <c r="AO998" s="70"/>
      <c r="AP998" s="70"/>
      <c r="AQ998" s="70"/>
      <c r="AR998" s="70"/>
      <c r="AS998" s="70"/>
      <c r="AT998" s="70"/>
      <c r="AU998" s="70"/>
      <c r="AV998" s="70"/>
      <c r="AW998" s="21"/>
      <c r="AX998" s="73"/>
      <c r="AY998" s="73"/>
      <c r="AZ998" s="73"/>
      <c r="BA998" s="73"/>
      <c r="BB998" s="73"/>
      <c r="BC998" s="73"/>
      <c r="BD998" s="73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</row>
    <row r="999" ht="15.75" customHeight="1">
      <c r="A999" s="56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  <c r="AD999" s="70"/>
      <c r="AE999" s="70"/>
      <c r="AF999" s="70"/>
      <c r="AG999" s="70"/>
      <c r="AH999" s="70"/>
      <c r="AI999" s="70"/>
      <c r="AJ999" s="70"/>
      <c r="AK999" s="70"/>
      <c r="AL999" s="70"/>
      <c r="AM999" s="70"/>
      <c r="AN999" s="70"/>
      <c r="AO999" s="70"/>
      <c r="AP999" s="70"/>
      <c r="AQ999" s="70"/>
      <c r="AR999" s="70"/>
      <c r="AS999" s="70"/>
      <c r="AT999" s="70"/>
      <c r="AU999" s="70"/>
      <c r="AV999" s="70"/>
      <c r="AW999" s="21"/>
      <c r="AX999" s="73"/>
      <c r="AY999" s="73"/>
      <c r="AZ999" s="73"/>
      <c r="BA999" s="73"/>
      <c r="BB999" s="73"/>
      <c r="BC999" s="73"/>
      <c r="BD999" s="73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</row>
    <row r="1000" ht="15.75" customHeight="1">
      <c r="A1000" s="56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  <c r="AD1000" s="70"/>
      <c r="AE1000" s="70"/>
      <c r="AF1000" s="70"/>
      <c r="AG1000" s="70"/>
      <c r="AH1000" s="70"/>
      <c r="AI1000" s="70"/>
      <c r="AJ1000" s="70"/>
      <c r="AK1000" s="70"/>
      <c r="AL1000" s="70"/>
      <c r="AM1000" s="70"/>
      <c r="AN1000" s="70"/>
      <c r="AO1000" s="70"/>
      <c r="AP1000" s="70"/>
      <c r="AQ1000" s="70"/>
      <c r="AR1000" s="70"/>
      <c r="AS1000" s="70"/>
      <c r="AT1000" s="70"/>
      <c r="AU1000" s="70"/>
      <c r="AV1000" s="70"/>
      <c r="AW1000" s="21"/>
      <c r="AX1000" s="73"/>
      <c r="AY1000" s="73"/>
      <c r="AZ1000" s="73"/>
      <c r="BA1000" s="73"/>
      <c r="BB1000" s="73"/>
      <c r="BC1000" s="73"/>
      <c r="BD1000" s="73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</row>
  </sheetData>
  <autoFilter ref="$A$1:$BZ$288"/>
  <printOptions/>
  <pageMargins bottom="0.75" footer="0.0" header="0.0" left="0.7" right="0.7" top="0.75"/>
  <pageSetup orientation="landscape"/>
  <headerFooter>
    <oddHeader>&amp;L000000 Restricted-confidential#_x000D_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2026-04-02T22:41:18Z</dcterms:created>
  <dc:creator>Aronson, Santiago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2026-04-02T22:47:19Z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79ea8719-d0b5-4d88-8cb8-8a8f99105ebe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